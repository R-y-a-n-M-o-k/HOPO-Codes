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yanm\OneDrive\Desktop\Research\"/>
    </mc:Choice>
  </mc:AlternateContent>
  <xr:revisionPtr revIDLastSave="0" documentId="13_ncr:1_{D2B2F9A0-6597-4489-B007-8B1A68B0204C}" xr6:coauthVersionLast="47" xr6:coauthVersionMax="47" xr10:uidLastSave="{00000000-0000-0000-0000-000000000000}"/>
  <bookViews>
    <workbookView xWindow="-110" yWindow="-110" windowWidth="19420" windowHeight="11500" activeTab="5" xr2:uid="{82A1F83B-4668-41B2-B4D0-85B1D268D6DF}"/>
  </bookViews>
  <sheets>
    <sheet name="fit1" sheetId="2" r:id="rId1"/>
    <sheet name="fit2" sheetId="3" r:id="rId2"/>
    <sheet name="workout_sheet" sheetId="1" r:id="rId3"/>
    <sheet name="2Dfit1" sheetId="6" r:id="rId4"/>
    <sheet name="2Dfit2" sheetId="5" r:id="rId5"/>
    <sheet name="2Dfit3" sheetId="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Q10" i="7" l="1"/>
  <c r="Q9" i="7"/>
  <c r="S5" i="7" a="1"/>
  <c r="S5" i="7" s="1"/>
  <c r="S3" i="7"/>
  <c r="S2" i="7"/>
  <c r="O5" i="7" a="1"/>
  <c r="O5" i="7" s="1"/>
  <c r="O3" i="7"/>
  <c r="P2" i="7"/>
  <c r="P3" i="7"/>
  <c r="O2" i="7"/>
  <c r="L3" i="7"/>
  <c r="L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L34" i="7"/>
  <c r="L35" i="7"/>
  <c r="L36" i="7"/>
  <c r="L37" i="7"/>
  <c r="L38" i="7"/>
  <c r="L39" i="7"/>
  <c r="L40" i="7"/>
  <c r="L41" i="7"/>
  <c r="L42" i="7"/>
  <c r="L43" i="7"/>
  <c r="L44" i="7"/>
  <c r="L45" i="7"/>
  <c r="L46" i="7"/>
  <c r="L47" i="7"/>
  <c r="L48" i="7"/>
  <c r="L49" i="7"/>
  <c r="L50" i="7"/>
  <c r="L51" i="7"/>
  <c r="L52" i="7"/>
  <c r="L53" i="7"/>
  <c r="L54" i="7"/>
  <c r="L55" i="7"/>
  <c r="L56" i="7"/>
  <c r="L57" i="7"/>
  <c r="L58" i="7"/>
  <c r="L59" i="7"/>
  <c r="L60" i="7"/>
  <c r="L61" i="7"/>
  <c r="L62" i="7"/>
  <c r="L63" i="7"/>
  <c r="L64" i="7"/>
  <c r="L65" i="7"/>
  <c r="L66" i="7"/>
  <c r="L67" i="7"/>
  <c r="L68" i="7"/>
  <c r="L69" i="7"/>
  <c r="L70" i="7"/>
  <c r="L71" i="7"/>
  <c r="L72" i="7"/>
  <c r="L73" i="7"/>
  <c r="L74" i="7"/>
  <c r="L75" i="7"/>
  <c r="L76" i="7"/>
  <c r="L77" i="7"/>
  <c r="L78" i="7"/>
  <c r="L79" i="7"/>
  <c r="L80" i="7"/>
  <c r="L81" i="7"/>
  <c r="L82" i="7"/>
  <c r="L83" i="7"/>
  <c r="L84" i="7"/>
  <c r="L85" i="7"/>
  <c r="L86" i="7"/>
  <c r="L87" i="7"/>
  <c r="L88" i="7"/>
  <c r="L89" i="7"/>
  <c r="L90" i="7"/>
  <c r="L91" i="7"/>
  <c r="L92" i="7"/>
  <c r="L93" i="7"/>
  <c r="L94" i="7"/>
  <c r="L95" i="7"/>
  <c r="L96" i="7"/>
  <c r="L97" i="7"/>
  <c r="L98" i="7"/>
  <c r="L99" i="7"/>
  <c r="L100" i="7"/>
  <c r="L2" i="7"/>
  <c r="K3" i="7"/>
  <c r="K4" i="7"/>
  <c r="K5" i="7"/>
  <c r="K6" i="7"/>
  <c r="K7" i="7"/>
  <c r="K8" i="7"/>
  <c r="K9" i="7"/>
  <c r="K10" i="7"/>
  <c r="K11" i="7"/>
  <c r="K12" i="7"/>
  <c r="K13" i="7"/>
  <c r="K14" i="7"/>
  <c r="K15" i="7"/>
  <c r="K16" i="7"/>
  <c r="K17" i="7"/>
  <c r="K18" i="7"/>
  <c r="K19" i="7"/>
  <c r="K20" i="7"/>
  <c r="K21" i="7"/>
  <c r="K22" i="7"/>
  <c r="K23" i="7"/>
  <c r="K24" i="7"/>
  <c r="K25" i="7"/>
  <c r="K26" i="7"/>
  <c r="K27" i="7"/>
  <c r="K28" i="7"/>
  <c r="K29" i="7"/>
  <c r="K30" i="7"/>
  <c r="K31" i="7"/>
  <c r="K32" i="7"/>
  <c r="K33" i="7"/>
  <c r="K34" i="7"/>
  <c r="K35" i="7"/>
  <c r="K36" i="7"/>
  <c r="K37" i="7"/>
  <c r="K38" i="7"/>
  <c r="K39" i="7"/>
  <c r="K40" i="7"/>
  <c r="K41" i="7"/>
  <c r="K42" i="7"/>
  <c r="K43" i="7"/>
  <c r="K44" i="7"/>
  <c r="K45" i="7"/>
  <c r="K46" i="7"/>
  <c r="K47" i="7"/>
  <c r="K48" i="7"/>
  <c r="K49" i="7"/>
  <c r="K50" i="7"/>
  <c r="K51" i="7"/>
  <c r="K52" i="7"/>
  <c r="K53" i="7"/>
  <c r="K54" i="7"/>
  <c r="K55" i="7"/>
  <c r="K56" i="7"/>
  <c r="K57" i="7"/>
  <c r="K58" i="7"/>
  <c r="K59" i="7"/>
  <c r="K60" i="7"/>
  <c r="K61" i="7"/>
  <c r="K62" i="7"/>
  <c r="K63" i="7"/>
  <c r="K64" i="7"/>
  <c r="K65" i="7"/>
  <c r="K66" i="7"/>
  <c r="K67" i="7"/>
  <c r="K68" i="7"/>
  <c r="K69" i="7"/>
  <c r="K70" i="7"/>
  <c r="K71" i="7"/>
  <c r="K72" i="7"/>
  <c r="K73" i="7"/>
  <c r="K74" i="7"/>
  <c r="K75" i="7"/>
  <c r="K76" i="7"/>
  <c r="K77" i="7"/>
  <c r="K78" i="7"/>
  <c r="K79" i="7"/>
  <c r="K80" i="7"/>
  <c r="K81" i="7"/>
  <c r="K82" i="7"/>
  <c r="K83" i="7"/>
  <c r="K84" i="7"/>
  <c r="K85" i="7"/>
  <c r="K86" i="7"/>
  <c r="K87" i="7"/>
  <c r="K88" i="7"/>
  <c r="K89" i="7"/>
  <c r="K90" i="7"/>
  <c r="K91" i="7"/>
  <c r="K92" i="7"/>
  <c r="K93" i="7"/>
  <c r="K94" i="7"/>
  <c r="K95" i="7"/>
  <c r="K96" i="7"/>
  <c r="K97" i="7"/>
  <c r="K98" i="7"/>
  <c r="K99" i="7"/>
  <c r="K100" i="7"/>
  <c r="K2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J35" i="7"/>
  <c r="J36" i="7"/>
  <c r="J37" i="7"/>
  <c r="J38" i="7"/>
  <c r="J39" i="7"/>
  <c r="J40" i="7"/>
  <c r="J41" i="7"/>
  <c r="J42" i="7"/>
  <c r="J43" i="7"/>
  <c r="J44" i="7"/>
  <c r="J45" i="7"/>
  <c r="J46" i="7"/>
  <c r="J47" i="7"/>
  <c r="J48" i="7"/>
  <c r="J49" i="7"/>
  <c r="J50" i="7"/>
  <c r="J51" i="7"/>
  <c r="J52" i="7"/>
  <c r="J53" i="7"/>
  <c r="J54" i="7"/>
  <c r="J55" i="7"/>
  <c r="J56" i="7"/>
  <c r="J57" i="7"/>
  <c r="J58" i="7"/>
  <c r="J59" i="7"/>
  <c r="J60" i="7"/>
  <c r="J61" i="7"/>
  <c r="J62" i="7"/>
  <c r="J63" i="7"/>
  <c r="J64" i="7"/>
  <c r="J65" i="7"/>
  <c r="J66" i="7"/>
  <c r="J67" i="7"/>
  <c r="J68" i="7"/>
  <c r="J69" i="7"/>
  <c r="J70" i="7"/>
  <c r="J71" i="7"/>
  <c r="J72" i="7"/>
  <c r="J73" i="7"/>
  <c r="J74" i="7"/>
  <c r="J75" i="7"/>
  <c r="J76" i="7"/>
  <c r="J77" i="7"/>
  <c r="J78" i="7"/>
  <c r="J79" i="7"/>
  <c r="J80" i="7"/>
  <c r="J81" i="7"/>
  <c r="J82" i="7"/>
  <c r="J83" i="7"/>
  <c r="J84" i="7"/>
  <c r="J85" i="7"/>
  <c r="J86" i="7"/>
  <c r="J87" i="7"/>
  <c r="J88" i="7"/>
  <c r="J89" i="7"/>
  <c r="J90" i="7"/>
  <c r="J91" i="7"/>
  <c r="J92" i="7"/>
  <c r="J93" i="7"/>
  <c r="J94" i="7"/>
  <c r="J95" i="7"/>
  <c r="J96" i="7"/>
  <c r="J97" i="7"/>
  <c r="J98" i="7"/>
  <c r="J99" i="7"/>
  <c r="J100" i="7"/>
  <c r="J3" i="7"/>
  <c r="J4" i="7"/>
  <c r="J5" i="7"/>
  <c r="J6" i="7"/>
  <c r="J7" i="7"/>
  <c r="J8" i="7"/>
  <c r="J9" i="7"/>
  <c r="J10" i="7"/>
  <c r="J2" i="7"/>
  <c r="Q11" i="6"/>
  <c r="S6" i="6" a="1"/>
  <c r="S6" i="6" s="1"/>
  <c r="O6" i="6" a="1"/>
  <c r="O6" i="6" s="1"/>
  <c r="L100" i="6"/>
  <c r="K100" i="6"/>
  <c r="J100" i="6"/>
  <c r="L99" i="6"/>
  <c r="K99" i="6"/>
  <c r="J99" i="6"/>
  <c r="L98" i="6"/>
  <c r="K98" i="6"/>
  <c r="J98" i="6"/>
  <c r="L97" i="6"/>
  <c r="K97" i="6"/>
  <c r="J97" i="6"/>
  <c r="L96" i="6"/>
  <c r="K96" i="6"/>
  <c r="J96" i="6"/>
  <c r="L95" i="6"/>
  <c r="K95" i="6"/>
  <c r="J95" i="6"/>
  <c r="L94" i="6"/>
  <c r="K94" i="6"/>
  <c r="J94" i="6"/>
  <c r="L93" i="6"/>
  <c r="K93" i="6"/>
  <c r="J93" i="6"/>
  <c r="L92" i="6"/>
  <c r="K92" i="6"/>
  <c r="J92" i="6"/>
  <c r="L91" i="6"/>
  <c r="K91" i="6"/>
  <c r="J91" i="6"/>
  <c r="L90" i="6"/>
  <c r="K90" i="6"/>
  <c r="J90" i="6"/>
  <c r="L89" i="6"/>
  <c r="K89" i="6"/>
  <c r="J89" i="6"/>
  <c r="L88" i="6"/>
  <c r="K88" i="6"/>
  <c r="J88" i="6"/>
  <c r="L87" i="6"/>
  <c r="K87" i="6"/>
  <c r="J87" i="6"/>
  <c r="L86" i="6"/>
  <c r="K86" i="6"/>
  <c r="J86" i="6"/>
  <c r="L85" i="6"/>
  <c r="K85" i="6"/>
  <c r="J85" i="6"/>
  <c r="L84" i="6"/>
  <c r="K84" i="6"/>
  <c r="J84" i="6"/>
  <c r="L83" i="6"/>
  <c r="K83" i="6"/>
  <c r="J83" i="6"/>
  <c r="L82" i="6"/>
  <c r="K82" i="6"/>
  <c r="J82" i="6"/>
  <c r="L81" i="6"/>
  <c r="K81" i="6"/>
  <c r="J81" i="6"/>
  <c r="L80" i="6"/>
  <c r="K80" i="6"/>
  <c r="J80" i="6"/>
  <c r="L79" i="6"/>
  <c r="K79" i="6"/>
  <c r="J79" i="6"/>
  <c r="L78" i="6"/>
  <c r="K78" i="6"/>
  <c r="J78" i="6"/>
  <c r="L77" i="6"/>
  <c r="K77" i="6"/>
  <c r="J77" i="6"/>
  <c r="L76" i="6"/>
  <c r="K76" i="6"/>
  <c r="J76" i="6"/>
  <c r="L75" i="6"/>
  <c r="K75" i="6"/>
  <c r="J75" i="6"/>
  <c r="L74" i="6"/>
  <c r="K74" i="6"/>
  <c r="J74" i="6"/>
  <c r="L73" i="6"/>
  <c r="K73" i="6"/>
  <c r="J73" i="6"/>
  <c r="L72" i="6"/>
  <c r="K72" i="6"/>
  <c r="J72" i="6"/>
  <c r="L71" i="6"/>
  <c r="K71" i="6"/>
  <c r="J71" i="6"/>
  <c r="L70" i="6"/>
  <c r="K70" i="6"/>
  <c r="J70" i="6"/>
  <c r="L69" i="6"/>
  <c r="K69" i="6"/>
  <c r="J69" i="6"/>
  <c r="L68" i="6"/>
  <c r="K68" i="6"/>
  <c r="J68" i="6"/>
  <c r="L67" i="6"/>
  <c r="K67" i="6"/>
  <c r="J67" i="6"/>
  <c r="L66" i="6"/>
  <c r="K66" i="6"/>
  <c r="J66" i="6"/>
  <c r="L65" i="6"/>
  <c r="K65" i="6"/>
  <c r="J65" i="6"/>
  <c r="L64" i="6"/>
  <c r="K64" i="6"/>
  <c r="J64" i="6"/>
  <c r="L63" i="6"/>
  <c r="K63" i="6"/>
  <c r="J63" i="6"/>
  <c r="L62" i="6"/>
  <c r="K62" i="6"/>
  <c r="J62" i="6"/>
  <c r="L61" i="6"/>
  <c r="K61" i="6"/>
  <c r="J61" i="6"/>
  <c r="L60" i="6"/>
  <c r="K60" i="6"/>
  <c r="J60" i="6"/>
  <c r="L59" i="6"/>
  <c r="K59" i="6"/>
  <c r="J59" i="6"/>
  <c r="L58" i="6"/>
  <c r="K58" i="6"/>
  <c r="J58" i="6"/>
  <c r="L57" i="6"/>
  <c r="K57" i="6"/>
  <c r="J57" i="6"/>
  <c r="L56" i="6"/>
  <c r="K56" i="6"/>
  <c r="J56" i="6"/>
  <c r="L55" i="6"/>
  <c r="K55" i="6"/>
  <c r="J55" i="6"/>
  <c r="L54" i="6"/>
  <c r="K54" i="6"/>
  <c r="J54" i="6"/>
  <c r="L53" i="6"/>
  <c r="K53" i="6"/>
  <c r="J53" i="6"/>
  <c r="L52" i="6"/>
  <c r="K52" i="6"/>
  <c r="J52" i="6"/>
  <c r="L51" i="6"/>
  <c r="K51" i="6"/>
  <c r="J51" i="6"/>
  <c r="L50" i="6"/>
  <c r="K50" i="6"/>
  <c r="J50" i="6"/>
  <c r="L49" i="6"/>
  <c r="K49" i="6"/>
  <c r="J49" i="6"/>
  <c r="L48" i="6"/>
  <c r="K48" i="6"/>
  <c r="J48" i="6"/>
  <c r="L47" i="6"/>
  <c r="K47" i="6"/>
  <c r="J47" i="6"/>
  <c r="L46" i="6"/>
  <c r="K46" i="6"/>
  <c r="J46" i="6"/>
  <c r="L45" i="6"/>
  <c r="K45" i="6"/>
  <c r="J45" i="6"/>
  <c r="L44" i="6"/>
  <c r="K44" i="6"/>
  <c r="J44" i="6"/>
  <c r="L43" i="6"/>
  <c r="K43" i="6"/>
  <c r="J43" i="6"/>
  <c r="L42" i="6"/>
  <c r="K42" i="6"/>
  <c r="J42" i="6"/>
  <c r="L41" i="6"/>
  <c r="K41" i="6"/>
  <c r="J41" i="6"/>
  <c r="L40" i="6"/>
  <c r="K40" i="6"/>
  <c r="J40" i="6"/>
  <c r="L39" i="6"/>
  <c r="K39" i="6"/>
  <c r="J39" i="6"/>
  <c r="L38" i="6"/>
  <c r="K38" i="6"/>
  <c r="J38" i="6"/>
  <c r="L37" i="6"/>
  <c r="K37" i="6"/>
  <c r="J37" i="6"/>
  <c r="L36" i="6"/>
  <c r="K36" i="6"/>
  <c r="J36" i="6"/>
  <c r="L35" i="6"/>
  <c r="K35" i="6"/>
  <c r="J35" i="6"/>
  <c r="L34" i="6"/>
  <c r="K34" i="6"/>
  <c r="J34" i="6"/>
  <c r="L33" i="6"/>
  <c r="K33" i="6"/>
  <c r="J33" i="6"/>
  <c r="L32" i="6"/>
  <c r="K32" i="6"/>
  <c r="J32" i="6"/>
  <c r="L31" i="6"/>
  <c r="K31" i="6"/>
  <c r="J31" i="6"/>
  <c r="L30" i="6"/>
  <c r="K30" i="6"/>
  <c r="J30" i="6"/>
  <c r="L29" i="6"/>
  <c r="K29" i="6"/>
  <c r="J29" i="6"/>
  <c r="L28" i="6"/>
  <c r="K28" i="6"/>
  <c r="J28" i="6"/>
  <c r="L27" i="6"/>
  <c r="K27" i="6"/>
  <c r="J27" i="6"/>
  <c r="L26" i="6"/>
  <c r="K26" i="6"/>
  <c r="J26" i="6"/>
  <c r="L25" i="6"/>
  <c r="K25" i="6"/>
  <c r="J25" i="6"/>
  <c r="L24" i="6"/>
  <c r="K24" i="6"/>
  <c r="J24" i="6"/>
  <c r="L23" i="6"/>
  <c r="K23" i="6"/>
  <c r="J23" i="6"/>
  <c r="L22" i="6"/>
  <c r="K22" i="6"/>
  <c r="J22" i="6"/>
  <c r="L21" i="6"/>
  <c r="K21" i="6"/>
  <c r="J21" i="6"/>
  <c r="L20" i="6"/>
  <c r="K20" i="6"/>
  <c r="J20" i="6"/>
  <c r="L19" i="6"/>
  <c r="K19" i="6"/>
  <c r="J19" i="6"/>
  <c r="L18" i="6"/>
  <c r="K18" i="6"/>
  <c r="J18" i="6"/>
  <c r="L17" i="6"/>
  <c r="K17" i="6"/>
  <c r="J17" i="6"/>
  <c r="L16" i="6"/>
  <c r="K16" i="6"/>
  <c r="J16" i="6"/>
  <c r="L15" i="6"/>
  <c r="K15" i="6"/>
  <c r="J15" i="6"/>
  <c r="L14" i="6"/>
  <c r="K14" i="6"/>
  <c r="J14" i="6"/>
  <c r="L13" i="6"/>
  <c r="K13" i="6"/>
  <c r="J13" i="6"/>
  <c r="L12" i="6"/>
  <c r="K12" i="6"/>
  <c r="J12" i="6"/>
  <c r="L11" i="6"/>
  <c r="K11" i="6"/>
  <c r="J11" i="6"/>
  <c r="L10" i="6"/>
  <c r="K10" i="6"/>
  <c r="J10" i="6"/>
  <c r="L9" i="6"/>
  <c r="K9" i="6"/>
  <c r="J9" i="6"/>
  <c r="L8" i="6"/>
  <c r="K8" i="6"/>
  <c r="J8" i="6"/>
  <c r="L7" i="6"/>
  <c r="K7" i="6"/>
  <c r="J7" i="6"/>
  <c r="L6" i="6"/>
  <c r="K6" i="6"/>
  <c r="J6" i="6"/>
  <c r="L5" i="6"/>
  <c r="K5" i="6"/>
  <c r="J5" i="6"/>
  <c r="L4" i="6"/>
  <c r="K4" i="6"/>
  <c r="J4" i="6"/>
  <c r="L3" i="6"/>
  <c r="K3" i="6"/>
  <c r="J3" i="6"/>
  <c r="L2" i="6"/>
  <c r="K2" i="6"/>
  <c r="J2" i="6"/>
  <c r="S2" i="6" s="1"/>
  <c r="L100" i="5"/>
  <c r="K100" i="5"/>
  <c r="J100" i="5"/>
  <c r="L99" i="5"/>
  <c r="K99" i="5"/>
  <c r="J99" i="5"/>
  <c r="L98" i="5"/>
  <c r="K98" i="5"/>
  <c r="J98" i="5"/>
  <c r="L97" i="5"/>
  <c r="K97" i="5"/>
  <c r="J97" i="5"/>
  <c r="L96" i="5"/>
  <c r="K96" i="5"/>
  <c r="J96" i="5"/>
  <c r="L95" i="5"/>
  <c r="K95" i="5"/>
  <c r="J95" i="5"/>
  <c r="L94" i="5"/>
  <c r="K94" i="5"/>
  <c r="J94" i="5"/>
  <c r="L93" i="5"/>
  <c r="K93" i="5"/>
  <c r="J93" i="5"/>
  <c r="L92" i="5"/>
  <c r="K92" i="5"/>
  <c r="J92" i="5"/>
  <c r="L91" i="5"/>
  <c r="K91" i="5"/>
  <c r="J91" i="5"/>
  <c r="L90" i="5"/>
  <c r="K90" i="5"/>
  <c r="J90" i="5"/>
  <c r="L89" i="5"/>
  <c r="K89" i="5"/>
  <c r="J89" i="5"/>
  <c r="L88" i="5"/>
  <c r="K88" i="5"/>
  <c r="J88" i="5"/>
  <c r="L87" i="5"/>
  <c r="K87" i="5"/>
  <c r="J87" i="5"/>
  <c r="L86" i="5"/>
  <c r="K86" i="5"/>
  <c r="J86" i="5"/>
  <c r="L85" i="5"/>
  <c r="K85" i="5"/>
  <c r="J85" i="5"/>
  <c r="L84" i="5"/>
  <c r="K84" i="5"/>
  <c r="J84" i="5"/>
  <c r="L83" i="5"/>
  <c r="K83" i="5"/>
  <c r="J83" i="5"/>
  <c r="L82" i="5"/>
  <c r="K82" i="5"/>
  <c r="J82" i="5"/>
  <c r="L81" i="5"/>
  <c r="K81" i="5"/>
  <c r="J81" i="5"/>
  <c r="L80" i="5"/>
  <c r="K80" i="5"/>
  <c r="J80" i="5"/>
  <c r="L79" i="5"/>
  <c r="K79" i="5"/>
  <c r="J79" i="5"/>
  <c r="L78" i="5"/>
  <c r="K78" i="5"/>
  <c r="J78" i="5"/>
  <c r="L77" i="5"/>
  <c r="K77" i="5"/>
  <c r="J77" i="5"/>
  <c r="L76" i="5"/>
  <c r="K76" i="5"/>
  <c r="J76" i="5"/>
  <c r="L75" i="5"/>
  <c r="K75" i="5"/>
  <c r="J75" i="5"/>
  <c r="L74" i="5"/>
  <c r="K74" i="5"/>
  <c r="J74" i="5"/>
  <c r="L73" i="5"/>
  <c r="K73" i="5"/>
  <c r="J73" i="5"/>
  <c r="L72" i="5"/>
  <c r="K72" i="5"/>
  <c r="J72" i="5"/>
  <c r="L71" i="5"/>
  <c r="K71" i="5"/>
  <c r="J71" i="5"/>
  <c r="L70" i="5"/>
  <c r="K70" i="5"/>
  <c r="J70" i="5"/>
  <c r="L69" i="5"/>
  <c r="K69" i="5"/>
  <c r="J69" i="5"/>
  <c r="L68" i="5"/>
  <c r="K68" i="5"/>
  <c r="J68" i="5"/>
  <c r="L67" i="5"/>
  <c r="K67" i="5"/>
  <c r="J67" i="5"/>
  <c r="L66" i="5"/>
  <c r="K66" i="5"/>
  <c r="J66" i="5"/>
  <c r="L65" i="5"/>
  <c r="K65" i="5"/>
  <c r="J65" i="5"/>
  <c r="L64" i="5"/>
  <c r="K64" i="5"/>
  <c r="J64" i="5"/>
  <c r="L63" i="5"/>
  <c r="K63" i="5"/>
  <c r="J63" i="5"/>
  <c r="L62" i="5"/>
  <c r="K62" i="5"/>
  <c r="J62" i="5"/>
  <c r="L61" i="5"/>
  <c r="K61" i="5"/>
  <c r="J61" i="5"/>
  <c r="L60" i="5"/>
  <c r="K60" i="5"/>
  <c r="J60" i="5"/>
  <c r="L59" i="5"/>
  <c r="K59" i="5"/>
  <c r="J59" i="5"/>
  <c r="L58" i="5"/>
  <c r="K58" i="5"/>
  <c r="J58" i="5"/>
  <c r="L57" i="5"/>
  <c r="K57" i="5"/>
  <c r="J57" i="5"/>
  <c r="L56" i="5"/>
  <c r="K56" i="5"/>
  <c r="J56" i="5"/>
  <c r="L55" i="5"/>
  <c r="K55" i="5"/>
  <c r="J55" i="5"/>
  <c r="L54" i="5"/>
  <c r="K54" i="5"/>
  <c r="J54" i="5"/>
  <c r="L53" i="5"/>
  <c r="K53" i="5"/>
  <c r="J53" i="5"/>
  <c r="L52" i="5"/>
  <c r="K52" i="5"/>
  <c r="J52" i="5"/>
  <c r="L51" i="5"/>
  <c r="K51" i="5"/>
  <c r="J51" i="5"/>
  <c r="L50" i="5"/>
  <c r="K50" i="5"/>
  <c r="J50" i="5"/>
  <c r="L49" i="5"/>
  <c r="K49" i="5"/>
  <c r="J49" i="5"/>
  <c r="L48" i="5"/>
  <c r="K48" i="5"/>
  <c r="J48" i="5"/>
  <c r="L47" i="5"/>
  <c r="K47" i="5"/>
  <c r="J47" i="5"/>
  <c r="L46" i="5"/>
  <c r="K46" i="5"/>
  <c r="J46" i="5"/>
  <c r="L45" i="5"/>
  <c r="K45" i="5"/>
  <c r="J45" i="5"/>
  <c r="L44" i="5"/>
  <c r="K44" i="5"/>
  <c r="J44" i="5"/>
  <c r="L43" i="5"/>
  <c r="K43" i="5"/>
  <c r="J43" i="5"/>
  <c r="L42" i="5"/>
  <c r="K42" i="5"/>
  <c r="J42" i="5"/>
  <c r="L41" i="5"/>
  <c r="K41" i="5"/>
  <c r="J41" i="5"/>
  <c r="L40" i="5"/>
  <c r="K40" i="5"/>
  <c r="J40" i="5"/>
  <c r="L39" i="5"/>
  <c r="K39" i="5"/>
  <c r="J39" i="5"/>
  <c r="L38" i="5"/>
  <c r="K38" i="5"/>
  <c r="J38" i="5"/>
  <c r="L37" i="5"/>
  <c r="K37" i="5"/>
  <c r="J37" i="5"/>
  <c r="L36" i="5"/>
  <c r="K36" i="5"/>
  <c r="J36" i="5"/>
  <c r="L35" i="5"/>
  <c r="K35" i="5"/>
  <c r="J35" i="5"/>
  <c r="L34" i="5"/>
  <c r="K34" i="5"/>
  <c r="J34" i="5"/>
  <c r="L33" i="5"/>
  <c r="K33" i="5"/>
  <c r="J33" i="5"/>
  <c r="L32" i="5"/>
  <c r="K32" i="5"/>
  <c r="J32" i="5"/>
  <c r="L31" i="5"/>
  <c r="K31" i="5"/>
  <c r="J31" i="5"/>
  <c r="L30" i="5"/>
  <c r="K30" i="5"/>
  <c r="J30" i="5"/>
  <c r="L29" i="5"/>
  <c r="K29" i="5"/>
  <c r="J29" i="5"/>
  <c r="L28" i="5"/>
  <c r="K28" i="5"/>
  <c r="J28" i="5"/>
  <c r="L27" i="5"/>
  <c r="K27" i="5"/>
  <c r="J27" i="5"/>
  <c r="L26" i="5"/>
  <c r="K26" i="5"/>
  <c r="J26" i="5"/>
  <c r="L25" i="5"/>
  <c r="K25" i="5"/>
  <c r="J25" i="5"/>
  <c r="L24" i="5"/>
  <c r="K24" i="5"/>
  <c r="J24" i="5"/>
  <c r="L23" i="5"/>
  <c r="K23" i="5"/>
  <c r="J23" i="5"/>
  <c r="L22" i="5"/>
  <c r="K22" i="5"/>
  <c r="J22" i="5"/>
  <c r="L21" i="5"/>
  <c r="K21" i="5"/>
  <c r="J21" i="5"/>
  <c r="L20" i="5"/>
  <c r="K20" i="5"/>
  <c r="J20" i="5"/>
  <c r="L19" i="5"/>
  <c r="K19" i="5"/>
  <c r="J19" i="5"/>
  <c r="L18" i="5"/>
  <c r="K18" i="5"/>
  <c r="J18" i="5"/>
  <c r="L17" i="5"/>
  <c r="K17" i="5"/>
  <c r="J17" i="5"/>
  <c r="L16" i="5"/>
  <c r="K16" i="5"/>
  <c r="J16" i="5"/>
  <c r="L15" i="5"/>
  <c r="K15" i="5"/>
  <c r="J15" i="5"/>
  <c r="L14" i="5"/>
  <c r="K14" i="5"/>
  <c r="J14" i="5"/>
  <c r="L13" i="5"/>
  <c r="K13" i="5"/>
  <c r="J13" i="5"/>
  <c r="L12" i="5"/>
  <c r="K12" i="5"/>
  <c r="J12" i="5"/>
  <c r="L11" i="5"/>
  <c r="K11" i="5"/>
  <c r="J11" i="5"/>
  <c r="L10" i="5"/>
  <c r="K10" i="5"/>
  <c r="J10" i="5"/>
  <c r="L9" i="5"/>
  <c r="K9" i="5"/>
  <c r="J9" i="5"/>
  <c r="L8" i="5"/>
  <c r="K8" i="5"/>
  <c r="J8" i="5"/>
  <c r="L7" i="5"/>
  <c r="K7" i="5"/>
  <c r="J7" i="5"/>
  <c r="L6" i="5"/>
  <c r="K6" i="5"/>
  <c r="J6" i="5"/>
  <c r="L5" i="5"/>
  <c r="K5" i="5"/>
  <c r="J5" i="5"/>
  <c r="L4" i="5"/>
  <c r="K4" i="5"/>
  <c r="J4" i="5"/>
  <c r="L3" i="5"/>
  <c r="K3" i="5"/>
  <c r="J3" i="5"/>
  <c r="L2" i="5"/>
  <c r="K2" i="5"/>
  <c r="J2" i="5"/>
  <c r="O6" i="3" a="1"/>
  <c r="O6" i="3" s="1"/>
  <c r="S6" i="3" s="1" a="1"/>
  <c r="S6" i="3" s="1"/>
  <c r="S4" i="3"/>
  <c r="S3" i="3"/>
  <c r="S2" i="3"/>
  <c r="P4" i="3"/>
  <c r="O4" i="3"/>
  <c r="O3" i="3"/>
  <c r="Q3" i="3"/>
  <c r="Q2" i="3"/>
  <c r="P2" i="3"/>
  <c r="Q4" i="3"/>
  <c r="P3" i="3"/>
  <c r="O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M52" i="3"/>
  <c r="M53" i="3"/>
  <c r="M54" i="3"/>
  <c r="M55" i="3"/>
  <c r="M56" i="3"/>
  <c r="M57" i="3"/>
  <c r="M58" i="3"/>
  <c r="M59" i="3"/>
  <c r="M60" i="3"/>
  <c r="M61" i="3"/>
  <c r="M62" i="3"/>
  <c r="M63" i="3"/>
  <c r="M64" i="3"/>
  <c r="M65" i="3"/>
  <c r="M66" i="3"/>
  <c r="M67" i="3"/>
  <c r="M68" i="3"/>
  <c r="M69" i="3"/>
  <c r="M70" i="3"/>
  <c r="M71" i="3"/>
  <c r="M72" i="3"/>
  <c r="M73" i="3"/>
  <c r="M74" i="3"/>
  <c r="M75" i="3"/>
  <c r="M76" i="3"/>
  <c r="M77" i="3"/>
  <c r="M78" i="3"/>
  <c r="M79" i="3"/>
  <c r="M80" i="3"/>
  <c r="M81" i="3"/>
  <c r="M82" i="3"/>
  <c r="M83" i="3"/>
  <c r="M84" i="3"/>
  <c r="M85" i="3"/>
  <c r="M86" i="3"/>
  <c r="M87" i="3"/>
  <c r="M88" i="3"/>
  <c r="M89" i="3"/>
  <c r="M90" i="3"/>
  <c r="M91" i="3"/>
  <c r="M92" i="3"/>
  <c r="M93" i="3"/>
  <c r="M94" i="3"/>
  <c r="M95" i="3"/>
  <c r="M96" i="3"/>
  <c r="M97" i="3"/>
  <c r="M98" i="3"/>
  <c r="M99" i="3"/>
  <c r="M100" i="3"/>
  <c r="M2" i="3"/>
  <c r="L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63" i="3"/>
  <c r="L64" i="3"/>
  <c r="L65" i="3"/>
  <c r="L66" i="3"/>
  <c r="L67" i="3"/>
  <c r="L68" i="3"/>
  <c r="L69" i="3"/>
  <c r="L70" i="3"/>
  <c r="L71" i="3"/>
  <c r="L72" i="3"/>
  <c r="L73" i="3"/>
  <c r="L74" i="3"/>
  <c r="L75" i="3"/>
  <c r="L76" i="3"/>
  <c r="L77" i="3"/>
  <c r="L78" i="3"/>
  <c r="L79" i="3"/>
  <c r="L80" i="3"/>
  <c r="L81" i="3"/>
  <c r="L82" i="3"/>
  <c r="L83" i="3"/>
  <c r="L84" i="3"/>
  <c r="L85" i="3"/>
  <c r="L86" i="3"/>
  <c r="L87" i="3"/>
  <c r="L88" i="3"/>
  <c r="L89" i="3"/>
  <c r="L90" i="3"/>
  <c r="L91" i="3"/>
  <c r="L92" i="3"/>
  <c r="L93" i="3"/>
  <c r="L94" i="3"/>
  <c r="L95" i="3"/>
  <c r="L96" i="3"/>
  <c r="L97" i="3"/>
  <c r="L98" i="3"/>
  <c r="L99" i="3"/>
  <c r="L100" i="3"/>
  <c r="L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94" i="3"/>
  <c r="K95" i="3"/>
  <c r="K96" i="3"/>
  <c r="K97" i="3"/>
  <c r="K98" i="3"/>
  <c r="K99" i="3"/>
  <c r="K100" i="3"/>
  <c r="K2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2" i="3"/>
  <c r="S11" i="2"/>
  <c r="Q12" i="2"/>
  <c r="Q13" i="2"/>
  <c r="Q11" i="2"/>
  <c r="S6" i="2" a="1"/>
  <c r="S6" i="2" s="1"/>
  <c r="O6" i="2" a="1"/>
  <c r="O6" i="2" s="1"/>
  <c r="S4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2" i="2"/>
  <c r="Q4" i="2" s="1"/>
  <c r="L3" i="2"/>
  <c r="L4" i="2"/>
  <c r="L5" i="2"/>
  <c r="L6" i="2"/>
  <c r="L7" i="2"/>
  <c r="L8" i="2"/>
  <c r="Q3" i="2" s="1"/>
  <c r="P4" i="2" s="1"/>
  <c r="L9" i="2"/>
  <c r="L10" i="2"/>
  <c r="L11" i="2"/>
  <c r="L12" i="2"/>
  <c r="P3" i="2" s="1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2" i="2"/>
  <c r="K3" i="2"/>
  <c r="K4" i="2"/>
  <c r="K5" i="2"/>
  <c r="K6" i="2"/>
  <c r="K7" i="2"/>
  <c r="K8" i="2"/>
  <c r="Q2" i="2" s="1"/>
  <c r="O4" i="2" s="1"/>
  <c r="K9" i="2"/>
  <c r="P2" i="2" s="1"/>
  <c r="O3" i="2" s="1"/>
  <c r="K10" i="2"/>
  <c r="K11" i="2"/>
  <c r="K12" i="2"/>
  <c r="O2" i="2" s="1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2" i="2"/>
  <c r="J3" i="2"/>
  <c r="J4" i="2"/>
  <c r="S2" i="2" s="1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2" i="2"/>
  <c r="S3" i="2" s="1"/>
  <c r="O2" i="5" l="1"/>
  <c r="P2" i="5"/>
  <c r="O3" i="5" s="1"/>
  <c r="S3" i="5"/>
  <c r="S2" i="5"/>
  <c r="P3" i="6"/>
  <c r="S3" i="6"/>
  <c r="S11" i="6"/>
  <c r="O2" i="6"/>
  <c r="P2" i="6"/>
  <c r="O3" i="6" s="1"/>
  <c r="P3" i="5"/>
  <c r="O6" i="5" l="1" a="1"/>
  <c r="O6" i="5" s="1"/>
  <c r="Q12" i="6"/>
  <c r="S6" i="5" l="1" a="1"/>
  <c r="Q11" i="5" l="1"/>
  <c r="S6" i="5"/>
  <c r="Q10" i="5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<sst xmlns="http://schemas.openxmlformats.org/spreadsheetml/2006/main" count="1385" uniqueCount="26">
  <si>
    <t>A'</t>
  </si>
  <si>
    <t>(</t>
  </si>
  <si>
    <t>;</t>
  </si>
  <si>
    <t>)</t>
  </si>
  <si>
    <t>A"</t>
  </si>
  <si>
    <t>E (calc)</t>
  </si>
  <si>
    <t>J</t>
  </si>
  <si>
    <t>E (obs)</t>
  </si>
  <si>
    <t>r1_neg</t>
  </si>
  <si>
    <t>r1_pos</t>
  </si>
  <si>
    <t>r2_neg</t>
  </si>
  <si>
    <t>r2_pos</t>
  </si>
  <si>
    <t>E(obs-calc)</t>
  </si>
  <si>
    <t>dE/dr1</t>
  </si>
  <si>
    <t>dE/dr2</t>
  </si>
  <si>
    <t>r3_neg</t>
  </si>
  <si>
    <t>r3_pos</t>
  </si>
  <si>
    <t>dE/dr3</t>
  </si>
  <si>
    <t>A</t>
  </si>
  <si>
    <t>B</t>
  </si>
  <si>
    <t>r1</t>
  </si>
  <si>
    <t>r2</t>
  </si>
  <si>
    <t>r3</t>
  </si>
  <si>
    <t>old</t>
  </si>
  <si>
    <t>new</t>
  </si>
  <si>
    <t>least squares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</si>
</sst>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40895-BEEA-40B3-807B-042090F71F78}">
  <dimension ref="A1:S100"/>
  <sheetViews>
    <sheetView topLeftCell="A78" workbookViewId="0">
      <selection activeCell="A78" sqref="A1:A1048576"/>
    </sheetView>
  </sheetViews>
  <sheetFormatPr defaultRowHeight="14.5" x14ac:dyDescent="0.35"/>
  <cols>
    <col min="1" max="1" width="6.08984375" customWidth="1"/>
    <col min="2" max="2" width="11" customWidth="1"/>
    <col min="3" max="3" width="9.81640625" bestFit="1" customWidth="1"/>
    <col min="4" max="7" width="10.81640625" bestFit="1" customWidth="1"/>
    <col min="10" max="10" width="14.36328125" customWidth="1"/>
    <col min="19" max="19" width="12.453125" bestFit="1" customWidth="1"/>
  </cols>
  <sheetData>
    <row r="1" spans="1:19" x14ac:dyDescent="0.35">
      <c r="A1" t="s">
        <v>6</v>
      </c>
      <c r="B1" t="s">
        <v>7</v>
      </c>
      <c r="C1" t="s">
        <v>5</v>
      </c>
      <c r="D1" t="s">
        <v>9</v>
      </c>
      <c r="E1" t="s">
        <v>8</v>
      </c>
      <c r="F1" t="s">
        <v>11</v>
      </c>
      <c r="G1" t="s">
        <v>10</v>
      </c>
      <c r="H1" t="s">
        <v>16</v>
      </c>
      <c r="I1" t="s">
        <v>15</v>
      </c>
      <c r="J1" t="s">
        <v>12</v>
      </c>
      <c r="K1" t="s">
        <v>13</v>
      </c>
      <c r="L1" t="s">
        <v>14</v>
      </c>
      <c r="M1" t="s">
        <v>17</v>
      </c>
      <c r="O1" t="s">
        <v>18</v>
      </c>
      <c r="S1" t="s">
        <v>19</v>
      </c>
    </row>
    <row r="2" spans="1:19" x14ac:dyDescent="0.35">
      <c r="A2">
        <v>1</v>
      </c>
      <c r="B2">
        <v>0.57210000000000005</v>
      </c>
      <c r="C2">
        <v>0.59790500000000002</v>
      </c>
      <c r="D2">
        <v>0.59745300000000001</v>
      </c>
      <c r="E2">
        <v>0.59835899999999997</v>
      </c>
      <c r="F2">
        <v>0.59759600000000002</v>
      </c>
      <c r="G2">
        <v>0.59821500000000005</v>
      </c>
      <c r="H2">
        <v>1.5647070000000001</v>
      </c>
      <c r="I2">
        <v>1.565177</v>
      </c>
      <c r="J2">
        <f>B2-C2</f>
        <v>-2.5804999999999967E-2</v>
      </c>
      <c r="K2">
        <f>(D2-E2)/(2*0.001)</f>
        <v>-0.4529999999999812</v>
      </c>
      <c r="L2">
        <f>(F2-G2)/(2*0.001)</f>
        <v>-0.30950000000001809</v>
      </c>
      <c r="M2">
        <f t="shared" ref="M2:M33" si="0">(H2-I2)/(2*0.001)</f>
        <v>-0.23499999999998522</v>
      </c>
      <c r="O2">
        <f>SUMSQ(K2:K100)</f>
        <v>40353.457502750658</v>
      </c>
      <c r="P2">
        <f>SUMPRODUCT(K2:K100,L2:L100)</f>
        <v>53243.130024999642</v>
      </c>
      <c r="Q2">
        <f>SUMPRODUCT(K2:K100,M2:M100)</f>
        <v>9784.0557517494672</v>
      </c>
      <c r="S2">
        <f>SUMPRODUCT(J2:J100,K2:K100)</f>
        <v>1158.2560097515034</v>
      </c>
    </row>
    <row r="3" spans="1:19" x14ac:dyDescent="0.35">
      <c r="A3">
        <v>1</v>
      </c>
      <c r="B3">
        <v>1.4932000000000001</v>
      </c>
      <c r="C3">
        <v>1.52749</v>
      </c>
      <c r="D3">
        <v>1.5267090000000001</v>
      </c>
      <c r="E3">
        <v>1.5282720000000001</v>
      </c>
      <c r="F3">
        <v>1.526424</v>
      </c>
      <c r="G3">
        <v>1.528559</v>
      </c>
      <c r="H3">
        <v>0.59790299999999996</v>
      </c>
      <c r="I3">
        <v>0.597908</v>
      </c>
      <c r="J3">
        <f t="shared" ref="J3:J66" si="1">B3-C3</f>
        <v>-3.4289999999999932E-2</v>
      </c>
      <c r="K3">
        <f t="shared" ref="K3:K66" si="2">(D3-E3)/(2*0.001)</f>
        <v>-0.78149999999999054</v>
      </c>
      <c r="L3">
        <f t="shared" ref="L3:L66" si="3">(F3-G3)/(2*0.001)</f>
        <v>-1.067499999999999</v>
      </c>
      <c r="M3">
        <f t="shared" si="0"/>
        <v>-2.500000000016378E-3</v>
      </c>
      <c r="O3">
        <f>P2</f>
        <v>53243.130024999642</v>
      </c>
      <c r="P3">
        <f>SUMSQ(L2:L100)</f>
        <v>73680.096298247023</v>
      </c>
      <c r="Q3">
        <f>SUMPRODUCT(L2:L100,M2:M100)</f>
        <v>13159.678951748796</v>
      </c>
      <c r="S3">
        <f>SUMPRODUCT(J2:J100,L2:L100)</f>
        <v>1382.1888438994818</v>
      </c>
    </row>
    <row r="4" spans="1:19" x14ac:dyDescent="0.35">
      <c r="A4">
        <v>1</v>
      </c>
      <c r="B4">
        <v>1.5575000000000001</v>
      </c>
      <c r="C4">
        <v>1.5649420000000001</v>
      </c>
      <c r="D4">
        <v>1.564147</v>
      </c>
      <c r="E4">
        <v>1.565739</v>
      </c>
      <c r="F4">
        <v>1.563831</v>
      </c>
      <c r="G4">
        <v>1.566055</v>
      </c>
      <c r="H4">
        <v>1.5272479999999999</v>
      </c>
      <c r="I4">
        <v>1.5277320000000001</v>
      </c>
      <c r="J4">
        <f t="shared" si="1"/>
        <v>-7.4419999999999487E-3</v>
      </c>
      <c r="K4">
        <f t="shared" si="2"/>
        <v>-0.79600000000001891</v>
      </c>
      <c r="L4">
        <f t="shared" si="3"/>
        <v>-1.1120000000000019</v>
      </c>
      <c r="M4">
        <f t="shared" si="0"/>
        <v>-0.24200000000007549</v>
      </c>
      <c r="O4">
        <f>Q2</f>
        <v>9784.0557517494672</v>
      </c>
      <c r="P4">
        <f>Q3</f>
        <v>13159.678951748796</v>
      </c>
      <c r="Q4">
        <f>SUMSQ(M2:M100)</f>
        <v>3641.9596319995371</v>
      </c>
      <c r="S4">
        <f>SUMPRODUCT(J2:J100,M2:M100)</f>
        <v>259.06719786598455</v>
      </c>
    </row>
    <row r="5" spans="1:19" x14ac:dyDescent="0.35">
      <c r="A5">
        <v>2</v>
      </c>
      <c r="B5">
        <v>1.7129000000000001</v>
      </c>
      <c r="C5">
        <v>1.7922549999999999</v>
      </c>
      <c r="D5">
        <v>1.7908980000000001</v>
      </c>
      <c r="E5">
        <v>1.7936129999999999</v>
      </c>
      <c r="F5">
        <v>1.7913269999999999</v>
      </c>
      <c r="G5">
        <v>1.793183</v>
      </c>
      <c r="H5">
        <v>1.7922469999999999</v>
      </c>
      <c r="I5">
        <v>1.7922629999999999</v>
      </c>
      <c r="J5">
        <f t="shared" si="1"/>
        <v>-7.9354999999999842E-2</v>
      </c>
      <c r="K5">
        <f t="shared" si="2"/>
        <v>-1.3574999999999005</v>
      </c>
      <c r="L5">
        <f t="shared" si="3"/>
        <v>-0.9280000000000399</v>
      </c>
      <c r="M5">
        <f t="shared" si="0"/>
        <v>-8.0000000000080007E-3</v>
      </c>
    </row>
    <row r="6" spans="1:19" x14ac:dyDescent="0.35">
      <c r="A6">
        <v>2</v>
      </c>
      <c r="B6">
        <v>2.573</v>
      </c>
      <c r="C6">
        <v>2.6854070000000001</v>
      </c>
      <c r="D6">
        <v>2.6837369999999998</v>
      </c>
      <c r="E6">
        <v>2.6870790000000002</v>
      </c>
      <c r="F6">
        <v>2.6837650000000002</v>
      </c>
      <c r="G6">
        <v>2.6870509999999999</v>
      </c>
      <c r="H6">
        <v>2.6851530000000001</v>
      </c>
      <c r="I6">
        <v>2.6856610000000001</v>
      </c>
      <c r="J6">
        <f t="shared" si="1"/>
        <v>-0.11240700000000015</v>
      </c>
      <c r="K6">
        <f t="shared" si="2"/>
        <v>-1.6710000000002001</v>
      </c>
      <c r="L6">
        <f t="shared" si="3"/>
        <v>-1.642999999999839</v>
      </c>
      <c r="M6">
        <f t="shared" si="0"/>
        <v>-0.25399999999997647</v>
      </c>
      <c r="O6" cm="1">
        <f t="array" ref="O6:Q8">MINVERSE(O2:Q4)</f>
        <v>5.4937517567479194E-4</v>
      </c>
      <c r="P6">
        <v>-3.761360415961342E-4</v>
      </c>
      <c r="Q6">
        <v>-1.167744403605789E-4</v>
      </c>
      <c r="S6" cm="1">
        <f t="array" ref="S6:S8">MMULT(O6:Q8,S2:S4)</f>
        <v>8.6173631304343856E-2</v>
      </c>
    </row>
    <row r="7" spans="1:19" x14ac:dyDescent="0.35">
      <c r="A7">
        <v>2</v>
      </c>
      <c r="B7">
        <v>2.7658999999999998</v>
      </c>
      <c r="C7">
        <v>2.7982130000000001</v>
      </c>
      <c r="D7">
        <v>2.796497</v>
      </c>
      <c r="E7">
        <v>2.7999309999999999</v>
      </c>
      <c r="F7">
        <v>2.7964380000000002</v>
      </c>
      <c r="G7">
        <v>2.7999900000000002</v>
      </c>
      <c r="H7">
        <v>5.5868039999999999</v>
      </c>
      <c r="I7">
        <v>5.5887039999999999</v>
      </c>
      <c r="J7">
        <f t="shared" si="1"/>
        <v>-3.2313000000000258E-2</v>
      </c>
      <c r="K7">
        <f t="shared" si="2"/>
        <v>-1.7169999999999686</v>
      </c>
      <c r="L7">
        <f t="shared" si="3"/>
        <v>-1.7759999999999998</v>
      </c>
      <c r="M7">
        <f t="shared" si="0"/>
        <v>-0.95000000000000639</v>
      </c>
      <c r="O7">
        <v>-3.7613604159613409E-4</v>
      </c>
      <c r="P7">
        <v>2.9579671169421108E-4</v>
      </c>
      <c r="Q7">
        <v>-5.8335012226162556E-5</v>
      </c>
      <c r="S7">
        <v>-4.1927603851883745E-2</v>
      </c>
    </row>
    <row r="8" spans="1:19" x14ac:dyDescent="0.35">
      <c r="A8">
        <v>2</v>
      </c>
      <c r="B8">
        <v>5.5289000000000001</v>
      </c>
      <c r="C8">
        <v>5.5867529999999999</v>
      </c>
      <c r="D8">
        <v>5.5840529999999999</v>
      </c>
      <c r="E8">
        <v>5.5894570000000003</v>
      </c>
      <c r="F8">
        <v>5.5827080000000002</v>
      </c>
      <c r="G8">
        <v>5.5908049999999996</v>
      </c>
      <c r="H8">
        <v>2.7979799999999999</v>
      </c>
      <c r="I8">
        <v>2.7984460000000002</v>
      </c>
      <c r="J8">
        <f t="shared" si="1"/>
        <v>-5.785299999999971E-2</v>
      </c>
      <c r="K8">
        <f t="shared" si="2"/>
        <v>-2.7020000000002042</v>
      </c>
      <c r="L8">
        <f t="shared" si="3"/>
        <v>-4.0484999999996774</v>
      </c>
      <c r="M8">
        <f t="shared" si="0"/>
        <v>-0.23300000000014975</v>
      </c>
      <c r="O8">
        <v>-1.1677444036057932E-4</v>
      </c>
      <c r="P8">
        <v>-5.8335012226162238E-5</v>
      </c>
      <c r="Q8">
        <v>7.990746634970547E-4</v>
      </c>
      <c r="S8">
        <v>-8.8706664828643311E-3</v>
      </c>
    </row>
    <row r="9" spans="1:19" x14ac:dyDescent="0.35">
      <c r="A9">
        <v>2</v>
      </c>
      <c r="B9">
        <v>5.5320999999999998</v>
      </c>
      <c r="C9">
        <v>5.5877540000000003</v>
      </c>
      <c r="D9">
        <v>5.5850549999999997</v>
      </c>
      <c r="E9">
        <v>5.5904590000000001</v>
      </c>
      <c r="F9">
        <v>5.5837079999999997</v>
      </c>
      <c r="G9">
        <v>5.5918089999999996</v>
      </c>
      <c r="H9">
        <v>5.5858020000000002</v>
      </c>
      <c r="I9">
        <v>5.5877030000000003</v>
      </c>
      <c r="J9">
        <f t="shared" si="1"/>
        <v>-5.5654000000000536E-2</v>
      </c>
      <c r="K9">
        <f t="shared" si="2"/>
        <v>-2.7020000000002042</v>
      </c>
      <c r="L9">
        <f t="shared" si="3"/>
        <v>-4.0504999999999569</v>
      </c>
      <c r="M9">
        <f t="shared" si="0"/>
        <v>-0.95050000000007628</v>
      </c>
    </row>
    <row r="10" spans="1:19" x14ac:dyDescent="0.35">
      <c r="A10">
        <v>3</v>
      </c>
      <c r="B10">
        <v>3.4161999999999999</v>
      </c>
      <c r="C10">
        <v>3.5800830000000001</v>
      </c>
      <c r="D10">
        <v>3.577375</v>
      </c>
      <c r="E10">
        <v>3.5827939999999998</v>
      </c>
      <c r="F10">
        <v>3.5782310000000002</v>
      </c>
      <c r="G10">
        <v>3.5819369999999999</v>
      </c>
      <c r="H10">
        <v>4.6468780000000001</v>
      </c>
      <c r="I10">
        <v>4.6473389999999997</v>
      </c>
      <c r="J10">
        <f t="shared" si="1"/>
        <v>-0.16388300000000022</v>
      </c>
      <c r="K10">
        <f t="shared" si="2"/>
        <v>-2.7094999999999203</v>
      </c>
      <c r="L10">
        <f t="shared" si="3"/>
        <v>-1.8529999999998825</v>
      </c>
      <c r="M10">
        <f t="shared" si="0"/>
        <v>-0.23049999999980031</v>
      </c>
      <c r="P10" t="s">
        <v>23</v>
      </c>
      <c r="Q10" t="s">
        <v>24</v>
      </c>
      <c r="S10" t="s">
        <v>25</v>
      </c>
    </row>
    <row r="11" spans="1:19" x14ac:dyDescent="0.35">
      <c r="A11">
        <v>3</v>
      </c>
      <c r="B11">
        <v>4.1906999999999996</v>
      </c>
      <c r="C11">
        <v>4.4201860000000002</v>
      </c>
      <c r="D11">
        <v>4.4171870000000002</v>
      </c>
      <c r="E11">
        <v>4.4231889999999998</v>
      </c>
      <c r="F11">
        <v>4.4176799999999998</v>
      </c>
      <c r="G11">
        <v>4.422695</v>
      </c>
      <c r="H11">
        <v>7.3791279999999997</v>
      </c>
      <c r="I11">
        <v>7.3810440000000002</v>
      </c>
      <c r="J11">
        <f t="shared" si="1"/>
        <v>-0.22948600000000052</v>
      </c>
      <c r="K11">
        <f t="shared" si="2"/>
        <v>-3.0009999999998094</v>
      </c>
      <c r="L11">
        <f t="shared" si="3"/>
        <v>-2.5075000000001069</v>
      </c>
      <c r="M11">
        <f t="shared" si="0"/>
        <v>-0.95800000000023644</v>
      </c>
      <c r="O11" t="s">
        <v>20</v>
      </c>
      <c r="P11">
        <v>1.6034616900000001</v>
      </c>
      <c r="Q11">
        <f>P11+S6</f>
        <v>1.689635321304344</v>
      </c>
      <c r="S11">
        <f>SUMSQ(J2:J100)</f>
        <v>41.771410566213021</v>
      </c>
    </row>
    <row r="12" spans="1:19" x14ac:dyDescent="0.35">
      <c r="A12">
        <v>3</v>
      </c>
      <c r="B12">
        <v>4.5765000000000002</v>
      </c>
      <c r="C12">
        <v>4.6471080000000002</v>
      </c>
      <c r="D12">
        <v>4.6440130000000002</v>
      </c>
      <c r="E12">
        <v>4.6502059999999998</v>
      </c>
      <c r="F12">
        <v>4.6443370000000002</v>
      </c>
      <c r="G12">
        <v>4.6498819999999998</v>
      </c>
      <c r="H12">
        <v>12.119373</v>
      </c>
      <c r="I12">
        <v>12.123645</v>
      </c>
      <c r="J12">
        <f t="shared" si="1"/>
        <v>-7.0608000000000004E-2</v>
      </c>
      <c r="K12">
        <f t="shared" si="2"/>
        <v>-3.0964999999998355</v>
      </c>
      <c r="L12">
        <f t="shared" si="3"/>
        <v>-2.7724999999998445</v>
      </c>
      <c r="M12">
        <f t="shared" si="0"/>
        <v>-2.1360000000001378</v>
      </c>
      <c r="O12" t="s">
        <v>21</v>
      </c>
      <c r="P12">
        <v>1.46783211</v>
      </c>
      <c r="Q12">
        <f t="shared" ref="Q12:Q13" si="4">P12+S7</f>
        <v>1.4259045061481164</v>
      </c>
    </row>
    <row r="13" spans="1:19" x14ac:dyDescent="0.35">
      <c r="A13">
        <v>3</v>
      </c>
      <c r="B13">
        <v>7.2450999999999999</v>
      </c>
      <c r="C13">
        <v>7.3800860000000004</v>
      </c>
      <c r="D13">
        <v>7.3760300000000001</v>
      </c>
      <c r="E13">
        <v>7.3841489999999999</v>
      </c>
      <c r="F13">
        <v>7.3751110000000004</v>
      </c>
      <c r="G13">
        <v>7.3850689999999997</v>
      </c>
      <c r="H13">
        <v>3.5800649999999998</v>
      </c>
      <c r="I13">
        <v>3.5801020000000001</v>
      </c>
      <c r="J13">
        <f t="shared" si="1"/>
        <v>-0.13498600000000049</v>
      </c>
      <c r="K13">
        <f t="shared" si="2"/>
        <v>-4.0594999999998826</v>
      </c>
      <c r="L13">
        <f t="shared" si="3"/>
        <v>-4.9789999999996226</v>
      </c>
      <c r="M13">
        <f t="shared" si="0"/>
        <v>-1.8500000000143402E-2</v>
      </c>
      <c r="O13" t="s">
        <v>22</v>
      </c>
      <c r="P13">
        <v>0.96779674999999998</v>
      </c>
      <c r="Q13">
        <f t="shared" si="4"/>
        <v>0.9589260835171356</v>
      </c>
    </row>
    <row r="14" spans="1:19" x14ac:dyDescent="0.35">
      <c r="A14">
        <v>3</v>
      </c>
      <c r="B14">
        <v>7.2613000000000003</v>
      </c>
      <c r="C14">
        <v>7.3851639999999996</v>
      </c>
      <c r="D14">
        <v>7.3811059999999999</v>
      </c>
      <c r="E14">
        <v>7.3892280000000001</v>
      </c>
      <c r="F14">
        <v>7.3801800000000002</v>
      </c>
      <c r="G14">
        <v>7.3901560000000002</v>
      </c>
      <c r="H14">
        <v>4.4199140000000003</v>
      </c>
      <c r="I14">
        <v>4.420458</v>
      </c>
      <c r="J14">
        <f t="shared" si="1"/>
        <v>-0.12386399999999931</v>
      </c>
      <c r="K14">
        <f t="shared" si="2"/>
        <v>-4.0610000000000923</v>
      </c>
      <c r="L14">
        <f t="shared" si="3"/>
        <v>-4.9879999999999924</v>
      </c>
      <c r="M14">
        <f t="shared" si="0"/>
        <v>-0.27199999999982793</v>
      </c>
    </row>
    <row r="15" spans="1:19" x14ac:dyDescent="0.35">
      <c r="A15">
        <v>3</v>
      </c>
      <c r="B15">
        <v>12.011699999999999</v>
      </c>
      <c r="C15">
        <v>12.121498000000001</v>
      </c>
      <c r="D15">
        <v>12.115765</v>
      </c>
      <c r="E15">
        <v>12.127243</v>
      </c>
      <c r="F15">
        <v>12.112631</v>
      </c>
      <c r="G15">
        <v>12.130385</v>
      </c>
      <c r="H15">
        <v>7.3842090000000002</v>
      </c>
      <c r="I15">
        <v>7.3861179999999997</v>
      </c>
      <c r="J15">
        <f t="shared" si="1"/>
        <v>-0.10979800000000139</v>
      </c>
      <c r="K15">
        <f t="shared" si="2"/>
        <v>-5.7390000000001606</v>
      </c>
      <c r="L15">
        <f t="shared" si="3"/>
        <v>-8.8770000000000238</v>
      </c>
      <c r="M15">
        <f t="shared" si="0"/>
        <v>-0.95449999999974722</v>
      </c>
    </row>
    <row r="16" spans="1:19" x14ac:dyDescent="0.35">
      <c r="A16">
        <v>3</v>
      </c>
      <c r="B16">
        <v>12.011799999999999</v>
      </c>
      <c r="C16">
        <v>12.121509</v>
      </c>
      <c r="D16">
        <v>12.115776</v>
      </c>
      <c r="E16">
        <v>12.127254000000001</v>
      </c>
      <c r="F16">
        <v>12.112641999999999</v>
      </c>
      <c r="G16">
        <v>12.130395999999999</v>
      </c>
      <c r="H16">
        <v>12.119362000000001</v>
      </c>
      <c r="I16">
        <v>12.123633999999999</v>
      </c>
      <c r="J16">
        <f t="shared" si="1"/>
        <v>-0.1097090000000005</v>
      </c>
      <c r="K16">
        <f t="shared" si="2"/>
        <v>-5.7390000000001606</v>
      </c>
      <c r="L16">
        <f t="shared" si="3"/>
        <v>-8.8770000000000238</v>
      </c>
      <c r="M16">
        <f t="shared" si="0"/>
        <v>-2.1359999999992496</v>
      </c>
    </row>
    <row r="17" spans="1:13" x14ac:dyDescent="0.35">
      <c r="A17">
        <v>4</v>
      </c>
      <c r="B17">
        <v>5.6722999999999999</v>
      </c>
      <c r="C17">
        <v>5.9568649999999996</v>
      </c>
      <c r="D17">
        <v>5.9523619999999999</v>
      </c>
      <c r="E17">
        <v>5.9613719999999999</v>
      </c>
      <c r="F17">
        <v>5.9537849999999999</v>
      </c>
      <c r="G17">
        <v>5.9599450000000003</v>
      </c>
      <c r="H17">
        <v>5.9568289999999999</v>
      </c>
      <c r="I17">
        <v>5.9569000000000001</v>
      </c>
      <c r="J17">
        <f t="shared" si="1"/>
        <v>-0.28456499999999973</v>
      </c>
      <c r="K17">
        <f t="shared" si="2"/>
        <v>-4.5049999999999812</v>
      </c>
      <c r="L17">
        <f t="shared" si="3"/>
        <v>-3.0800000000001937</v>
      </c>
      <c r="M17">
        <f t="shared" si="0"/>
        <v>-3.5500000000077137E-2</v>
      </c>
    </row>
    <row r="18" spans="1:13" x14ac:dyDescent="0.35">
      <c r="A18">
        <v>4</v>
      </c>
      <c r="B18">
        <v>6.3440000000000003</v>
      </c>
      <c r="C18">
        <v>6.7293669999999999</v>
      </c>
      <c r="D18">
        <v>6.7246040000000002</v>
      </c>
      <c r="E18">
        <v>6.7341360000000003</v>
      </c>
      <c r="F18">
        <v>6.7257069999999999</v>
      </c>
      <c r="G18">
        <v>6.7330310000000004</v>
      </c>
      <c r="H18">
        <v>6.7290700000000001</v>
      </c>
      <c r="I18">
        <v>6.7296639999999996</v>
      </c>
      <c r="J18">
        <f t="shared" si="1"/>
        <v>-0.38536699999999957</v>
      </c>
      <c r="K18">
        <f t="shared" si="2"/>
        <v>-4.766000000000048</v>
      </c>
      <c r="L18">
        <f t="shared" si="3"/>
        <v>-3.6620000000002761</v>
      </c>
      <c r="M18">
        <f t="shared" si="0"/>
        <v>-0.29699999999976967</v>
      </c>
    </row>
    <row r="19" spans="1:13" x14ac:dyDescent="0.35">
      <c r="A19">
        <v>4</v>
      </c>
      <c r="B19">
        <v>6.9866000000000001</v>
      </c>
      <c r="C19">
        <v>7.1103630000000004</v>
      </c>
      <c r="D19">
        <v>7.1054310000000003</v>
      </c>
      <c r="E19">
        <v>7.1152990000000003</v>
      </c>
      <c r="F19">
        <v>7.1062649999999996</v>
      </c>
      <c r="G19">
        <v>7.1144629999999998</v>
      </c>
      <c r="H19">
        <v>9.7835190000000001</v>
      </c>
      <c r="I19">
        <v>9.7854349999999997</v>
      </c>
      <c r="J19">
        <f t="shared" si="1"/>
        <v>-0.12376300000000029</v>
      </c>
      <c r="K19">
        <f t="shared" si="2"/>
        <v>-4.9339999999999939</v>
      </c>
      <c r="L19">
        <f t="shared" si="3"/>
        <v>-4.0990000000000748</v>
      </c>
      <c r="M19">
        <f t="shared" si="0"/>
        <v>-0.95799999999979235</v>
      </c>
    </row>
    <row r="20" spans="1:13" x14ac:dyDescent="0.35">
      <c r="A20">
        <v>4</v>
      </c>
      <c r="B20">
        <v>9.5309000000000008</v>
      </c>
      <c r="C20">
        <v>9.7689959999999996</v>
      </c>
      <c r="D20">
        <v>9.7631350000000001</v>
      </c>
      <c r="E20">
        <v>9.7748650000000001</v>
      </c>
      <c r="F20">
        <v>9.7627799999999993</v>
      </c>
      <c r="G20">
        <v>9.7752199999999991</v>
      </c>
      <c r="H20">
        <v>14.512111000000001</v>
      </c>
      <c r="I20">
        <v>14.516400000000001</v>
      </c>
      <c r="J20">
        <f t="shared" si="1"/>
        <v>-0.23809599999999875</v>
      </c>
      <c r="K20">
        <f t="shared" si="2"/>
        <v>-5.8650000000000091</v>
      </c>
      <c r="L20">
        <f t="shared" si="3"/>
        <v>-6.2199999999998923</v>
      </c>
      <c r="M20">
        <f t="shared" si="0"/>
        <v>-2.1444999999999936</v>
      </c>
    </row>
    <row r="21" spans="1:13" x14ac:dyDescent="0.35">
      <c r="A21">
        <v>4</v>
      </c>
      <c r="B21">
        <v>9.5790000000000006</v>
      </c>
      <c r="C21">
        <v>9.7844770000000008</v>
      </c>
      <c r="D21">
        <v>9.7786120000000007</v>
      </c>
      <c r="E21">
        <v>9.7903500000000001</v>
      </c>
      <c r="F21">
        <v>9.7782339999999994</v>
      </c>
      <c r="G21">
        <v>9.7907279999999997</v>
      </c>
      <c r="H21">
        <v>21.144545999999998</v>
      </c>
      <c r="I21">
        <v>21.152132999999999</v>
      </c>
      <c r="J21">
        <f t="shared" si="1"/>
        <v>-0.20547700000000013</v>
      </c>
      <c r="K21">
        <f t="shared" si="2"/>
        <v>-5.86899999999968</v>
      </c>
      <c r="L21">
        <f t="shared" si="3"/>
        <v>-6.2470000000001136</v>
      </c>
      <c r="M21">
        <f t="shared" si="0"/>
        <v>-3.7935000000004493</v>
      </c>
    </row>
    <row r="22" spans="1:13" x14ac:dyDescent="0.35">
      <c r="A22">
        <v>4</v>
      </c>
      <c r="B22">
        <v>14.3063</v>
      </c>
      <c r="C22">
        <v>14.514255</v>
      </c>
      <c r="D22">
        <v>14.506714000000001</v>
      </c>
      <c r="E22">
        <v>14.52181</v>
      </c>
      <c r="F22">
        <v>14.504142999999999</v>
      </c>
      <c r="G22">
        <v>14.524387000000001</v>
      </c>
      <c r="H22">
        <v>7.1101349999999996</v>
      </c>
      <c r="I22">
        <v>7.1105910000000003</v>
      </c>
      <c r="J22">
        <f t="shared" si="1"/>
        <v>-0.20795500000000011</v>
      </c>
      <c r="K22">
        <f t="shared" si="2"/>
        <v>-7.5479999999998881</v>
      </c>
      <c r="L22">
        <f t="shared" si="3"/>
        <v>-10.122000000000853</v>
      </c>
      <c r="M22">
        <f t="shared" si="0"/>
        <v>-0.22800000000033904</v>
      </c>
    </row>
    <row r="23" spans="1:13" x14ac:dyDescent="0.35">
      <c r="A23">
        <v>4</v>
      </c>
      <c r="B23">
        <v>14.307</v>
      </c>
      <c r="C23">
        <v>14.514336999999999</v>
      </c>
      <c r="D23">
        <v>14.506795</v>
      </c>
      <c r="E23">
        <v>14.521891999999999</v>
      </c>
      <c r="F23">
        <v>14.504224000000001</v>
      </c>
      <c r="G23">
        <v>14.524469</v>
      </c>
      <c r="H23">
        <v>9.768027</v>
      </c>
      <c r="I23">
        <v>9.7699639999999999</v>
      </c>
      <c r="J23">
        <f t="shared" si="1"/>
        <v>-0.20733699999999899</v>
      </c>
      <c r="K23">
        <f t="shared" si="2"/>
        <v>-7.5484999999995139</v>
      </c>
      <c r="L23">
        <f t="shared" si="3"/>
        <v>-10.12249999999959</v>
      </c>
      <c r="M23">
        <f t="shared" si="0"/>
        <v>-0.96849999999992775</v>
      </c>
    </row>
    <row r="24" spans="1:13" x14ac:dyDescent="0.35">
      <c r="A24">
        <v>4</v>
      </c>
      <c r="B24">
        <v>20.968900000000001</v>
      </c>
      <c r="C24">
        <v>21.148340000000001</v>
      </c>
      <c r="D24">
        <v>21.138451</v>
      </c>
      <c r="E24">
        <v>21.158249000000001</v>
      </c>
      <c r="F24">
        <v>21.132784999999998</v>
      </c>
      <c r="G24">
        <v>21.163929</v>
      </c>
      <c r="H24">
        <v>14.512192000000001</v>
      </c>
      <c r="I24">
        <v>14.516481000000001</v>
      </c>
      <c r="J24">
        <f t="shared" si="1"/>
        <v>-0.1794399999999996</v>
      </c>
      <c r="K24">
        <f t="shared" si="2"/>
        <v>-9.8990000000007683</v>
      </c>
      <c r="L24">
        <f t="shared" si="3"/>
        <v>-15.572000000000585</v>
      </c>
      <c r="M24">
        <f t="shared" si="0"/>
        <v>-2.1444999999999936</v>
      </c>
    </row>
    <row r="25" spans="1:13" x14ac:dyDescent="0.35">
      <c r="A25">
        <v>4</v>
      </c>
      <c r="B25">
        <v>20.968900000000001</v>
      </c>
      <c r="C25">
        <v>21.148340000000001</v>
      </c>
      <c r="D25">
        <v>21.138451</v>
      </c>
      <c r="E25">
        <v>21.158249999999999</v>
      </c>
      <c r="F25">
        <v>21.132784999999998</v>
      </c>
      <c r="G25">
        <v>21.163929</v>
      </c>
      <c r="H25">
        <v>21.144545999999998</v>
      </c>
      <c r="I25">
        <v>21.152132999999999</v>
      </c>
      <c r="J25">
        <f t="shared" si="1"/>
        <v>-0.1794399999999996</v>
      </c>
      <c r="K25">
        <f t="shared" si="2"/>
        <v>-9.8994999999995059</v>
      </c>
      <c r="L25">
        <f t="shared" si="3"/>
        <v>-15.572000000000585</v>
      </c>
      <c r="M25">
        <f t="shared" si="0"/>
        <v>-3.7935000000004493</v>
      </c>
    </row>
    <row r="26" spans="1:13" x14ac:dyDescent="0.35">
      <c r="A26">
        <v>5</v>
      </c>
      <c r="B26">
        <v>8.4696999999999996</v>
      </c>
      <c r="C26">
        <v>8.9164899999999996</v>
      </c>
      <c r="D26">
        <v>8.9097559999999998</v>
      </c>
      <c r="E26">
        <v>8.9232289999999992</v>
      </c>
      <c r="F26">
        <v>8.9118849999999998</v>
      </c>
      <c r="G26">
        <v>8.9210960000000004</v>
      </c>
      <c r="H26">
        <v>10.185972</v>
      </c>
      <c r="I26">
        <v>10.186424000000001</v>
      </c>
      <c r="J26">
        <f t="shared" si="1"/>
        <v>-0.44679000000000002</v>
      </c>
      <c r="K26">
        <f t="shared" si="2"/>
        <v>-6.7364999999997011</v>
      </c>
      <c r="L26">
        <f t="shared" si="3"/>
        <v>-4.6055000000002622</v>
      </c>
      <c r="M26">
        <f t="shared" si="0"/>
        <v>-0.22600000000050358</v>
      </c>
    </row>
    <row r="27" spans="1:13" x14ac:dyDescent="0.35">
      <c r="A27">
        <v>5</v>
      </c>
      <c r="B27">
        <v>9.0299999999999994</v>
      </c>
      <c r="C27">
        <v>9.6097699999999993</v>
      </c>
      <c r="D27">
        <v>9.6028149999999997</v>
      </c>
      <c r="E27">
        <v>9.616733</v>
      </c>
      <c r="F27">
        <v>9.6046659999999999</v>
      </c>
      <c r="G27">
        <v>9.6148779999999991</v>
      </c>
      <c r="H27">
        <v>12.750617999999999</v>
      </c>
      <c r="I27">
        <v>12.752583</v>
      </c>
      <c r="J27">
        <f t="shared" si="1"/>
        <v>-0.5797699999999999</v>
      </c>
      <c r="K27">
        <f t="shared" si="2"/>
        <v>-6.9590000000001595</v>
      </c>
      <c r="L27">
        <f t="shared" si="3"/>
        <v>-5.1059999999996108</v>
      </c>
      <c r="M27">
        <f t="shared" si="0"/>
        <v>-0.98250000000010829</v>
      </c>
    </row>
    <row r="28" spans="1:13" x14ac:dyDescent="0.35">
      <c r="A28">
        <v>5</v>
      </c>
      <c r="B28">
        <v>9.9923000000000002</v>
      </c>
      <c r="C28">
        <v>10.186197999999999</v>
      </c>
      <c r="D28">
        <v>10.178974999999999</v>
      </c>
      <c r="E28">
        <v>10.193428000000001</v>
      </c>
      <c r="F28">
        <v>10.180445000000001</v>
      </c>
      <c r="G28">
        <v>10.191954000000001</v>
      </c>
      <c r="H28">
        <v>17.502034999999999</v>
      </c>
      <c r="I28">
        <v>17.506343000000001</v>
      </c>
      <c r="J28">
        <f t="shared" si="1"/>
        <v>-0.19389799999999902</v>
      </c>
      <c r="K28">
        <f t="shared" si="2"/>
        <v>-7.2265000000006907</v>
      </c>
      <c r="L28">
        <f t="shared" si="3"/>
        <v>-5.7545000000001068</v>
      </c>
      <c r="M28">
        <f t="shared" si="0"/>
        <v>-2.1540000000008774</v>
      </c>
    </row>
    <row r="29" spans="1:13" x14ac:dyDescent="0.35">
      <c r="A29">
        <v>5</v>
      </c>
      <c r="B29">
        <v>12.383900000000001</v>
      </c>
      <c r="C29">
        <v>12.751601000000001</v>
      </c>
      <c r="D29">
        <v>12.743491000000001</v>
      </c>
      <c r="E29">
        <v>12.759721000000001</v>
      </c>
      <c r="F29">
        <v>12.743834</v>
      </c>
      <c r="G29">
        <v>12.759377000000001</v>
      </c>
      <c r="H29">
        <v>24.134923000000001</v>
      </c>
      <c r="I29">
        <v>24.142531000000002</v>
      </c>
      <c r="J29">
        <f t="shared" si="1"/>
        <v>-0.36770100000000028</v>
      </c>
      <c r="K29">
        <f t="shared" si="2"/>
        <v>-8.1150000000000944</v>
      </c>
      <c r="L29">
        <f t="shared" si="3"/>
        <v>-7.7715000000004864</v>
      </c>
      <c r="M29">
        <f t="shared" si="0"/>
        <v>-3.8040000000005847</v>
      </c>
    </row>
    <row r="30" spans="1:13" x14ac:dyDescent="0.35">
      <c r="A30">
        <v>5</v>
      </c>
      <c r="B30">
        <v>12.4948</v>
      </c>
      <c r="C30">
        <v>12.788342999999999</v>
      </c>
      <c r="D30">
        <v>12.780220999999999</v>
      </c>
      <c r="E30">
        <v>12.796474999999999</v>
      </c>
      <c r="F30">
        <v>12.780514</v>
      </c>
      <c r="G30">
        <v>12.796182</v>
      </c>
      <c r="H30">
        <v>32.660308999999998</v>
      </c>
      <c r="I30">
        <v>32.672150999999999</v>
      </c>
      <c r="J30">
        <f t="shared" si="1"/>
        <v>-0.29354299999999967</v>
      </c>
      <c r="K30">
        <f t="shared" si="2"/>
        <v>-8.1269999999999953</v>
      </c>
      <c r="L30">
        <f t="shared" si="3"/>
        <v>-7.8339999999998966</v>
      </c>
      <c r="M30">
        <f t="shared" si="0"/>
        <v>-5.9210000000007312</v>
      </c>
    </row>
    <row r="31" spans="1:13" x14ac:dyDescent="0.35">
      <c r="A31">
        <v>5</v>
      </c>
      <c r="B31">
        <v>17.1769</v>
      </c>
      <c r="C31">
        <v>17.503841999999999</v>
      </c>
      <c r="D31">
        <v>17.494046000000001</v>
      </c>
      <c r="E31">
        <v>17.513653000000001</v>
      </c>
      <c r="F31">
        <v>17.492170000000002</v>
      </c>
      <c r="G31">
        <v>17.515533999999999</v>
      </c>
      <c r="H31">
        <v>8.9164279999999998</v>
      </c>
      <c r="I31">
        <v>8.9165510000000001</v>
      </c>
      <c r="J31">
        <f t="shared" si="1"/>
        <v>-0.32694199999999896</v>
      </c>
      <c r="K31">
        <f t="shared" si="2"/>
        <v>-9.8035000000002981</v>
      </c>
      <c r="L31">
        <f t="shared" si="3"/>
        <v>-11.681999999998638</v>
      </c>
      <c r="M31">
        <f t="shared" si="0"/>
        <v>-6.150000000015865E-2</v>
      </c>
    </row>
    <row r="32" spans="1:13" x14ac:dyDescent="0.35">
      <c r="A32">
        <v>5</v>
      </c>
      <c r="B32">
        <v>17.1797</v>
      </c>
      <c r="C32">
        <v>17.504189</v>
      </c>
      <c r="D32">
        <v>17.494392999999999</v>
      </c>
      <c r="E32">
        <v>17.513999999999999</v>
      </c>
      <c r="F32">
        <v>17.492515000000001</v>
      </c>
      <c r="G32">
        <v>17.515882000000001</v>
      </c>
      <c r="H32">
        <v>9.6094410000000003</v>
      </c>
      <c r="I32">
        <v>9.6100999999999992</v>
      </c>
      <c r="J32">
        <f t="shared" si="1"/>
        <v>-0.32448899999999981</v>
      </c>
      <c r="K32">
        <f t="shared" si="2"/>
        <v>-9.8035000000002981</v>
      </c>
      <c r="L32">
        <f t="shared" si="3"/>
        <v>-11.68350000000018</v>
      </c>
      <c r="M32">
        <f t="shared" si="0"/>
        <v>-0.32949999999942747</v>
      </c>
    </row>
    <row r="33" spans="1:13" x14ac:dyDescent="0.35">
      <c r="A33">
        <v>5</v>
      </c>
      <c r="B33">
        <v>23.8367</v>
      </c>
      <c r="C33">
        <v>24.138725999999998</v>
      </c>
      <c r="D33">
        <v>24.126577999999999</v>
      </c>
      <c r="E33">
        <v>24.150897000000001</v>
      </c>
      <c r="F33">
        <v>24.121614999999998</v>
      </c>
      <c r="G33">
        <v>24.155871999999999</v>
      </c>
      <c r="H33">
        <v>12.787385</v>
      </c>
      <c r="I33">
        <v>12.789301</v>
      </c>
      <c r="J33">
        <f t="shared" si="1"/>
        <v>-0.30202599999999791</v>
      </c>
      <c r="K33">
        <f t="shared" si="2"/>
        <v>-12.159500000000989</v>
      </c>
      <c r="L33">
        <f t="shared" si="3"/>
        <v>-17.128500000000102</v>
      </c>
      <c r="M33">
        <f t="shared" si="0"/>
        <v>-0.95799999999979235</v>
      </c>
    </row>
    <row r="34" spans="1:13" x14ac:dyDescent="0.35">
      <c r="A34">
        <v>5</v>
      </c>
      <c r="B34">
        <v>23.8368</v>
      </c>
      <c r="C34">
        <v>24.138726999999999</v>
      </c>
      <c r="D34">
        <v>24.126579</v>
      </c>
      <c r="E34">
        <v>24.150898000000002</v>
      </c>
      <c r="F34">
        <v>24.121616</v>
      </c>
      <c r="G34">
        <v>24.155873</v>
      </c>
      <c r="H34">
        <v>17.501688000000001</v>
      </c>
      <c r="I34">
        <v>17.505996</v>
      </c>
      <c r="J34">
        <f t="shared" si="1"/>
        <v>-0.30192699999999917</v>
      </c>
      <c r="K34">
        <f t="shared" si="2"/>
        <v>-12.159500000000989</v>
      </c>
      <c r="L34">
        <f t="shared" si="3"/>
        <v>-17.128500000000102</v>
      </c>
      <c r="M34">
        <f t="shared" ref="M34:M65" si="5">(H34-I34)/(2*0.001)</f>
        <v>-2.1539999999991011</v>
      </c>
    </row>
    <row r="35" spans="1:13" x14ac:dyDescent="0.35">
      <c r="A35">
        <v>5</v>
      </c>
      <c r="B35">
        <v>32.3996</v>
      </c>
      <c r="C35">
        <v>32.666231000000003</v>
      </c>
      <c r="D35">
        <v>32.651065000000003</v>
      </c>
      <c r="E35">
        <v>32.681427999999997</v>
      </c>
      <c r="F35">
        <v>32.642125</v>
      </c>
      <c r="G35">
        <v>32.690387999999999</v>
      </c>
      <c r="H35">
        <v>24.134922</v>
      </c>
      <c r="I35">
        <v>24.142530000000001</v>
      </c>
      <c r="J35">
        <f t="shared" si="1"/>
        <v>-0.26663100000000384</v>
      </c>
      <c r="K35">
        <f t="shared" si="2"/>
        <v>-15.181499999997072</v>
      </c>
      <c r="L35">
        <f t="shared" si="3"/>
        <v>-24.131499999999306</v>
      </c>
      <c r="M35">
        <f t="shared" si="5"/>
        <v>-3.8040000000005847</v>
      </c>
    </row>
    <row r="36" spans="1:13" x14ac:dyDescent="0.35">
      <c r="A36">
        <v>5</v>
      </c>
      <c r="B36">
        <v>32.3996</v>
      </c>
      <c r="C36">
        <v>32.666231000000003</v>
      </c>
      <c r="D36">
        <v>32.651065000000003</v>
      </c>
      <c r="E36">
        <v>32.681427999999997</v>
      </c>
      <c r="F36">
        <v>32.642125</v>
      </c>
      <c r="G36">
        <v>32.690387999999999</v>
      </c>
      <c r="H36">
        <v>32.660308999999998</v>
      </c>
      <c r="I36">
        <v>32.672150999999999</v>
      </c>
      <c r="J36">
        <f t="shared" si="1"/>
        <v>-0.26663100000000384</v>
      </c>
      <c r="K36">
        <f t="shared" si="2"/>
        <v>-15.181499999997072</v>
      </c>
      <c r="L36">
        <f t="shared" si="3"/>
        <v>-24.131499999999306</v>
      </c>
      <c r="M36">
        <f t="shared" si="5"/>
        <v>-5.9210000000007312</v>
      </c>
    </row>
    <row r="37" spans="1:13" x14ac:dyDescent="0.35">
      <c r="A37">
        <v>6</v>
      </c>
      <c r="B37">
        <v>11.7958</v>
      </c>
      <c r="C37">
        <v>12.451371</v>
      </c>
      <c r="D37">
        <v>12.441981</v>
      </c>
      <c r="E37">
        <v>12.460768</v>
      </c>
      <c r="F37">
        <v>12.444948999999999</v>
      </c>
      <c r="G37">
        <v>12.457795000000001</v>
      </c>
      <c r="H37">
        <v>12.451269999999999</v>
      </c>
      <c r="I37">
        <v>12.451471</v>
      </c>
      <c r="J37">
        <f t="shared" si="1"/>
        <v>-0.65557100000000013</v>
      </c>
      <c r="K37">
        <f t="shared" si="2"/>
        <v>-9.3934999999998325</v>
      </c>
      <c r="L37">
        <f t="shared" si="3"/>
        <v>-6.4230000000007337</v>
      </c>
      <c r="M37">
        <f t="shared" si="5"/>
        <v>-0.10050000000028092</v>
      </c>
    </row>
    <row r="38" spans="1:13" x14ac:dyDescent="0.35">
      <c r="A38">
        <v>6</v>
      </c>
      <c r="B38">
        <v>12.2454</v>
      </c>
      <c r="C38">
        <v>13.057596</v>
      </c>
      <c r="D38">
        <v>13.048028</v>
      </c>
      <c r="E38">
        <v>13.067173</v>
      </c>
      <c r="F38">
        <v>13.050757000000001</v>
      </c>
      <c r="G38">
        <v>13.064439999999999</v>
      </c>
      <c r="H38">
        <v>13.057225000000001</v>
      </c>
      <c r="I38">
        <v>13.057967</v>
      </c>
      <c r="J38">
        <f t="shared" si="1"/>
        <v>-0.81219600000000014</v>
      </c>
      <c r="K38">
        <f t="shared" si="2"/>
        <v>-9.5724999999999838</v>
      </c>
      <c r="L38">
        <f t="shared" si="3"/>
        <v>-6.8414999999992787</v>
      </c>
      <c r="M38">
        <f t="shared" si="5"/>
        <v>-0.3709999999994551</v>
      </c>
    </row>
    <row r="39" spans="1:13" x14ac:dyDescent="0.35">
      <c r="A39">
        <v>6</v>
      </c>
      <c r="B39">
        <v>13.588699999999999</v>
      </c>
      <c r="C39">
        <v>13.87224</v>
      </c>
      <c r="D39">
        <v>13.862272000000001</v>
      </c>
      <c r="E39">
        <v>13.882215</v>
      </c>
      <c r="F39">
        <v>13.864504</v>
      </c>
      <c r="G39">
        <v>13.879979000000001</v>
      </c>
      <c r="H39">
        <v>16.399277999999999</v>
      </c>
      <c r="I39">
        <v>16.401181999999999</v>
      </c>
      <c r="J39">
        <f t="shared" si="1"/>
        <v>-0.28354000000000035</v>
      </c>
      <c r="K39">
        <f t="shared" si="2"/>
        <v>-9.9714999999998</v>
      </c>
      <c r="L39">
        <f t="shared" si="3"/>
        <v>-7.7375000000001748</v>
      </c>
      <c r="M39">
        <f t="shared" si="5"/>
        <v>-0.95199999999984186</v>
      </c>
    </row>
    <row r="40" spans="1:13" x14ac:dyDescent="0.35">
      <c r="A40">
        <v>6</v>
      </c>
      <c r="B40">
        <v>15.801600000000001</v>
      </c>
      <c r="C40">
        <v>16.325562999999999</v>
      </c>
      <c r="D40">
        <v>16.314764</v>
      </c>
      <c r="E40">
        <v>16.336373999999999</v>
      </c>
      <c r="F40">
        <v>16.315933999999999</v>
      </c>
      <c r="G40">
        <v>16.335201999999999</v>
      </c>
      <c r="H40">
        <v>21.087346</v>
      </c>
      <c r="I40">
        <v>21.091677000000001</v>
      </c>
      <c r="J40">
        <f t="shared" si="1"/>
        <v>-0.5239629999999984</v>
      </c>
      <c r="K40">
        <f t="shared" si="2"/>
        <v>-10.804999999999509</v>
      </c>
      <c r="L40">
        <f t="shared" si="3"/>
        <v>-9.6340000000001424</v>
      </c>
      <c r="M40">
        <f t="shared" si="5"/>
        <v>-2.1655000000002644</v>
      </c>
    </row>
    <row r="41" spans="1:13" x14ac:dyDescent="0.35">
      <c r="A41">
        <v>6</v>
      </c>
      <c r="B41">
        <v>16.0181</v>
      </c>
      <c r="C41">
        <v>16.400230000000001</v>
      </c>
      <c r="D41">
        <v>16.389402</v>
      </c>
      <c r="E41">
        <v>16.411071</v>
      </c>
      <c r="F41">
        <v>16.390481000000001</v>
      </c>
      <c r="G41">
        <v>16.409988999999999</v>
      </c>
      <c r="H41">
        <v>27.720818999999999</v>
      </c>
      <c r="I41">
        <v>27.728451</v>
      </c>
      <c r="J41">
        <f t="shared" si="1"/>
        <v>-0.38213000000000008</v>
      </c>
      <c r="K41">
        <f t="shared" si="2"/>
        <v>-10.834499999999636</v>
      </c>
      <c r="L41">
        <f t="shared" si="3"/>
        <v>-9.7539999999991522</v>
      </c>
      <c r="M41">
        <f t="shared" si="5"/>
        <v>-3.8160000000004857</v>
      </c>
    </row>
    <row r="42" spans="1:13" x14ac:dyDescent="0.35">
      <c r="A42">
        <v>6</v>
      </c>
      <c r="B42">
        <v>20.624400000000001</v>
      </c>
      <c r="C42">
        <v>21.089511000000002</v>
      </c>
      <c r="D42">
        <v>21.077019</v>
      </c>
      <c r="E42">
        <v>21.102021000000001</v>
      </c>
      <c r="F42">
        <v>21.075962000000001</v>
      </c>
      <c r="G42">
        <v>21.103081</v>
      </c>
      <c r="H42">
        <v>36.248314000000001</v>
      </c>
      <c r="I42">
        <v>36.260179999999998</v>
      </c>
      <c r="J42">
        <f t="shared" si="1"/>
        <v>-0.46511100000000027</v>
      </c>
      <c r="K42">
        <f t="shared" si="2"/>
        <v>-12.501000000000317</v>
      </c>
      <c r="L42">
        <f t="shared" si="3"/>
        <v>-13.559499999999503</v>
      </c>
      <c r="M42">
        <f t="shared" si="5"/>
        <v>-5.9329999999988559</v>
      </c>
    </row>
    <row r="43" spans="1:13" x14ac:dyDescent="0.35">
      <c r="A43">
        <v>6</v>
      </c>
      <c r="B43">
        <v>20.632999999999999</v>
      </c>
      <c r="C43">
        <v>21.090626</v>
      </c>
      <c r="D43">
        <v>21.078135</v>
      </c>
      <c r="E43">
        <v>21.103135000000002</v>
      </c>
      <c r="F43">
        <v>21.077072000000001</v>
      </c>
      <c r="G43">
        <v>21.104199999999999</v>
      </c>
      <c r="H43">
        <v>46.664712000000002</v>
      </c>
      <c r="I43">
        <v>46.681742999999997</v>
      </c>
      <c r="J43">
        <f t="shared" si="1"/>
        <v>-0.4576260000000012</v>
      </c>
      <c r="K43">
        <f t="shared" si="2"/>
        <v>-12.500000000001066</v>
      </c>
      <c r="L43">
        <f t="shared" si="3"/>
        <v>-13.563999999998799</v>
      </c>
      <c r="M43">
        <f t="shared" si="5"/>
        <v>-8.5154999999978997</v>
      </c>
    </row>
    <row r="44" spans="1:13" x14ac:dyDescent="0.35">
      <c r="A44">
        <v>6</v>
      </c>
      <c r="B44">
        <v>27.2804</v>
      </c>
      <c r="C44">
        <v>27.724634999999999</v>
      </c>
      <c r="D44">
        <v>27.709786000000001</v>
      </c>
      <c r="E44">
        <v>27.739509000000002</v>
      </c>
      <c r="F44">
        <v>27.705651</v>
      </c>
      <c r="G44">
        <v>27.743653999999999</v>
      </c>
      <c r="H44">
        <v>13.872013000000001</v>
      </c>
      <c r="I44">
        <v>13.872465999999999</v>
      </c>
      <c r="J44">
        <f t="shared" si="1"/>
        <v>-0.44423499999999905</v>
      </c>
      <c r="K44">
        <f t="shared" si="2"/>
        <v>-14.861500000000305</v>
      </c>
      <c r="L44">
        <f t="shared" si="3"/>
        <v>-19.001499999999893</v>
      </c>
      <c r="M44">
        <f t="shared" si="5"/>
        <v>-0.2264999999992412</v>
      </c>
    </row>
    <row r="45" spans="1:13" x14ac:dyDescent="0.35">
      <c r="A45">
        <v>6</v>
      </c>
      <c r="B45">
        <v>27.2805</v>
      </c>
      <c r="C45">
        <v>27.724639</v>
      </c>
      <c r="D45">
        <v>27.709789000000001</v>
      </c>
      <c r="E45">
        <v>27.739512999999999</v>
      </c>
      <c r="F45">
        <v>27.705655</v>
      </c>
      <c r="G45">
        <v>27.743658</v>
      </c>
      <c r="H45">
        <v>16.324562</v>
      </c>
      <c r="I45">
        <v>16.326563</v>
      </c>
      <c r="J45">
        <f t="shared" si="1"/>
        <v>-0.44413899999999984</v>
      </c>
      <c r="K45">
        <f t="shared" si="2"/>
        <v>-14.861999999999043</v>
      </c>
      <c r="L45">
        <f t="shared" si="3"/>
        <v>-19.001499999999893</v>
      </c>
      <c r="M45">
        <f t="shared" si="5"/>
        <v>-1.0004999999999598</v>
      </c>
    </row>
    <row r="46" spans="1:13" x14ac:dyDescent="0.35">
      <c r="A46">
        <v>6</v>
      </c>
      <c r="B46">
        <v>35.840699999999998</v>
      </c>
      <c r="C46">
        <v>36.254247999999997</v>
      </c>
      <c r="D46">
        <v>36.236372000000003</v>
      </c>
      <c r="E46">
        <v>36.272157</v>
      </c>
      <c r="F46">
        <v>36.228273999999999</v>
      </c>
      <c r="G46">
        <v>36.280273999999999</v>
      </c>
      <c r="H46">
        <v>21.088462</v>
      </c>
      <c r="I46">
        <v>21.092790000000001</v>
      </c>
      <c r="J46">
        <f t="shared" si="1"/>
        <v>-0.41354799999999869</v>
      </c>
      <c r="K46">
        <f t="shared" si="2"/>
        <v>-17.892499999998535</v>
      </c>
      <c r="L46">
        <f t="shared" si="3"/>
        <v>-25.999999999999801</v>
      </c>
      <c r="M46">
        <f t="shared" si="5"/>
        <v>-2.1640000000004989</v>
      </c>
    </row>
    <row r="47" spans="1:13" x14ac:dyDescent="0.35">
      <c r="A47">
        <v>6</v>
      </c>
      <c r="B47">
        <v>35.840699999999998</v>
      </c>
      <c r="C47">
        <v>36.254247999999997</v>
      </c>
      <c r="D47">
        <v>36.236373</v>
      </c>
      <c r="E47">
        <v>36.272157</v>
      </c>
      <c r="F47">
        <v>36.228273999999999</v>
      </c>
      <c r="G47">
        <v>36.280273999999999</v>
      </c>
      <c r="H47">
        <v>27.720822999999999</v>
      </c>
      <c r="I47">
        <v>27.728453999999999</v>
      </c>
      <c r="J47">
        <f t="shared" si="1"/>
        <v>-0.41354799999999869</v>
      </c>
      <c r="K47">
        <f t="shared" si="2"/>
        <v>-17.891999999999797</v>
      </c>
      <c r="L47">
        <f t="shared" si="3"/>
        <v>-25.999999999999801</v>
      </c>
      <c r="M47">
        <f t="shared" si="5"/>
        <v>-3.8154999999999717</v>
      </c>
    </row>
    <row r="48" spans="1:13" x14ac:dyDescent="0.35">
      <c r="A48">
        <v>6</v>
      </c>
      <c r="B48">
        <v>46.301099999999998</v>
      </c>
      <c r="C48">
        <v>46.673228999999999</v>
      </c>
      <c r="D48">
        <v>46.651667000000003</v>
      </c>
      <c r="E48">
        <v>46.694834999999998</v>
      </c>
      <c r="F48">
        <v>46.638713000000003</v>
      </c>
      <c r="G48">
        <v>46.707819999999998</v>
      </c>
      <c r="H48">
        <v>36.248314000000001</v>
      </c>
      <c r="I48">
        <v>36.260179999999998</v>
      </c>
      <c r="J48">
        <f t="shared" si="1"/>
        <v>-0.37212900000000104</v>
      </c>
      <c r="K48">
        <f t="shared" si="2"/>
        <v>-21.583999999997161</v>
      </c>
      <c r="L48">
        <f t="shared" si="3"/>
        <v>-34.553499999997683</v>
      </c>
      <c r="M48">
        <f t="shared" si="5"/>
        <v>-5.9329999999988559</v>
      </c>
    </row>
    <row r="49" spans="1:13" x14ac:dyDescent="0.35">
      <c r="A49">
        <v>6</v>
      </c>
      <c r="B49">
        <v>46.301099999999998</v>
      </c>
      <c r="C49">
        <v>46.673228999999999</v>
      </c>
      <c r="D49">
        <v>46.651667000000003</v>
      </c>
      <c r="E49">
        <v>46.694834999999998</v>
      </c>
      <c r="F49">
        <v>46.638713000000003</v>
      </c>
      <c r="G49">
        <v>46.707819999999998</v>
      </c>
      <c r="H49">
        <v>46.664712000000002</v>
      </c>
      <c r="I49">
        <v>46.681742999999997</v>
      </c>
      <c r="J49">
        <f t="shared" si="1"/>
        <v>-0.37212900000000104</v>
      </c>
      <c r="K49">
        <f t="shared" si="2"/>
        <v>-21.583999999997161</v>
      </c>
      <c r="L49">
        <f t="shared" si="3"/>
        <v>-34.553499999997683</v>
      </c>
      <c r="M49">
        <f t="shared" si="5"/>
        <v>-8.5154999999978997</v>
      </c>
    </row>
    <row r="50" spans="1:13" x14ac:dyDescent="0.35">
      <c r="A50">
        <v>7</v>
      </c>
      <c r="B50">
        <v>15.639200000000001</v>
      </c>
      <c r="C50">
        <v>16.552766999999999</v>
      </c>
      <c r="D50">
        <v>16.540306999999999</v>
      </c>
      <c r="E50">
        <v>16.565238000000001</v>
      </c>
      <c r="F50">
        <v>16.544239000000001</v>
      </c>
      <c r="G50">
        <v>16.561299000000002</v>
      </c>
      <c r="H50">
        <v>18.165178000000001</v>
      </c>
      <c r="I50">
        <v>18.16564</v>
      </c>
      <c r="J50">
        <f t="shared" si="1"/>
        <v>-0.91356699999999869</v>
      </c>
      <c r="K50">
        <f t="shared" si="2"/>
        <v>-12.465500000001128</v>
      </c>
      <c r="L50">
        <f t="shared" si="3"/>
        <v>-8.5300000000003706</v>
      </c>
      <c r="M50">
        <f t="shared" si="5"/>
        <v>-0.23099999999942611</v>
      </c>
    </row>
    <row r="51" spans="1:13" x14ac:dyDescent="0.35">
      <c r="A51">
        <v>7</v>
      </c>
      <c r="B51">
        <v>15.9869</v>
      </c>
      <c r="C51">
        <v>17.068567000000002</v>
      </c>
      <c r="D51">
        <v>17.055975</v>
      </c>
      <c r="E51">
        <v>17.081171999999999</v>
      </c>
      <c r="F51">
        <v>17.059699999999999</v>
      </c>
      <c r="G51">
        <v>17.077439999999999</v>
      </c>
      <c r="H51">
        <v>20.487076999999999</v>
      </c>
      <c r="I51">
        <v>20.489124</v>
      </c>
      <c r="J51">
        <f t="shared" si="1"/>
        <v>-1.0816670000000013</v>
      </c>
      <c r="K51">
        <f t="shared" si="2"/>
        <v>-12.598499999999291</v>
      </c>
      <c r="L51">
        <f t="shared" si="3"/>
        <v>-8.8699999999999335</v>
      </c>
      <c r="M51">
        <f t="shared" si="5"/>
        <v>-1.0235000000005101</v>
      </c>
    </row>
    <row r="52" spans="1:13" x14ac:dyDescent="0.35">
      <c r="A52">
        <v>7</v>
      </c>
      <c r="B52">
        <v>17.768999999999998</v>
      </c>
      <c r="C52">
        <v>18.165409</v>
      </c>
      <c r="D52">
        <v>18.152249000000001</v>
      </c>
      <c r="E52">
        <v>18.178578999999999</v>
      </c>
      <c r="F52">
        <v>18.155366000000001</v>
      </c>
      <c r="G52">
        <v>18.175456000000001</v>
      </c>
      <c r="H52">
        <v>25.27131</v>
      </c>
      <c r="I52">
        <v>25.275656999999999</v>
      </c>
      <c r="J52">
        <f t="shared" si="1"/>
        <v>-0.39640900000000201</v>
      </c>
      <c r="K52">
        <f t="shared" si="2"/>
        <v>-13.164999999998983</v>
      </c>
      <c r="L52">
        <f t="shared" si="3"/>
        <v>-10.04499999999986</v>
      </c>
      <c r="M52">
        <f t="shared" si="5"/>
        <v>-2.1734999999996063</v>
      </c>
    </row>
    <row r="53" spans="1:13" x14ac:dyDescent="0.35">
      <c r="A53">
        <v>7</v>
      </c>
      <c r="B53">
        <v>19.7805</v>
      </c>
      <c r="C53">
        <v>20.488099999999999</v>
      </c>
      <c r="D53">
        <v>20.474177999999998</v>
      </c>
      <c r="E53">
        <v>20.502037000000001</v>
      </c>
      <c r="F53">
        <v>20.476299000000001</v>
      </c>
      <c r="G53">
        <v>20.499911999999998</v>
      </c>
      <c r="H53">
        <v>31.901204</v>
      </c>
      <c r="I53">
        <v>31.908861999999999</v>
      </c>
      <c r="J53">
        <f t="shared" si="1"/>
        <v>-0.70759999999999934</v>
      </c>
      <c r="K53">
        <f t="shared" si="2"/>
        <v>-13.929500000001482</v>
      </c>
      <c r="L53">
        <f t="shared" si="3"/>
        <v>-11.806499999998721</v>
      </c>
      <c r="M53">
        <f t="shared" si="5"/>
        <v>-3.8289999999996382</v>
      </c>
    </row>
    <row r="54" spans="1:13" x14ac:dyDescent="0.35">
      <c r="A54">
        <v>7</v>
      </c>
      <c r="B54">
        <v>20.157</v>
      </c>
      <c r="C54">
        <v>20.624227999999999</v>
      </c>
      <c r="D54">
        <v>20.610242</v>
      </c>
      <c r="E54">
        <v>20.638228000000002</v>
      </c>
      <c r="F54">
        <v>20.612217000000001</v>
      </c>
      <c r="G54">
        <v>20.636248999999999</v>
      </c>
      <c r="H54">
        <v>40.430438000000002</v>
      </c>
      <c r="I54">
        <v>40.442332999999998</v>
      </c>
      <c r="J54">
        <f t="shared" si="1"/>
        <v>-0.46722799999999864</v>
      </c>
      <c r="K54">
        <f t="shared" si="2"/>
        <v>-13.993000000001032</v>
      </c>
      <c r="L54">
        <f t="shared" si="3"/>
        <v>-12.015999999999138</v>
      </c>
      <c r="M54">
        <f t="shared" si="5"/>
        <v>-5.947499999997774</v>
      </c>
    </row>
    <row r="55" spans="1:13" x14ac:dyDescent="0.35">
      <c r="A55">
        <v>7</v>
      </c>
      <c r="B55">
        <v>24.649799999999999</v>
      </c>
      <c r="C55">
        <v>25.270486999999999</v>
      </c>
      <c r="D55">
        <v>25.254857999999999</v>
      </c>
      <c r="E55">
        <v>25.286135999999999</v>
      </c>
      <c r="F55">
        <v>25.254740999999999</v>
      </c>
      <c r="G55">
        <v>25.286254</v>
      </c>
      <c r="H55">
        <v>50.850389</v>
      </c>
      <c r="I55">
        <v>50.867449000000001</v>
      </c>
      <c r="J55">
        <f t="shared" si="1"/>
        <v>-0.62068700000000021</v>
      </c>
      <c r="K55">
        <f t="shared" si="2"/>
        <v>-15.639000000000181</v>
      </c>
      <c r="L55">
        <f t="shared" si="3"/>
        <v>-15.756500000000173</v>
      </c>
      <c r="M55">
        <f t="shared" si="5"/>
        <v>-8.5300000000003706</v>
      </c>
    </row>
    <row r="56" spans="1:13" x14ac:dyDescent="0.35">
      <c r="A56">
        <v>7</v>
      </c>
      <c r="B56">
        <v>24.670999999999999</v>
      </c>
      <c r="C56">
        <v>25.273484</v>
      </c>
      <c r="D56">
        <v>25.257857000000001</v>
      </c>
      <c r="E56">
        <v>25.28913</v>
      </c>
      <c r="F56">
        <v>25.257726999999999</v>
      </c>
      <c r="G56">
        <v>25.289261</v>
      </c>
      <c r="H56">
        <v>63.155385000000003</v>
      </c>
      <c r="I56">
        <v>63.178536000000001</v>
      </c>
      <c r="J56">
        <f t="shared" si="1"/>
        <v>-0.60248400000000046</v>
      </c>
      <c r="K56">
        <f t="shared" si="2"/>
        <v>-15.636499999999387</v>
      </c>
      <c r="L56">
        <f t="shared" si="3"/>
        <v>-15.767000000000309</v>
      </c>
      <c r="M56">
        <f t="shared" si="5"/>
        <v>-11.575499999999295</v>
      </c>
    </row>
    <row r="57" spans="1:13" x14ac:dyDescent="0.35">
      <c r="A57">
        <v>7</v>
      </c>
      <c r="B57">
        <v>31.301100000000002</v>
      </c>
      <c r="C57">
        <v>31.905023</v>
      </c>
      <c r="D57">
        <v>31.887032999999999</v>
      </c>
      <c r="E57">
        <v>31.923038999999999</v>
      </c>
      <c r="F57">
        <v>31.883845999999998</v>
      </c>
      <c r="G57">
        <v>31.926234000000001</v>
      </c>
      <c r="H57">
        <v>16.552613000000001</v>
      </c>
      <c r="I57">
        <v>16.552921999999999</v>
      </c>
      <c r="J57">
        <f t="shared" si="1"/>
        <v>-0.60392299999999821</v>
      </c>
      <c r="K57">
        <f t="shared" si="2"/>
        <v>-18.003000000000213</v>
      </c>
      <c r="L57">
        <f t="shared" si="3"/>
        <v>-21.194000000001267</v>
      </c>
      <c r="M57">
        <f t="shared" si="5"/>
        <v>-0.15449999999894715</v>
      </c>
    </row>
    <row r="58" spans="1:13" x14ac:dyDescent="0.35">
      <c r="A58">
        <v>7</v>
      </c>
      <c r="B58">
        <v>31.301600000000001</v>
      </c>
      <c r="C58">
        <v>31.905033</v>
      </c>
      <c r="D58">
        <v>31.887043999999999</v>
      </c>
      <c r="E58">
        <v>31.92305</v>
      </c>
      <c r="F58">
        <v>31.883856999999999</v>
      </c>
      <c r="G58">
        <v>31.926245000000002</v>
      </c>
      <c r="H58">
        <v>17.068145999999999</v>
      </c>
      <c r="I58">
        <v>17.068988000000001</v>
      </c>
      <c r="J58">
        <f t="shared" si="1"/>
        <v>-0.603432999999999</v>
      </c>
      <c r="K58">
        <f t="shared" si="2"/>
        <v>-18.003000000000213</v>
      </c>
      <c r="L58">
        <f t="shared" si="3"/>
        <v>-21.194000000001267</v>
      </c>
      <c r="M58">
        <f t="shared" si="5"/>
        <v>-0.42100000000111493</v>
      </c>
    </row>
    <row r="59" spans="1:13" x14ac:dyDescent="0.35">
      <c r="A59">
        <v>7</v>
      </c>
      <c r="B59">
        <v>39.857300000000002</v>
      </c>
      <c r="C59">
        <v>40.436385999999999</v>
      </c>
      <c r="D59">
        <v>40.415362999999999</v>
      </c>
      <c r="E59">
        <v>40.457445999999997</v>
      </c>
      <c r="F59">
        <v>40.408225999999999</v>
      </c>
      <c r="G59">
        <v>40.464599999999997</v>
      </c>
      <c r="H59">
        <v>20.623290000000001</v>
      </c>
      <c r="I59">
        <v>20.625166</v>
      </c>
      <c r="J59">
        <f t="shared" si="1"/>
        <v>-0.57908599999999666</v>
      </c>
      <c r="K59">
        <f t="shared" si="2"/>
        <v>-21.041499999999047</v>
      </c>
      <c r="L59">
        <f t="shared" si="3"/>
        <v>-28.186999999999074</v>
      </c>
      <c r="M59">
        <f t="shared" si="5"/>
        <v>-0.93799999999966133</v>
      </c>
    </row>
    <row r="60" spans="1:13" x14ac:dyDescent="0.35">
      <c r="A60">
        <v>7</v>
      </c>
      <c r="B60">
        <v>39.857300000000002</v>
      </c>
      <c r="C60">
        <v>40.436387000000003</v>
      </c>
      <c r="D60">
        <v>40.415362999999999</v>
      </c>
      <c r="E60">
        <v>40.457445999999997</v>
      </c>
      <c r="F60">
        <v>40.408226999999997</v>
      </c>
      <c r="G60">
        <v>40.464599999999997</v>
      </c>
      <c r="H60">
        <v>25.268308999999999</v>
      </c>
      <c r="I60">
        <v>25.272663999999999</v>
      </c>
      <c r="J60">
        <f t="shared" si="1"/>
        <v>-0.57908700000000124</v>
      </c>
      <c r="K60">
        <f t="shared" si="2"/>
        <v>-21.041499999999047</v>
      </c>
      <c r="L60">
        <f t="shared" si="3"/>
        <v>-28.186500000000336</v>
      </c>
      <c r="M60">
        <f t="shared" si="5"/>
        <v>-2.1775000000001654</v>
      </c>
    </row>
    <row r="61" spans="1:13" x14ac:dyDescent="0.35">
      <c r="A61">
        <v>7</v>
      </c>
      <c r="B61">
        <v>50.3157</v>
      </c>
      <c r="C61">
        <v>50.858919999999998</v>
      </c>
      <c r="D61">
        <v>50.834198999999998</v>
      </c>
      <c r="E61">
        <v>50.883688999999997</v>
      </c>
      <c r="F61">
        <v>50.822223000000001</v>
      </c>
      <c r="G61">
        <v>50.895693000000001</v>
      </c>
      <c r="H61">
        <v>31.901192999999999</v>
      </c>
      <c r="I61">
        <v>31.908850999999999</v>
      </c>
      <c r="J61">
        <f t="shared" si="1"/>
        <v>-0.54321999999999804</v>
      </c>
      <c r="K61">
        <f t="shared" si="2"/>
        <v>-24.744999999999351</v>
      </c>
      <c r="L61">
        <f t="shared" si="3"/>
        <v>-36.735000000000184</v>
      </c>
      <c r="M61">
        <f t="shared" si="5"/>
        <v>-3.8289999999996382</v>
      </c>
    </row>
    <row r="62" spans="1:13" x14ac:dyDescent="0.35">
      <c r="A62">
        <v>7</v>
      </c>
      <c r="B62">
        <v>50.3157</v>
      </c>
      <c r="C62">
        <v>50.858919999999998</v>
      </c>
      <c r="D62">
        <v>50.834198999999998</v>
      </c>
      <c r="E62">
        <v>50.883688999999997</v>
      </c>
      <c r="F62">
        <v>50.822223000000001</v>
      </c>
      <c r="G62">
        <v>50.895693000000001</v>
      </c>
      <c r="H62">
        <v>40.430439</v>
      </c>
      <c r="I62">
        <v>40.442332999999998</v>
      </c>
      <c r="J62">
        <f t="shared" si="1"/>
        <v>-0.54321999999999804</v>
      </c>
      <c r="K62">
        <f t="shared" si="2"/>
        <v>-24.744999999999351</v>
      </c>
      <c r="L62">
        <f t="shared" si="3"/>
        <v>-36.735000000000184</v>
      </c>
      <c r="M62">
        <f t="shared" si="5"/>
        <v>-5.9469999999990364</v>
      </c>
    </row>
    <row r="63" spans="1:13" x14ac:dyDescent="0.35">
      <c r="A63">
        <v>7</v>
      </c>
      <c r="B63">
        <v>62.67</v>
      </c>
      <c r="C63">
        <v>63.166961999999998</v>
      </c>
      <c r="D63">
        <v>63.137886999999999</v>
      </c>
      <c r="E63">
        <v>63.196097999999999</v>
      </c>
      <c r="F63">
        <v>63.120178000000003</v>
      </c>
      <c r="G63">
        <v>63.213847999999999</v>
      </c>
      <c r="H63">
        <v>50.850389</v>
      </c>
      <c r="I63">
        <v>50.867449000000001</v>
      </c>
      <c r="J63">
        <f t="shared" si="1"/>
        <v>-0.49696199999999635</v>
      </c>
      <c r="K63">
        <f t="shared" si="2"/>
        <v>-29.105500000000006</v>
      </c>
      <c r="L63">
        <f t="shared" si="3"/>
        <v>-46.834999999997962</v>
      </c>
      <c r="M63">
        <f t="shared" si="5"/>
        <v>-8.5300000000003706</v>
      </c>
    </row>
    <row r="64" spans="1:13" x14ac:dyDescent="0.35">
      <c r="A64">
        <v>7</v>
      </c>
      <c r="B64">
        <v>62.67</v>
      </c>
      <c r="C64">
        <v>63.166961999999998</v>
      </c>
      <c r="D64">
        <v>63.137886999999999</v>
      </c>
      <c r="E64">
        <v>63.196097999999999</v>
      </c>
      <c r="F64">
        <v>63.120178000000003</v>
      </c>
      <c r="G64">
        <v>63.213847999999999</v>
      </c>
      <c r="H64">
        <v>63.155385000000003</v>
      </c>
      <c r="I64">
        <v>63.178536000000001</v>
      </c>
      <c r="J64">
        <f t="shared" si="1"/>
        <v>-0.49696199999999635</v>
      </c>
      <c r="K64">
        <f t="shared" si="2"/>
        <v>-29.105500000000006</v>
      </c>
      <c r="L64">
        <f t="shared" si="3"/>
        <v>-46.834999999997962</v>
      </c>
      <c r="M64">
        <f t="shared" si="5"/>
        <v>-11.575499999999295</v>
      </c>
    </row>
    <row r="65" spans="1:13" x14ac:dyDescent="0.35">
      <c r="A65">
        <v>8</v>
      </c>
      <c r="B65">
        <v>19.991</v>
      </c>
      <c r="C65">
        <v>21.211399</v>
      </c>
      <c r="D65">
        <v>21.195466</v>
      </c>
      <c r="E65">
        <v>21.227347000000002</v>
      </c>
      <c r="F65">
        <v>21.200481</v>
      </c>
      <c r="G65">
        <v>21.222322999999999</v>
      </c>
      <c r="H65">
        <v>21.211172999999999</v>
      </c>
      <c r="I65">
        <v>21.211627</v>
      </c>
      <c r="J65">
        <f t="shared" si="1"/>
        <v>-1.2203990000000005</v>
      </c>
      <c r="K65">
        <f t="shared" si="2"/>
        <v>-15.940500000001023</v>
      </c>
      <c r="L65">
        <f t="shared" si="3"/>
        <v>-10.920999999999736</v>
      </c>
      <c r="M65">
        <f t="shared" si="5"/>
        <v>-0.22700000000064335</v>
      </c>
    </row>
    <row r="66" spans="1:13" x14ac:dyDescent="0.35">
      <c r="A66">
        <v>8</v>
      </c>
      <c r="B66">
        <v>20.251000000000001</v>
      </c>
      <c r="C66">
        <v>21.638120000000001</v>
      </c>
      <c r="D66">
        <v>21.6221</v>
      </c>
      <c r="E66">
        <v>21.654156</v>
      </c>
      <c r="F66">
        <v>21.626933000000001</v>
      </c>
      <c r="G66">
        <v>21.649314</v>
      </c>
      <c r="H66">
        <v>21.637639</v>
      </c>
      <c r="I66">
        <v>21.638601000000001</v>
      </c>
      <c r="J66">
        <f t="shared" si="1"/>
        <v>-1.3871199999999995</v>
      </c>
      <c r="K66">
        <f t="shared" si="2"/>
        <v>-16.028000000000375</v>
      </c>
      <c r="L66">
        <f t="shared" si="3"/>
        <v>-11.190499999999659</v>
      </c>
      <c r="M66">
        <f t="shared" ref="M66:M100" si="6">(H66-I66)/(2*0.001)</f>
        <v>-0.48100000000061982</v>
      </c>
    </row>
    <row r="67" spans="1:13" x14ac:dyDescent="0.35">
      <c r="A67">
        <v>8</v>
      </c>
      <c r="B67">
        <v>22.5245</v>
      </c>
      <c r="C67">
        <v>23.061790999999999</v>
      </c>
      <c r="D67">
        <v>23.044996000000001</v>
      </c>
      <c r="E67">
        <v>23.078599000000001</v>
      </c>
      <c r="F67">
        <v>23.049118</v>
      </c>
      <c r="G67">
        <v>23.074468</v>
      </c>
      <c r="H67">
        <v>25.463681000000001</v>
      </c>
      <c r="I67">
        <v>25.465512</v>
      </c>
      <c r="J67">
        <f t="shared" ref="J67:J100" si="7">B67-C67</f>
        <v>-0.53729099999999974</v>
      </c>
      <c r="K67">
        <f t="shared" ref="K67:K100" si="8">(D67-E67)/(2*0.001)</f>
        <v>-16.801499999999692</v>
      </c>
      <c r="L67">
        <f t="shared" ref="L67:L100" si="9">(F67-G67)/(2*0.001)</f>
        <v>-12.67499999999977</v>
      </c>
      <c r="M67">
        <f t="shared" si="6"/>
        <v>-0.91549999999962495</v>
      </c>
    </row>
    <row r="68" spans="1:13" x14ac:dyDescent="0.35">
      <c r="A68">
        <v>8</v>
      </c>
      <c r="B68">
        <v>24.317</v>
      </c>
      <c r="C68">
        <v>25.236018000000001</v>
      </c>
      <c r="D68">
        <v>25.218544000000001</v>
      </c>
      <c r="E68">
        <v>25.253509999999999</v>
      </c>
      <c r="F68">
        <v>25.221734000000001</v>
      </c>
      <c r="G68">
        <v>25.250313999999999</v>
      </c>
      <c r="H68">
        <v>30.043796</v>
      </c>
      <c r="I68">
        <v>30.048176999999999</v>
      </c>
      <c r="J68">
        <f t="shared" si="7"/>
        <v>-0.91901800000000122</v>
      </c>
      <c r="K68">
        <f t="shared" si="8"/>
        <v>-17.482999999998583</v>
      </c>
      <c r="L68">
        <f t="shared" si="9"/>
        <v>-14.289999999999026</v>
      </c>
      <c r="M68">
        <f t="shared" si="6"/>
        <v>-2.190499999999318</v>
      </c>
    </row>
    <row r="69" spans="1:13" x14ac:dyDescent="0.35">
      <c r="A69">
        <v>8</v>
      </c>
      <c r="B69">
        <v>24.9162</v>
      </c>
      <c r="C69">
        <v>25.464596</v>
      </c>
      <c r="D69">
        <v>25.446999000000002</v>
      </c>
      <c r="E69">
        <v>25.482209999999998</v>
      </c>
      <c r="F69">
        <v>25.44998</v>
      </c>
      <c r="G69">
        <v>25.479223999999999</v>
      </c>
      <c r="H69">
        <v>36.675100999999998</v>
      </c>
      <c r="I69">
        <v>36.682786</v>
      </c>
      <c r="J69">
        <f t="shared" si="7"/>
        <v>-0.54839600000000033</v>
      </c>
      <c r="K69">
        <f t="shared" si="8"/>
        <v>-17.605499999998386</v>
      </c>
      <c r="L69">
        <f t="shared" si="9"/>
        <v>-14.621999999999247</v>
      </c>
      <c r="M69">
        <f t="shared" si="6"/>
        <v>-3.8425000000010812</v>
      </c>
    </row>
    <row r="70" spans="1:13" x14ac:dyDescent="0.35">
      <c r="A70">
        <v>8</v>
      </c>
      <c r="B70">
        <v>29.2532</v>
      </c>
      <c r="C70">
        <v>30.045985999999999</v>
      </c>
      <c r="D70">
        <v>30.026785</v>
      </c>
      <c r="E70">
        <v>30.065211000000001</v>
      </c>
      <c r="F70">
        <v>30.027723000000002</v>
      </c>
      <c r="G70">
        <v>30.064271999999999</v>
      </c>
      <c r="H70">
        <v>45.205385</v>
      </c>
      <c r="I70">
        <v>45.217309</v>
      </c>
      <c r="J70">
        <f t="shared" si="7"/>
        <v>-0.79278599999999955</v>
      </c>
      <c r="K70">
        <f t="shared" si="8"/>
        <v>-19.213000000000591</v>
      </c>
      <c r="L70">
        <f t="shared" si="9"/>
        <v>-18.274499999998639</v>
      </c>
      <c r="M70">
        <f t="shared" si="6"/>
        <v>-5.9620000000002449</v>
      </c>
    </row>
    <row r="71" spans="1:13" x14ac:dyDescent="0.35">
      <c r="A71">
        <v>8</v>
      </c>
      <c r="B71">
        <v>29.299399999999999</v>
      </c>
      <c r="C71">
        <v>30.053082</v>
      </c>
      <c r="D71">
        <v>30.033882999999999</v>
      </c>
      <c r="E71">
        <v>30.072303999999999</v>
      </c>
      <c r="F71">
        <v>30.034797000000001</v>
      </c>
      <c r="G71">
        <v>30.071389</v>
      </c>
      <c r="H71">
        <v>55.628709000000001</v>
      </c>
      <c r="I71">
        <v>55.645800000000001</v>
      </c>
      <c r="J71">
        <f t="shared" si="7"/>
        <v>-0.7536820000000013</v>
      </c>
      <c r="K71">
        <f t="shared" si="8"/>
        <v>-19.210499999999797</v>
      </c>
      <c r="L71">
        <f t="shared" si="9"/>
        <v>-18.295999999999424</v>
      </c>
      <c r="M71">
        <f t="shared" si="6"/>
        <v>-8.5455000000003167</v>
      </c>
    </row>
    <row r="72" spans="1:13" x14ac:dyDescent="0.35">
      <c r="A72">
        <v>8</v>
      </c>
      <c r="B72">
        <v>35.900199999999998</v>
      </c>
      <c r="C72">
        <v>36.678944000000001</v>
      </c>
      <c r="D72">
        <v>36.657380000000003</v>
      </c>
      <c r="E72">
        <v>36.700538000000002</v>
      </c>
      <c r="F72">
        <v>36.655253999999999</v>
      </c>
      <c r="G72">
        <v>36.702669999999998</v>
      </c>
      <c r="H72">
        <v>67.938810000000004</v>
      </c>
      <c r="I72">
        <v>67.961993000000007</v>
      </c>
      <c r="J72">
        <f t="shared" si="7"/>
        <v>-0.77874400000000321</v>
      </c>
      <c r="K72">
        <f t="shared" si="8"/>
        <v>-21.578999999999127</v>
      </c>
      <c r="L72">
        <f t="shared" si="9"/>
        <v>-23.707999999999174</v>
      </c>
      <c r="M72">
        <f t="shared" si="6"/>
        <v>-11.591500000001531</v>
      </c>
    </row>
    <row r="73" spans="1:13" x14ac:dyDescent="0.35">
      <c r="A73">
        <v>8</v>
      </c>
      <c r="B73">
        <v>35.901499999999999</v>
      </c>
      <c r="C73">
        <v>36.678964000000001</v>
      </c>
      <c r="D73">
        <v>36.657400000000003</v>
      </c>
      <c r="E73">
        <v>36.700558000000001</v>
      </c>
      <c r="F73">
        <v>36.655275000000003</v>
      </c>
      <c r="G73">
        <v>36.702688999999999</v>
      </c>
      <c r="H73">
        <v>82.129535000000004</v>
      </c>
      <c r="I73">
        <v>82.159728999999999</v>
      </c>
      <c r="J73">
        <f t="shared" si="7"/>
        <v>-0.77746400000000193</v>
      </c>
      <c r="K73">
        <f t="shared" si="8"/>
        <v>-21.578999999999127</v>
      </c>
      <c r="L73">
        <f t="shared" si="9"/>
        <v>-23.706999999998146</v>
      </c>
      <c r="M73">
        <f t="shared" si="6"/>
        <v>-15.096999999997252</v>
      </c>
    </row>
    <row r="74" spans="1:13" x14ac:dyDescent="0.35">
      <c r="A74">
        <v>8</v>
      </c>
      <c r="B74">
        <v>44.450099999999999</v>
      </c>
      <c r="C74">
        <v>45.211345000000001</v>
      </c>
      <c r="D74">
        <v>45.18674</v>
      </c>
      <c r="E74">
        <v>45.235990000000001</v>
      </c>
      <c r="F74">
        <v>45.180678999999998</v>
      </c>
      <c r="G74">
        <v>45.242066000000001</v>
      </c>
      <c r="H74">
        <v>23.06155</v>
      </c>
      <c r="I74">
        <v>23.062031999999999</v>
      </c>
      <c r="J74">
        <f t="shared" si="7"/>
        <v>-0.76124500000000239</v>
      </c>
      <c r="K74">
        <f t="shared" si="8"/>
        <v>-24.625000000000341</v>
      </c>
      <c r="L74">
        <f t="shared" si="9"/>
        <v>-30.693500000001706</v>
      </c>
      <c r="M74">
        <f t="shared" si="6"/>
        <v>-0.24099999999904753</v>
      </c>
    </row>
    <row r="75" spans="1:13" x14ac:dyDescent="0.35">
      <c r="A75">
        <v>8</v>
      </c>
      <c r="B75">
        <v>44.450099999999999</v>
      </c>
      <c r="C75">
        <v>45.211348000000001</v>
      </c>
      <c r="D75">
        <v>45.186742000000002</v>
      </c>
      <c r="E75">
        <v>45.235992000000003</v>
      </c>
      <c r="F75">
        <v>45.180681</v>
      </c>
      <c r="G75">
        <v>45.242069000000001</v>
      </c>
      <c r="H75">
        <v>25.234966</v>
      </c>
      <c r="I75">
        <v>25.237071</v>
      </c>
      <c r="J75">
        <f t="shared" si="7"/>
        <v>-0.76124800000000192</v>
      </c>
      <c r="K75">
        <f t="shared" si="8"/>
        <v>-24.625000000000341</v>
      </c>
      <c r="L75">
        <f t="shared" si="9"/>
        <v>-30.694000000000443</v>
      </c>
      <c r="M75">
        <f t="shared" si="6"/>
        <v>-1.0525000000001228</v>
      </c>
    </row>
    <row r="76" spans="1:13" x14ac:dyDescent="0.35">
      <c r="A76">
        <v>8</v>
      </c>
      <c r="B76">
        <v>54.9054</v>
      </c>
      <c r="C76">
        <v>55.637256000000001</v>
      </c>
      <c r="D76">
        <v>55.608939999999997</v>
      </c>
      <c r="E76">
        <v>55.665621000000002</v>
      </c>
      <c r="F76">
        <v>55.598058000000002</v>
      </c>
      <c r="G76">
        <v>55.676529000000002</v>
      </c>
      <c r="H76">
        <v>30.050901</v>
      </c>
      <c r="I76">
        <v>30.055263</v>
      </c>
      <c r="J76">
        <f t="shared" si="7"/>
        <v>-0.73185600000000051</v>
      </c>
      <c r="K76">
        <f t="shared" si="8"/>
        <v>-28.340500000002322</v>
      </c>
      <c r="L76">
        <f t="shared" si="9"/>
        <v>-39.235500000000201</v>
      </c>
      <c r="M76">
        <f t="shared" si="6"/>
        <v>-2.1810000000002105</v>
      </c>
    </row>
    <row r="77" spans="1:13" x14ac:dyDescent="0.35">
      <c r="A77">
        <v>8</v>
      </c>
      <c r="B77">
        <v>54.9054</v>
      </c>
      <c r="C77">
        <v>55.637256000000001</v>
      </c>
      <c r="D77">
        <v>55.608939999999997</v>
      </c>
      <c r="E77">
        <v>55.665621000000002</v>
      </c>
      <c r="F77">
        <v>55.598058000000002</v>
      </c>
      <c r="G77">
        <v>55.676529000000002</v>
      </c>
      <c r="H77">
        <v>36.675120999999997</v>
      </c>
      <c r="I77">
        <v>36.682806999999997</v>
      </c>
      <c r="J77">
        <f t="shared" si="7"/>
        <v>-0.73185600000000051</v>
      </c>
      <c r="K77">
        <f t="shared" si="8"/>
        <v>-28.340500000002322</v>
      </c>
      <c r="L77">
        <f t="shared" si="9"/>
        <v>-39.235500000000201</v>
      </c>
      <c r="M77">
        <f t="shared" si="6"/>
        <v>-3.8429999999998188</v>
      </c>
    </row>
    <row r="78" spans="1:13" x14ac:dyDescent="0.35">
      <c r="A78">
        <v>8</v>
      </c>
      <c r="B78">
        <v>67.258099999999999</v>
      </c>
      <c r="C78">
        <v>67.950402999999994</v>
      </c>
      <c r="D78">
        <v>67.917717999999994</v>
      </c>
      <c r="E78">
        <v>67.983152000000004</v>
      </c>
      <c r="F78">
        <v>67.901124999999993</v>
      </c>
      <c r="G78">
        <v>67.999782999999994</v>
      </c>
      <c r="H78">
        <v>45.205382</v>
      </c>
      <c r="I78">
        <v>45.217306999999998</v>
      </c>
      <c r="J78">
        <f t="shared" si="7"/>
        <v>-0.69230299999999545</v>
      </c>
      <c r="K78">
        <f t="shared" si="8"/>
        <v>-32.717000000005214</v>
      </c>
      <c r="L78">
        <f t="shared" si="9"/>
        <v>-49.329000000000178</v>
      </c>
      <c r="M78">
        <f t="shared" si="6"/>
        <v>-5.9624999999989825</v>
      </c>
    </row>
    <row r="79" spans="1:13" x14ac:dyDescent="0.35">
      <c r="A79">
        <v>8</v>
      </c>
      <c r="B79">
        <v>67.258099999999999</v>
      </c>
      <c r="C79">
        <v>67.950402999999994</v>
      </c>
      <c r="D79">
        <v>67.917717999999994</v>
      </c>
      <c r="E79">
        <v>67.983152000000004</v>
      </c>
      <c r="F79">
        <v>67.901124999999993</v>
      </c>
      <c r="G79">
        <v>67.999782999999994</v>
      </c>
      <c r="H79">
        <v>55.628709000000001</v>
      </c>
      <c r="I79">
        <v>55.645800000000001</v>
      </c>
      <c r="J79">
        <f t="shared" si="7"/>
        <v>-0.69230299999999545</v>
      </c>
      <c r="K79">
        <f t="shared" si="8"/>
        <v>-32.717000000005214</v>
      </c>
      <c r="L79">
        <f t="shared" si="9"/>
        <v>-49.329000000000178</v>
      </c>
      <c r="M79">
        <f t="shared" si="6"/>
        <v>-8.5455000000003167</v>
      </c>
    </row>
    <row r="80" spans="1:13" x14ac:dyDescent="0.35">
      <c r="A80">
        <v>8</v>
      </c>
      <c r="B80">
        <v>81.501999999999995</v>
      </c>
      <c r="C80">
        <v>82.144633999999996</v>
      </c>
      <c r="D80">
        <v>82.106928999999994</v>
      </c>
      <c r="E80">
        <v>82.182417000000001</v>
      </c>
      <c r="F80">
        <v>82.083729000000005</v>
      </c>
      <c r="G80">
        <v>82.205672000000007</v>
      </c>
      <c r="H80">
        <v>67.938810000000004</v>
      </c>
      <c r="I80">
        <v>67.961993000000007</v>
      </c>
      <c r="J80">
        <f t="shared" si="7"/>
        <v>-0.64263400000000104</v>
      </c>
      <c r="K80">
        <f t="shared" si="8"/>
        <v>-37.744000000003552</v>
      </c>
      <c r="L80">
        <f t="shared" si="9"/>
        <v>-60.971500000000844</v>
      </c>
      <c r="M80">
        <f t="shared" si="6"/>
        <v>-11.591500000001531</v>
      </c>
    </row>
    <row r="81" spans="1:13" x14ac:dyDescent="0.35">
      <c r="A81">
        <v>8</v>
      </c>
      <c r="B81">
        <v>81.501999999999995</v>
      </c>
      <c r="C81">
        <v>82.144633999999996</v>
      </c>
      <c r="D81">
        <v>82.106928999999994</v>
      </c>
      <c r="E81">
        <v>82.182417000000001</v>
      </c>
      <c r="F81">
        <v>82.083729000000005</v>
      </c>
      <c r="G81">
        <v>82.205672000000007</v>
      </c>
      <c r="H81">
        <v>82.129535000000004</v>
      </c>
      <c r="I81">
        <v>82.159728999999999</v>
      </c>
      <c r="J81">
        <f t="shared" si="7"/>
        <v>-0.64263400000000104</v>
      </c>
      <c r="K81">
        <f t="shared" si="8"/>
        <v>-37.744000000003552</v>
      </c>
      <c r="L81">
        <f t="shared" si="9"/>
        <v>-60.971500000000844</v>
      </c>
      <c r="M81">
        <f t="shared" si="6"/>
        <v>-15.096999999997252</v>
      </c>
    </row>
    <row r="82" spans="1:13" x14ac:dyDescent="0.35">
      <c r="A82">
        <v>9</v>
      </c>
      <c r="B82">
        <v>24.845500000000001</v>
      </c>
      <c r="C82">
        <v>26.418302000000001</v>
      </c>
      <c r="D82">
        <v>26.398503999999999</v>
      </c>
      <c r="E82">
        <v>26.438117999999999</v>
      </c>
      <c r="F82">
        <v>26.404710999999999</v>
      </c>
      <c r="G82">
        <v>26.431899000000001</v>
      </c>
      <c r="H82">
        <v>28.556222999999999</v>
      </c>
      <c r="I82">
        <v>28.556743999999998</v>
      </c>
      <c r="J82">
        <f t="shared" si="7"/>
        <v>-1.5728019999999994</v>
      </c>
      <c r="K82">
        <f t="shared" si="8"/>
        <v>-19.80700000000013</v>
      </c>
      <c r="L82">
        <f t="shared" si="9"/>
        <v>-13.594000000001216</v>
      </c>
      <c r="M82">
        <f t="shared" si="6"/>
        <v>-0.26049999999955276</v>
      </c>
    </row>
    <row r="83" spans="1:13" x14ac:dyDescent="0.35">
      <c r="A83">
        <v>9</v>
      </c>
      <c r="B83">
        <v>25.034300000000002</v>
      </c>
      <c r="C83">
        <v>26.761642999999999</v>
      </c>
      <c r="D83">
        <v>26.741799</v>
      </c>
      <c r="E83">
        <v>26.781507999999999</v>
      </c>
      <c r="F83">
        <v>26.747844000000001</v>
      </c>
      <c r="G83">
        <v>26.775451</v>
      </c>
      <c r="H83">
        <v>30.564665999999999</v>
      </c>
      <c r="I83">
        <v>30.566842999999999</v>
      </c>
      <c r="J83">
        <f t="shared" si="7"/>
        <v>-1.7273429999999976</v>
      </c>
      <c r="K83">
        <f t="shared" si="8"/>
        <v>-19.85449999999922</v>
      </c>
      <c r="L83">
        <f t="shared" si="9"/>
        <v>-13.803499999999858</v>
      </c>
      <c r="M83">
        <f t="shared" si="6"/>
        <v>-1.0884999999998257</v>
      </c>
    </row>
    <row r="84" spans="1:13" x14ac:dyDescent="0.35">
      <c r="A84">
        <v>9</v>
      </c>
      <c r="B84">
        <v>27.844799999999999</v>
      </c>
      <c r="C84">
        <v>28.556483</v>
      </c>
      <c r="D84">
        <v>28.535616000000001</v>
      </c>
      <c r="E84">
        <v>28.577368</v>
      </c>
      <c r="F84">
        <v>28.540862000000001</v>
      </c>
      <c r="G84">
        <v>28.572109999999999</v>
      </c>
      <c r="H84">
        <v>35.428288000000002</v>
      </c>
      <c r="I84">
        <v>35.432656999999999</v>
      </c>
      <c r="J84">
        <f t="shared" si="7"/>
        <v>-0.71168300000000073</v>
      </c>
      <c r="K84">
        <f t="shared" si="8"/>
        <v>-20.875999999999451</v>
      </c>
      <c r="L84">
        <f t="shared" si="9"/>
        <v>-15.623999999998972</v>
      </c>
      <c r="M84">
        <f t="shared" si="6"/>
        <v>-2.1844999999984793</v>
      </c>
    </row>
    <row r="85" spans="1:13" x14ac:dyDescent="0.35">
      <c r="A85">
        <v>9</v>
      </c>
      <c r="B85">
        <v>29.4069</v>
      </c>
      <c r="C85">
        <v>30.565754999999999</v>
      </c>
      <c r="D85">
        <v>30.544305000000001</v>
      </c>
      <c r="E85">
        <v>30.587225</v>
      </c>
      <c r="F85">
        <v>30.548677999999999</v>
      </c>
      <c r="G85">
        <v>30.582844000000001</v>
      </c>
      <c r="H85">
        <v>42.041825000000003</v>
      </c>
      <c r="I85">
        <v>42.04954</v>
      </c>
      <c r="J85">
        <f t="shared" si="7"/>
        <v>-1.1588549999999991</v>
      </c>
      <c r="K85">
        <f t="shared" si="8"/>
        <v>-21.459999999999368</v>
      </c>
      <c r="L85">
        <f t="shared" si="9"/>
        <v>-17.083000000001292</v>
      </c>
      <c r="M85">
        <f t="shared" si="6"/>
        <v>-3.8574999999987369</v>
      </c>
    </row>
    <row r="86" spans="1:13" x14ac:dyDescent="0.35">
      <c r="A86">
        <v>9</v>
      </c>
      <c r="B86">
        <v>30.296399999999998</v>
      </c>
      <c r="C86">
        <v>30.925091999999999</v>
      </c>
      <c r="D86">
        <v>30.903426</v>
      </c>
      <c r="E86">
        <v>30.946777000000001</v>
      </c>
      <c r="F86">
        <v>30.907522</v>
      </c>
      <c r="G86">
        <v>30.942672999999999</v>
      </c>
      <c r="H86">
        <v>50.571984</v>
      </c>
      <c r="I86">
        <v>50.583941000000003</v>
      </c>
      <c r="J86">
        <f t="shared" si="7"/>
        <v>-0.62869200000000092</v>
      </c>
      <c r="K86">
        <f t="shared" si="8"/>
        <v>-21.675500000000625</v>
      </c>
      <c r="L86">
        <f t="shared" si="9"/>
        <v>-17.575499999999522</v>
      </c>
      <c r="M86">
        <f t="shared" si="6"/>
        <v>-5.978500000001219</v>
      </c>
    </row>
    <row r="87" spans="1:13" x14ac:dyDescent="0.35">
      <c r="A87">
        <v>9</v>
      </c>
      <c r="B87">
        <v>34.4345</v>
      </c>
      <c r="C87">
        <v>35.415218000000003</v>
      </c>
      <c r="D87">
        <v>35.392007999999997</v>
      </c>
      <c r="E87">
        <v>35.438453000000003</v>
      </c>
      <c r="F87">
        <v>35.394114999999999</v>
      </c>
      <c r="G87">
        <v>35.436343000000001</v>
      </c>
      <c r="H87">
        <v>60.998224999999998</v>
      </c>
      <c r="I87">
        <v>61.015351000000003</v>
      </c>
      <c r="J87">
        <f t="shared" si="7"/>
        <v>-0.98071800000000309</v>
      </c>
      <c r="K87">
        <f t="shared" si="8"/>
        <v>-23.22250000000281</v>
      </c>
      <c r="L87">
        <f t="shared" si="9"/>
        <v>-21.114000000000743</v>
      </c>
      <c r="M87">
        <f t="shared" si="6"/>
        <v>-8.5630000000023188</v>
      </c>
    </row>
    <row r="88" spans="1:13" x14ac:dyDescent="0.35">
      <c r="A88">
        <v>9</v>
      </c>
      <c r="B88">
        <v>34.525500000000001</v>
      </c>
      <c r="C88">
        <v>35.430472000000002</v>
      </c>
      <c r="D88">
        <v>35.407265000000002</v>
      </c>
      <c r="E88">
        <v>35.453705999999997</v>
      </c>
      <c r="F88">
        <v>35.409328000000002</v>
      </c>
      <c r="G88">
        <v>35.451639</v>
      </c>
      <c r="H88">
        <v>73.313310999999999</v>
      </c>
      <c r="I88">
        <v>73.336528999999999</v>
      </c>
      <c r="J88">
        <f t="shared" si="7"/>
        <v>-0.90497200000000078</v>
      </c>
      <c r="K88">
        <f t="shared" si="8"/>
        <v>-23.220499999997202</v>
      </c>
      <c r="L88">
        <f t="shared" si="9"/>
        <v>-21.155499999998995</v>
      </c>
      <c r="M88">
        <f t="shared" si="6"/>
        <v>-11.60899999999998</v>
      </c>
    </row>
    <row r="89" spans="1:13" x14ac:dyDescent="0.35">
      <c r="A89">
        <v>9</v>
      </c>
      <c r="B89">
        <v>41.079000000000001</v>
      </c>
      <c r="C89">
        <v>42.045667000000002</v>
      </c>
      <c r="D89">
        <v>42.020096000000002</v>
      </c>
      <c r="E89">
        <v>42.071269999999998</v>
      </c>
      <c r="F89">
        <v>42.019140999999998</v>
      </c>
      <c r="G89">
        <v>42.072229</v>
      </c>
      <c r="H89">
        <v>87.510822000000005</v>
      </c>
      <c r="I89">
        <v>87.541050999999996</v>
      </c>
      <c r="J89">
        <f t="shared" si="7"/>
        <v>-0.96666700000000105</v>
      </c>
      <c r="K89">
        <f t="shared" si="8"/>
        <v>-25.586999999998028</v>
      </c>
      <c r="L89">
        <f t="shared" si="9"/>
        <v>-26.544000000001233</v>
      </c>
      <c r="M89">
        <f t="shared" si="6"/>
        <v>-15.114499999995701</v>
      </c>
    </row>
    <row r="90" spans="1:13" x14ac:dyDescent="0.35">
      <c r="A90">
        <v>9</v>
      </c>
      <c r="B90">
        <v>41.0824</v>
      </c>
      <c r="C90">
        <v>42.045682999999997</v>
      </c>
      <c r="D90">
        <v>42.020111</v>
      </c>
      <c r="E90">
        <v>42.071286999999998</v>
      </c>
      <c r="F90">
        <v>42.019157999999997</v>
      </c>
      <c r="G90">
        <v>42.072243999999998</v>
      </c>
      <c r="H90">
        <v>103.583952</v>
      </c>
      <c r="I90">
        <v>103.622103</v>
      </c>
      <c r="J90">
        <f t="shared" si="7"/>
        <v>-0.963282999999997</v>
      </c>
      <c r="K90">
        <f t="shared" si="8"/>
        <v>-25.587999999999056</v>
      </c>
      <c r="L90">
        <f t="shared" si="9"/>
        <v>-26.543000000000205</v>
      </c>
      <c r="M90">
        <f t="shared" si="6"/>
        <v>-19.075499999999579</v>
      </c>
    </row>
    <row r="91" spans="1:13" x14ac:dyDescent="0.35">
      <c r="A91">
        <v>9</v>
      </c>
      <c r="B91">
        <v>49.620399999999997</v>
      </c>
      <c r="C91">
        <v>50.577962999999997</v>
      </c>
      <c r="D91">
        <v>50.549343999999998</v>
      </c>
      <c r="E91">
        <v>50.606623999999996</v>
      </c>
      <c r="F91">
        <v>50.544468000000002</v>
      </c>
      <c r="G91">
        <v>50.611513000000002</v>
      </c>
      <c r="H91">
        <v>26.417984000000001</v>
      </c>
      <c r="I91">
        <v>26.418620000000001</v>
      </c>
      <c r="J91">
        <f t="shared" si="7"/>
        <v>-0.95756300000000039</v>
      </c>
      <c r="K91">
        <f t="shared" si="8"/>
        <v>-28.639999999999333</v>
      </c>
      <c r="L91">
        <f t="shared" si="9"/>
        <v>-33.522500000000122</v>
      </c>
      <c r="M91">
        <f t="shared" si="6"/>
        <v>-0.31800000000004047</v>
      </c>
    </row>
    <row r="92" spans="1:13" x14ac:dyDescent="0.35">
      <c r="A92">
        <v>9</v>
      </c>
      <c r="B92">
        <v>49.620399999999997</v>
      </c>
      <c r="C92">
        <v>50.577970999999998</v>
      </c>
      <c r="D92">
        <v>50.549351999999999</v>
      </c>
      <c r="E92">
        <v>50.606631999999998</v>
      </c>
      <c r="F92">
        <v>50.544476000000003</v>
      </c>
      <c r="G92">
        <v>50.611521000000003</v>
      </c>
      <c r="H92">
        <v>26.761091</v>
      </c>
      <c r="I92">
        <v>26.762195999999999</v>
      </c>
      <c r="J92">
        <f t="shared" si="7"/>
        <v>-0.9575710000000015</v>
      </c>
      <c r="K92">
        <f t="shared" si="8"/>
        <v>-28.639999999999333</v>
      </c>
      <c r="L92">
        <f t="shared" si="9"/>
        <v>-33.522500000000122</v>
      </c>
      <c r="M92">
        <f t="shared" si="6"/>
        <v>-0.55249999999951172</v>
      </c>
    </row>
    <row r="93" spans="1:13" x14ac:dyDescent="0.35">
      <c r="A93">
        <v>9</v>
      </c>
      <c r="B93">
        <v>60.070999999999998</v>
      </c>
      <c r="C93">
        <v>61.006788999999998</v>
      </c>
      <c r="D93">
        <v>60.974449</v>
      </c>
      <c r="E93">
        <v>61.039181999999997</v>
      </c>
      <c r="F93">
        <v>60.964768999999997</v>
      </c>
      <c r="G93">
        <v>61.048884999999999</v>
      </c>
      <c r="H93">
        <v>30.924208</v>
      </c>
      <c r="I93">
        <v>30.925975999999999</v>
      </c>
      <c r="J93">
        <f t="shared" si="7"/>
        <v>-0.93578899999999976</v>
      </c>
      <c r="K93">
        <f t="shared" si="8"/>
        <v>-32.36649999999841</v>
      </c>
      <c r="L93">
        <f t="shared" si="9"/>
        <v>-42.058000000000817</v>
      </c>
      <c r="M93">
        <f t="shared" si="6"/>
        <v>-0.88399999999921874</v>
      </c>
    </row>
    <row r="94" spans="1:13" x14ac:dyDescent="0.35">
      <c r="A94">
        <v>9</v>
      </c>
      <c r="B94">
        <v>60.070999999999998</v>
      </c>
      <c r="C94">
        <v>61.006788999999998</v>
      </c>
      <c r="D94">
        <v>60.974449</v>
      </c>
      <c r="E94">
        <v>61.039181999999997</v>
      </c>
      <c r="F94">
        <v>60.964768999999997</v>
      </c>
      <c r="G94">
        <v>61.048884999999999</v>
      </c>
      <c r="H94">
        <v>35.413012999999999</v>
      </c>
      <c r="I94">
        <v>35.417422999999999</v>
      </c>
      <c r="J94">
        <f t="shared" si="7"/>
        <v>-0.93578899999999976</v>
      </c>
      <c r="K94">
        <f t="shared" si="8"/>
        <v>-32.36649999999841</v>
      </c>
      <c r="L94">
        <f t="shared" si="9"/>
        <v>-42.058000000000817</v>
      </c>
      <c r="M94">
        <f t="shared" si="6"/>
        <v>-2.2050000000000125</v>
      </c>
    </row>
    <row r="95" spans="1:13" x14ac:dyDescent="0.35">
      <c r="A95">
        <v>9</v>
      </c>
      <c r="B95">
        <v>72.421300000000002</v>
      </c>
      <c r="C95">
        <v>73.324921000000003</v>
      </c>
      <c r="D95">
        <v>73.288195999999999</v>
      </c>
      <c r="E95">
        <v>73.361712999999995</v>
      </c>
      <c r="F95">
        <v>73.272828000000004</v>
      </c>
      <c r="G95">
        <v>73.377116999999998</v>
      </c>
      <c r="H95">
        <v>42.041809000000001</v>
      </c>
      <c r="I95">
        <v>42.049523000000001</v>
      </c>
      <c r="J95">
        <f t="shared" si="7"/>
        <v>-0.90362100000000112</v>
      </c>
      <c r="K95">
        <f t="shared" si="8"/>
        <v>-36.758499999997696</v>
      </c>
      <c r="L95">
        <f t="shared" si="9"/>
        <v>-52.144499999997151</v>
      </c>
      <c r="M95">
        <f t="shared" si="6"/>
        <v>-3.8569999999999993</v>
      </c>
    </row>
    <row r="96" spans="1:13" x14ac:dyDescent="0.35">
      <c r="A96">
        <v>9</v>
      </c>
      <c r="B96">
        <v>72.421300000000002</v>
      </c>
      <c r="C96">
        <v>73.324921000000003</v>
      </c>
      <c r="D96">
        <v>73.288195999999999</v>
      </c>
      <c r="E96">
        <v>73.361712999999995</v>
      </c>
      <c r="F96">
        <v>73.272828000000004</v>
      </c>
      <c r="G96">
        <v>73.377116999999998</v>
      </c>
      <c r="H96">
        <v>50.571992000000002</v>
      </c>
      <c r="I96">
        <v>50.583948999999997</v>
      </c>
      <c r="J96">
        <f t="shared" si="7"/>
        <v>-0.90362100000000112</v>
      </c>
      <c r="K96">
        <f t="shared" si="8"/>
        <v>-36.758499999997696</v>
      </c>
      <c r="L96">
        <f t="shared" si="9"/>
        <v>-52.144499999997151</v>
      </c>
      <c r="M96">
        <f t="shared" si="6"/>
        <v>-5.9784999999976662</v>
      </c>
    </row>
    <row r="97" spans="1:13" x14ac:dyDescent="0.35">
      <c r="A97">
        <v>9</v>
      </c>
      <c r="B97">
        <v>86.664000000000001</v>
      </c>
      <c r="C97">
        <v>87.525937999999996</v>
      </c>
      <c r="D97">
        <v>87.484173999999996</v>
      </c>
      <c r="E97">
        <v>87.567785000000001</v>
      </c>
      <c r="F97">
        <v>87.462226999999999</v>
      </c>
      <c r="G97">
        <v>87.589783999999995</v>
      </c>
      <c r="H97">
        <v>60.998224999999998</v>
      </c>
      <c r="I97">
        <v>61.015351000000003</v>
      </c>
      <c r="J97">
        <f t="shared" si="7"/>
        <v>-0.86193799999999499</v>
      </c>
      <c r="K97">
        <f t="shared" si="8"/>
        <v>-41.805500000002382</v>
      </c>
      <c r="L97">
        <f t="shared" si="9"/>
        <v>-63.778499999997962</v>
      </c>
      <c r="M97">
        <f t="shared" si="6"/>
        <v>-8.5630000000023188</v>
      </c>
    </row>
    <row r="98" spans="1:13" x14ac:dyDescent="0.35">
      <c r="A98">
        <v>9</v>
      </c>
      <c r="B98">
        <v>86.664000000000001</v>
      </c>
      <c r="C98">
        <v>87.525937999999996</v>
      </c>
      <c r="D98">
        <v>87.484173999999996</v>
      </c>
      <c r="E98">
        <v>87.567785000000001</v>
      </c>
      <c r="F98">
        <v>87.462226999999999</v>
      </c>
      <c r="G98">
        <v>87.589783999999995</v>
      </c>
      <c r="H98">
        <v>73.313310999999999</v>
      </c>
      <c r="I98">
        <v>73.336528999999999</v>
      </c>
      <c r="J98">
        <f t="shared" si="7"/>
        <v>-0.86193799999999499</v>
      </c>
      <c r="K98">
        <f t="shared" si="8"/>
        <v>-41.805500000002382</v>
      </c>
      <c r="L98">
        <f t="shared" si="9"/>
        <v>-63.778499999997962</v>
      </c>
      <c r="M98">
        <f t="shared" si="6"/>
        <v>-11.60899999999998</v>
      </c>
    </row>
    <row r="99" spans="1:13" x14ac:dyDescent="0.35">
      <c r="A99">
        <v>9</v>
      </c>
      <c r="B99">
        <v>102.79259999999999</v>
      </c>
      <c r="C99">
        <v>103.60303</v>
      </c>
      <c r="D99">
        <v>103.555583</v>
      </c>
      <c r="E99">
        <v>103.650576</v>
      </c>
      <c r="F99">
        <v>103.526155</v>
      </c>
      <c r="G99">
        <v>103.68007299999999</v>
      </c>
      <c r="H99">
        <v>87.510822000000005</v>
      </c>
      <c r="I99">
        <v>87.541050999999996</v>
      </c>
      <c r="J99">
        <f t="shared" si="7"/>
        <v>-0.81043000000001086</v>
      </c>
      <c r="K99">
        <f t="shared" si="8"/>
        <v>-47.496500000001163</v>
      </c>
      <c r="L99">
        <f t="shared" si="9"/>
        <v>-76.958999999995115</v>
      </c>
      <c r="M99">
        <f t="shared" si="6"/>
        <v>-15.114499999995701</v>
      </c>
    </row>
    <row r="100" spans="1:13" x14ac:dyDescent="0.35">
      <c r="A100">
        <v>9</v>
      </c>
      <c r="B100">
        <v>102.79259999999999</v>
      </c>
      <c r="C100">
        <v>103.60303</v>
      </c>
      <c r="D100">
        <v>103.555583</v>
      </c>
      <c r="E100">
        <v>103.650576</v>
      </c>
      <c r="F100">
        <v>103.526155</v>
      </c>
      <c r="G100">
        <v>103.68007299999999</v>
      </c>
      <c r="H100">
        <v>103.583952</v>
      </c>
      <c r="I100">
        <v>103.622103</v>
      </c>
      <c r="J100">
        <f t="shared" si="7"/>
        <v>-0.81043000000001086</v>
      </c>
      <c r="K100">
        <f t="shared" si="8"/>
        <v>-47.496500000001163</v>
      </c>
      <c r="L100">
        <f t="shared" si="9"/>
        <v>-76.958999999995115</v>
      </c>
      <c r="M100">
        <f t="shared" si="6"/>
        <v>-19.075499999999579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1EF61E-D814-4B35-86FC-762DAF0165B1}">
  <dimension ref="A1:S100"/>
  <sheetViews>
    <sheetView workbookViewId="0">
      <selection activeCell="O11" sqref="O11"/>
    </sheetView>
  </sheetViews>
  <sheetFormatPr defaultRowHeight="14.5" x14ac:dyDescent="0.35"/>
  <cols>
    <col min="1" max="1" width="6.08984375" customWidth="1"/>
    <col min="2" max="2" width="11" customWidth="1"/>
    <col min="10" max="10" width="9.81640625" bestFit="1" customWidth="1"/>
  </cols>
  <sheetData>
    <row r="1" spans="1:19" x14ac:dyDescent="0.35">
      <c r="A1" t="s">
        <v>6</v>
      </c>
      <c r="B1" t="s">
        <v>7</v>
      </c>
      <c r="C1" t="s">
        <v>5</v>
      </c>
      <c r="D1" t="s">
        <v>9</v>
      </c>
      <c r="E1" t="s">
        <v>8</v>
      </c>
      <c r="F1" t="s">
        <v>11</v>
      </c>
      <c r="G1" t="s">
        <v>10</v>
      </c>
      <c r="H1" t="s">
        <v>16</v>
      </c>
      <c r="I1" t="s">
        <v>15</v>
      </c>
      <c r="J1" t="s">
        <v>12</v>
      </c>
      <c r="K1" t="s">
        <v>13</v>
      </c>
      <c r="L1" t="s">
        <v>14</v>
      </c>
      <c r="M1" t="s">
        <v>17</v>
      </c>
      <c r="O1" t="s">
        <v>18</v>
      </c>
      <c r="S1" t="s">
        <v>19</v>
      </c>
    </row>
    <row r="2" spans="1:19" x14ac:dyDescent="0.35">
      <c r="A2">
        <v>1</v>
      </c>
      <c r="B2">
        <v>0.57210000000000005</v>
      </c>
      <c r="C2">
        <v>0.57173799999999997</v>
      </c>
      <c r="D2">
        <v>0.57130000000000003</v>
      </c>
      <c r="E2">
        <v>0.57217600000000002</v>
      </c>
      <c r="F2">
        <v>0.57146399999999997</v>
      </c>
      <c r="G2">
        <v>0.57201100000000005</v>
      </c>
      <c r="H2">
        <v>0.57173499999999999</v>
      </c>
      <c r="I2">
        <v>0.57174100000000005</v>
      </c>
      <c r="J2">
        <f>B2-C2</f>
        <v>3.6200000000008448E-4</v>
      </c>
      <c r="K2">
        <f>(D2-E2)/(2*0.001)</f>
        <v>-0.43799999999999395</v>
      </c>
      <c r="L2">
        <f>(F2-G2)/(2*0.001)</f>
        <v>-0.2735000000000376</v>
      </c>
      <c r="M2">
        <f>(H2-I2)/(2*0.001)</f>
        <v>-3.0000000000307558E-3</v>
      </c>
      <c r="O2">
        <f>SUMSQ(K2:K100)</f>
        <v>30702.778402249383</v>
      </c>
      <c r="P2">
        <f>SUMPRODUCT(K2:K100,L2:L100)</f>
        <v>49543.144050999414</v>
      </c>
      <c r="Q2">
        <f>SUMPRODUCT(K2:K100,M2:M100)</f>
        <v>9139.545764499795</v>
      </c>
      <c r="S2">
        <f>SUMPRODUCT(J2:J100,K2:K100)</f>
        <v>279.5654476545011</v>
      </c>
    </row>
    <row r="3" spans="1:19" x14ac:dyDescent="0.35">
      <c r="A3">
        <v>1</v>
      </c>
      <c r="B3">
        <v>1.4932000000000001</v>
      </c>
      <c r="C3">
        <v>1.5144850000000001</v>
      </c>
      <c r="D3">
        <v>1.5138210000000001</v>
      </c>
      <c r="E3">
        <v>1.5151520000000001</v>
      </c>
      <c r="F3">
        <v>1.513309</v>
      </c>
      <c r="G3">
        <v>1.515665</v>
      </c>
      <c r="H3">
        <v>1.5142500000000001</v>
      </c>
      <c r="I3">
        <v>1.514721</v>
      </c>
      <c r="J3">
        <f>B3-C3</f>
        <v>-2.1284999999999998E-2</v>
      </c>
      <c r="K3">
        <f t="shared" ref="K3:K66" si="0">(D3-E3)/(2*0.001)</f>
        <v>-0.66549999999998555</v>
      </c>
      <c r="L3">
        <f t="shared" ref="L3:L66" si="1">(F3-G3)/(2*0.001)</f>
        <v>-1.1780000000000124</v>
      </c>
      <c r="M3">
        <f t="shared" ref="M3:M66" si="2">(H3-I3)/(2*0.001)</f>
        <v>-0.23549999999994409</v>
      </c>
      <c r="O3">
        <f>P2</f>
        <v>49543.144050999414</v>
      </c>
      <c r="P3">
        <f>SUMSQ(L2:L100)</f>
        <v>88328.486351749743</v>
      </c>
      <c r="Q3">
        <f>SUMPRODUCT(L2:L100,M2:M100)</f>
        <v>17231.015838749903</v>
      </c>
      <c r="S3">
        <f>SUMPRODUCT(J2:J100,L2:L100)</f>
        <v>552.24823991800247</v>
      </c>
    </row>
    <row r="4" spans="1:19" x14ac:dyDescent="0.35">
      <c r="A4">
        <v>1</v>
      </c>
      <c r="B4">
        <v>1.5575000000000001</v>
      </c>
      <c r="C4">
        <v>1.5516289999999999</v>
      </c>
      <c r="D4">
        <v>1.5509379999999999</v>
      </c>
      <c r="E4">
        <v>1.5523210000000001</v>
      </c>
      <c r="F4">
        <v>1.5504230000000001</v>
      </c>
      <c r="G4">
        <v>1.5528379999999999</v>
      </c>
      <c r="H4">
        <v>1.5513999999999999</v>
      </c>
      <c r="I4">
        <v>1.551858</v>
      </c>
      <c r="J4">
        <f>B4-C4</f>
        <v>5.8710000000001816E-3</v>
      </c>
      <c r="K4">
        <f t="shared" si="0"/>
        <v>-0.69150000000006706</v>
      </c>
      <c r="L4">
        <f t="shared" si="1"/>
        <v>-1.207499999999917</v>
      </c>
      <c r="M4">
        <f t="shared" si="2"/>
        <v>-0.22900000000003473</v>
      </c>
      <c r="O4">
        <f>Q2</f>
        <v>9139.545764499795</v>
      </c>
      <c r="P4">
        <f>Q3</f>
        <v>17231.015838749903</v>
      </c>
      <c r="Q4">
        <f>SUMSQ(M2:M100)</f>
        <v>3456.3130177499943</v>
      </c>
      <c r="S4">
        <f>SUMPRODUCT(J2:J100,M2:M100)</f>
        <v>113.90110988150082</v>
      </c>
    </row>
    <row r="5" spans="1:19" x14ac:dyDescent="0.35">
      <c r="A5">
        <v>2</v>
      </c>
      <c r="B5">
        <v>1.7129000000000001</v>
      </c>
      <c r="C5">
        <v>1.713881</v>
      </c>
      <c r="D5">
        <v>1.7125699999999999</v>
      </c>
      <c r="E5">
        <v>1.715193</v>
      </c>
      <c r="F5">
        <v>1.7130609999999999</v>
      </c>
      <c r="G5">
        <v>1.714701</v>
      </c>
      <c r="H5">
        <v>1.7138720000000001</v>
      </c>
      <c r="I5">
        <v>1.7138899999999999</v>
      </c>
      <c r="J5">
        <f>B5-C5</f>
        <v>-9.8099999999989862E-4</v>
      </c>
      <c r="K5">
        <f t="shared" si="0"/>
        <v>-1.311500000000021</v>
      </c>
      <c r="L5">
        <f t="shared" si="1"/>
        <v>-0.82000000000004292</v>
      </c>
      <c r="M5">
        <f t="shared" si="2"/>
        <v>-8.9999999999257341E-3</v>
      </c>
    </row>
    <row r="6" spans="1:19" x14ac:dyDescent="0.35">
      <c r="A6">
        <v>2</v>
      </c>
      <c r="B6">
        <v>2.573</v>
      </c>
      <c r="C6">
        <v>2.6204990000000001</v>
      </c>
      <c r="D6">
        <v>2.6189849999999999</v>
      </c>
      <c r="E6">
        <v>2.6220140000000001</v>
      </c>
      <c r="F6">
        <v>2.618805</v>
      </c>
      <c r="G6">
        <v>2.6221960000000002</v>
      </c>
      <c r="H6">
        <v>2.6202519999999998</v>
      </c>
      <c r="I6">
        <v>2.6207449999999999</v>
      </c>
      <c r="J6">
        <f>B6-C6</f>
        <v>-4.749900000000018E-2</v>
      </c>
      <c r="K6">
        <f t="shared" si="0"/>
        <v>-1.5145000000000852</v>
      </c>
      <c r="L6">
        <f t="shared" si="1"/>
        <v>-1.6955000000000719</v>
      </c>
      <c r="M6">
        <f t="shared" si="2"/>
        <v>-0.24650000000003836</v>
      </c>
      <c r="O6" cm="1">
        <f t="array" ref="O6:Q8">MINVERSE(O2:Q4)</f>
        <v>0.14218437524327396</v>
      </c>
      <c r="P6">
        <v>-0.23326466489494546</v>
      </c>
      <c r="Q6">
        <v>0.78693293024234889</v>
      </c>
      <c r="S6" cm="1">
        <f t="array" ref="S6:S8">MMULT(O6:Q8,S2:S4)</f>
        <v>0.56237204797034224</v>
      </c>
    </row>
    <row r="7" spans="1:19" x14ac:dyDescent="0.35">
      <c r="A7">
        <v>2</v>
      </c>
      <c r="B7">
        <v>2.7658999999999998</v>
      </c>
      <c r="C7">
        <v>2.7322549999999999</v>
      </c>
      <c r="D7">
        <v>2.7306629999999998</v>
      </c>
      <c r="E7">
        <v>2.7338499999999999</v>
      </c>
      <c r="F7">
        <v>2.7304729999999999</v>
      </c>
      <c r="G7">
        <v>2.7340399999999998</v>
      </c>
      <c r="H7">
        <v>2.7320259999999998</v>
      </c>
      <c r="I7">
        <v>2.7324850000000001</v>
      </c>
      <c r="J7">
        <f>B7-C7</f>
        <v>3.3644999999999925E-2</v>
      </c>
      <c r="K7">
        <f t="shared" si="0"/>
        <v>-1.5935000000000255</v>
      </c>
      <c r="L7">
        <f t="shared" si="1"/>
        <v>-1.7834999999999379</v>
      </c>
      <c r="M7">
        <f t="shared" si="2"/>
        <v>-0.22950000000010462</v>
      </c>
      <c r="O7">
        <v>-0.23326466489494566</v>
      </c>
      <c r="P7">
        <v>0.38310135355206665</v>
      </c>
      <c r="Q7">
        <v>-1.2930809182796648</v>
      </c>
      <c r="S7">
        <v>-0.92904401264354419</v>
      </c>
    </row>
    <row r="8" spans="1:19" x14ac:dyDescent="0.35">
      <c r="A8">
        <v>2</v>
      </c>
      <c r="B8">
        <v>5.5289000000000001</v>
      </c>
      <c r="C8">
        <v>5.5602819999999999</v>
      </c>
      <c r="D8">
        <v>5.5580080000000001</v>
      </c>
      <c r="E8">
        <v>5.5625600000000004</v>
      </c>
      <c r="F8">
        <v>5.55579</v>
      </c>
      <c r="G8">
        <v>5.5647840000000004</v>
      </c>
      <c r="H8">
        <v>5.5593560000000002</v>
      </c>
      <c r="I8">
        <v>5.5612079999999997</v>
      </c>
      <c r="J8">
        <f>B8-C8</f>
        <v>-3.1381999999999799E-2</v>
      </c>
      <c r="K8">
        <f t="shared" si="0"/>
        <v>-2.2760000000001668</v>
      </c>
      <c r="L8">
        <f t="shared" si="1"/>
        <v>-4.4970000000001953</v>
      </c>
      <c r="M8">
        <f t="shared" si="2"/>
        <v>-0.92599999999976035</v>
      </c>
      <c r="O8">
        <v>0.78693293024235011</v>
      </c>
      <c r="P8">
        <v>-1.2930809182796654</v>
      </c>
      <c r="Q8">
        <v>4.365891681866124</v>
      </c>
      <c r="S8">
        <v>3.1775039127350624</v>
      </c>
    </row>
    <row r="9" spans="1:19" x14ac:dyDescent="0.35">
      <c r="A9">
        <v>2</v>
      </c>
      <c r="B9">
        <v>5.5320999999999998</v>
      </c>
      <c r="C9">
        <v>5.56128</v>
      </c>
      <c r="D9">
        <v>5.559005</v>
      </c>
      <c r="E9">
        <v>5.5635589999999997</v>
      </c>
      <c r="F9">
        <v>5.5567869999999999</v>
      </c>
      <c r="G9">
        <v>5.5657829999999997</v>
      </c>
      <c r="H9">
        <v>5.5603550000000004</v>
      </c>
      <c r="I9">
        <v>5.5622049999999996</v>
      </c>
      <c r="J9">
        <f>B9-C9</f>
        <v>-2.9180000000000206E-2</v>
      </c>
      <c r="K9">
        <f t="shared" si="0"/>
        <v>-2.2769999999998625</v>
      </c>
      <c r="L9">
        <f t="shared" si="1"/>
        <v>-4.497999999999891</v>
      </c>
      <c r="M9">
        <f t="shared" si="2"/>
        <v>-0.92499999999962057</v>
      </c>
    </row>
    <row r="10" spans="1:19" x14ac:dyDescent="0.35">
      <c r="A10">
        <v>3</v>
      </c>
      <c r="B10">
        <v>3.4161999999999999</v>
      </c>
      <c r="C10">
        <v>3.4237340000000001</v>
      </c>
      <c r="D10">
        <v>3.4211179999999999</v>
      </c>
      <c r="E10">
        <v>3.4263530000000002</v>
      </c>
      <c r="F10">
        <v>3.4220959999999998</v>
      </c>
      <c r="G10">
        <v>3.425373</v>
      </c>
      <c r="H10">
        <v>3.4237139999999999</v>
      </c>
      <c r="I10">
        <v>3.4237540000000002</v>
      </c>
      <c r="J10">
        <f>B10-C10</f>
        <v>-7.5340000000001517E-3</v>
      </c>
      <c r="K10">
        <f t="shared" si="0"/>
        <v>-2.6175000000001614</v>
      </c>
      <c r="L10">
        <f t="shared" si="1"/>
        <v>-1.6385000000000982</v>
      </c>
      <c r="M10">
        <f t="shared" si="2"/>
        <v>-2.0000000000131024E-2</v>
      </c>
    </row>
    <row r="11" spans="1:19" x14ac:dyDescent="0.35">
      <c r="A11">
        <v>3</v>
      </c>
      <c r="B11">
        <v>4.1906999999999996</v>
      </c>
      <c r="C11">
        <v>4.2778260000000001</v>
      </c>
      <c r="D11">
        <v>4.2750440000000003</v>
      </c>
      <c r="E11">
        <v>4.2806110000000004</v>
      </c>
      <c r="F11">
        <v>4.2753540000000001</v>
      </c>
      <c r="G11">
        <v>4.2803009999999997</v>
      </c>
      <c r="H11">
        <v>4.2775619999999996</v>
      </c>
      <c r="I11">
        <v>4.2780899999999997</v>
      </c>
      <c r="J11">
        <f>B11-C11</f>
        <v>-8.7126000000000481E-2</v>
      </c>
      <c r="K11">
        <f t="shared" si="0"/>
        <v>-2.7835000000000498</v>
      </c>
      <c r="L11">
        <f t="shared" si="1"/>
        <v>-2.4734999999997953</v>
      </c>
      <c r="M11">
        <f t="shared" si="2"/>
        <v>-0.26400000000004198</v>
      </c>
    </row>
    <row r="12" spans="1:19" x14ac:dyDescent="0.35">
      <c r="A12">
        <v>3</v>
      </c>
      <c r="B12">
        <v>4.5765000000000002</v>
      </c>
      <c r="C12">
        <v>4.5022869999999999</v>
      </c>
      <c r="D12">
        <v>4.4993429999999996</v>
      </c>
      <c r="E12">
        <v>4.5052329999999996</v>
      </c>
      <c r="F12">
        <v>4.4996400000000003</v>
      </c>
      <c r="G12">
        <v>4.5049359999999998</v>
      </c>
      <c r="H12">
        <v>4.5020569999999998</v>
      </c>
      <c r="I12">
        <v>4.5025170000000001</v>
      </c>
      <c r="J12">
        <f>B12-C12</f>
        <v>7.4213000000000306E-2</v>
      </c>
      <c r="K12">
        <f t="shared" si="0"/>
        <v>-2.9449999999999754</v>
      </c>
      <c r="L12">
        <f t="shared" si="1"/>
        <v>-2.6479999999997617</v>
      </c>
      <c r="M12">
        <f t="shared" si="2"/>
        <v>-0.23000000000017451</v>
      </c>
    </row>
    <row r="13" spans="1:19" x14ac:dyDescent="0.35">
      <c r="A13">
        <v>3</v>
      </c>
      <c r="B13">
        <v>7.2450999999999999</v>
      </c>
      <c r="C13">
        <v>7.2752299999999996</v>
      </c>
      <c r="D13">
        <v>7.2716440000000002</v>
      </c>
      <c r="E13">
        <v>7.2788219999999999</v>
      </c>
      <c r="F13">
        <v>7.2699170000000004</v>
      </c>
      <c r="G13">
        <v>7.2805530000000003</v>
      </c>
      <c r="H13">
        <v>7.2742959999999997</v>
      </c>
      <c r="I13">
        <v>7.2761639999999996</v>
      </c>
      <c r="J13">
        <f>B13-C13</f>
        <v>-3.0129999999999768E-2</v>
      </c>
      <c r="K13">
        <f t="shared" si="0"/>
        <v>-3.5889999999998423</v>
      </c>
      <c r="L13">
        <f t="shared" si="1"/>
        <v>-5.3179999999999339</v>
      </c>
      <c r="M13">
        <f t="shared" si="2"/>
        <v>-0.93399999999999039</v>
      </c>
    </row>
    <row r="14" spans="1:19" x14ac:dyDescent="0.35">
      <c r="A14">
        <v>3</v>
      </c>
      <c r="B14">
        <v>7.2613000000000003</v>
      </c>
      <c r="C14">
        <v>7.2802660000000001</v>
      </c>
      <c r="D14">
        <v>7.2766739999999999</v>
      </c>
      <c r="E14">
        <v>7.2838630000000002</v>
      </c>
      <c r="F14">
        <v>7.2749490000000003</v>
      </c>
      <c r="G14">
        <v>7.2855920000000003</v>
      </c>
      <c r="H14">
        <v>7.2793340000000004</v>
      </c>
      <c r="I14">
        <v>7.2811969999999997</v>
      </c>
      <c r="J14">
        <f>B14-C14</f>
        <v>-1.8965999999999816E-2</v>
      </c>
      <c r="K14">
        <f t="shared" si="0"/>
        <v>-3.594500000000167</v>
      </c>
      <c r="L14">
        <f t="shared" si="1"/>
        <v>-5.321499999999979</v>
      </c>
      <c r="M14">
        <f t="shared" si="2"/>
        <v>-0.93149999999964095</v>
      </c>
    </row>
    <row r="15" spans="1:19" x14ac:dyDescent="0.35">
      <c r="A15">
        <v>3</v>
      </c>
      <c r="B15">
        <v>12.011699999999999</v>
      </c>
      <c r="C15">
        <v>12.081580000000001</v>
      </c>
      <c r="D15">
        <v>12.076791</v>
      </c>
      <c r="E15">
        <v>12.086377000000001</v>
      </c>
      <c r="F15">
        <v>12.071676999999999</v>
      </c>
      <c r="G15">
        <v>12.091502999999999</v>
      </c>
      <c r="H15">
        <v>12.079499999999999</v>
      </c>
      <c r="I15">
        <v>12.083659000000001</v>
      </c>
      <c r="J15">
        <f>B15-C15</f>
        <v>-6.9880000000001274E-2</v>
      </c>
      <c r="K15">
        <f t="shared" si="0"/>
        <v>-4.7930000000002693</v>
      </c>
      <c r="L15">
        <f t="shared" si="1"/>
        <v>-9.9130000000000607</v>
      </c>
      <c r="M15">
        <f t="shared" si="2"/>
        <v>-2.079500000000678</v>
      </c>
    </row>
    <row r="16" spans="1:19" x14ac:dyDescent="0.35">
      <c r="A16">
        <v>3</v>
      </c>
      <c r="B16">
        <v>12.011799999999999</v>
      </c>
      <c r="C16">
        <v>12.081592000000001</v>
      </c>
      <c r="D16">
        <v>12.076803999999999</v>
      </c>
      <c r="E16">
        <v>12.08639</v>
      </c>
      <c r="F16">
        <v>12.07169</v>
      </c>
      <c r="G16">
        <v>12.091516</v>
      </c>
      <c r="H16">
        <v>12.079513</v>
      </c>
      <c r="I16">
        <v>12.083672</v>
      </c>
      <c r="J16">
        <f>B16-C16</f>
        <v>-6.9792000000001408E-2</v>
      </c>
      <c r="K16">
        <f t="shared" si="0"/>
        <v>-4.7930000000002693</v>
      </c>
      <c r="L16">
        <f t="shared" si="1"/>
        <v>-9.9130000000000607</v>
      </c>
      <c r="M16">
        <f t="shared" si="2"/>
        <v>-2.0794999999997898</v>
      </c>
    </row>
    <row r="17" spans="1:13" x14ac:dyDescent="0.35">
      <c r="A17">
        <v>4</v>
      </c>
      <c r="B17">
        <v>5.6722999999999999</v>
      </c>
      <c r="C17">
        <v>5.697203</v>
      </c>
      <c r="D17">
        <v>5.6928559999999999</v>
      </c>
      <c r="E17">
        <v>5.7015539999999998</v>
      </c>
      <c r="F17">
        <v>5.6944739999999996</v>
      </c>
      <c r="G17">
        <v>5.6999320000000004</v>
      </c>
      <c r="H17">
        <v>5.697165</v>
      </c>
      <c r="I17">
        <v>5.697241</v>
      </c>
      <c r="J17">
        <f>B17-C17</f>
        <v>-2.4903000000000119E-2</v>
      </c>
      <c r="K17">
        <f t="shared" si="0"/>
        <v>-4.3489999999999363</v>
      </c>
      <c r="L17">
        <f t="shared" si="1"/>
        <v>-2.7290000000004255</v>
      </c>
      <c r="M17">
        <f t="shared" si="2"/>
        <v>-3.7999999999982492E-2</v>
      </c>
    </row>
    <row r="18" spans="1:13" x14ac:dyDescent="0.35">
      <c r="A18">
        <v>4</v>
      </c>
      <c r="B18">
        <v>6.3440000000000003</v>
      </c>
      <c r="C18">
        <v>6.4844749999999998</v>
      </c>
      <c r="D18">
        <v>6.4800079999999998</v>
      </c>
      <c r="E18">
        <v>6.4889469999999996</v>
      </c>
      <c r="F18">
        <v>6.4809650000000003</v>
      </c>
      <c r="G18">
        <v>6.4879879999999996</v>
      </c>
      <c r="H18">
        <v>6.4841870000000004</v>
      </c>
      <c r="I18">
        <v>6.4847630000000001</v>
      </c>
      <c r="J18">
        <f>B18-C18</f>
        <v>-0.14047499999999946</v>
      </c>
      <c r="K18">
        <f t="shared" si="0"/>
        <v>-4.4694999999999041</v>
      </c>
      <c r="L18">
        <f t="shared" si="1"/>
        <v>-3.5114999999996677</v>
      </c>
      <c r="M18">
        <f t="shared" si="2"/>
        <v>-0.28799999999984394</v>
      </c>
    </row>
    <row r="19" spans="1:13" x14ac:dyDescent="0.35">
      <c r="A19">
        <v>4</v>
      </c>
      <c r="B19">
        <v>6.9866000000000001</v>
      </c>
      <c r="C19">
        <v>6.860589</v>
      </c>
      <c r="D19">
        <v>6.8558469999999998</v>
      </c>
      <c r="E19">
        <v>6.8653360000000001</v>
      </c>
      <c r="F19">
        <v>6.8567900000000002</v>
      </c>
      <c r="G19">
        <v>6.8643910000000004</v>
      </c>
      <c r="H19">
        <v>6.8603579999999997</v>
      </c>
      <c r="I19">
        <v>6.8608200000000004</v>
      </c>
      <c r="J19">
        <f>B19-C19</f>
        <v>0.1260110000000001</v>
      </c>
      <c r="K19">
        <f t="shared" si="0"/>
        <v>-4.7445000000001514</v>
      </c>
      <c r="L19">
        <f t="shared" si="1"/>
        <v>-3.8005000000000955</v>
      </c>
      <c r="M19">
        <f t="shared" si="2"/>
        <v>-0.23100000000031429</v>
      </c>
    </row>
    <row r="20" spans="1:13" x14ac:dyDescent="0.35">
      <c r="A20">
        <v>4</v>
      </c>
      <c r="B20">
        <v>9.5309000000000008</v>
      </c>
      <c r="C20">
        <v>9.5600140000000007</v>
      </c>
      <c r="D20">
        <v>9.5546810000000004</v>
      </c>
      <c r="E20">
        <v>9.565353</v>
      </c>
      <c r="F20">
        <v>9.5536060000000003</v>
      </c>
      <c r="G20">
        <v>9.5664309999999997</v>
      </c>
      <c r="H20">
        <v>9.5590670000000006</v>
      </c>
      <c r="I20">
        <v>9.5609599999999997</v>
      </c>
      <c r="J20">
        <f>B20-C20</f>
        <v>-2.9113999999999862E-2</v>
      </c>
      <c r="K20">
        <f t="shared" si="0"/>
        <v>-5.3359999999997854</v>
      </c>
      <c r="L20">
        <f t="shared" si="1"/>
        <v>-6.4124999999997101</v>
      </c>
      <c r="M20">
        <f t="shared" si="2"/>
        <v>-0.94649999999951717</v>
      </c>
    </row>
    <row r="21" spans="1:13" x14ac:dyDescent="0.35">
      <c r="A21">
        <v>4</v>
      </c>
      <c r="B21">
        <v>9.5790000000000006</v>
      </c>
      <c r="C21">
        <v>9.5752830000000007</v>
      </c>
      <c r="D21">
        <v>9.5699339999999999</v>
      </c>
      <c r="E21">
        <v>9.5806380000000004</v>
      </c>
      <c r="F21">
        <v>9.5688639999999996</v>
      </c>
      <c r="G21">
        <v>9.5817119999999996</v>
      </c>
      <c r="H21">
        <v>9.5743449999999992</v>
      </c>
      <c r="I21">
        <v>9.5762199999999993</v>
      </c>
      <c r="J21">
        <f>B21-C21</f>
        <v>3.7169999999999703E-3</v>
      </c>
      <c r="K21">
        <f t="shared" si="0"/>
        <v>-5.3520000000002454</v>
      </c>
      <c r="L21">
        <f t="shared" si="1"/>
        <v>-6.4239999999999853</v>
      </c>
      <c r="M21">
        <f t="shared" si="2"/>
        <v>-0.93750000000003553</v>
      </c>
    </row>
    <row r="22" spans="1:13" x14ac:dyDescent="0.35">
      <c r="A22">
        <v>4</v>
      </c>
      <c r="B22">
        <v>14.3063</v>
      </c>
      <c r="C22">
        <v>14.369916999999999</v>
      </c>
      <c r="D22">
        <v>14.363378000000001</v>
      </c>
      <c r="E22">
        <v>14.376467</v>
      </c>
      <c r="F22">
        <v>14.358917999999999</v>
      </c>
      <c r="G22">
        <v>14.380936999999999</v>
      </c>
      <c r="H22">
        <v>14.367827</v>
      </c>
      <c r="I22">
        <v>14.372006000000001</v>
      </c>
      <c r="J22">
        <f>B22-C22</f>
        <v>-6.3616999999998924E-2</v>
      </c>
      <c r="K22">
        <f t="shared" si="0"/>
        <v>-6.544499999999509</v>
      </c>
      <c r="L22">
        <f t="shared" si="1"/>
        <v>-11.009500000000116</v>
      </c>
      <c r="M22">
        <f t="shared" si="2"/>
        <v>-2.0895000000002995</v>
      </c>
    </row>
    <row r="23" spans="1:13" x14ac:dyDescent="0.35">
      <c r="A23">
        <v>4</v>
      </c>
      <c r="B23">
        <v>14.307</v>
      </c>
      <c r="C23">
        <v>14.370010000000001</v>
      </c>
      <c r="D23">
        <v>14.36347</v>
      </c>
      <c r="E23">
        <v>14.37656</v>
      </c>
      <c r="F23">
        <v>14.359011000000001</v>
      </c>
      <c r="G23">
        <v>14.381030000000001</v>
      </c>
      <c r="H23">
        <v>14.36792</v>
      </c>
      <c r="I23">
        <v>14.372099</v>
      </c>
      <c r="J23">
        <f>B23-C23</f>
        <v>-6.3010000000000232E-2</v>
      </c>
      <c r="K23">
        <f t="shared" si="0"/>
        <v>-6.545000000000023</v>
      </c>
      <c r="L23">
        <f t="shared" si="1"/>
        <v>-11.009500000000116</v>
      </c>
      <c r="M23">
        <f t="shared" si="2"/>
        <v>-2.0895000000002995</v>
      </c>
    </row>
    <row r="24" spans="1:13" x14ac:dyDescent="0.35">
      <c r="A24">
        <v>4</v>
      </c>
      <c r="B24">
        <v>20.968900000000001</v>
      </c>
      <c r="C24">
        <v>21.094823000000002</v>
      </c>
      <c r="D24">
        <v>21.086604000000001</v>
      </c>
      <c r="E24">
        <v>21.103057</v>
      </c>
      <c r="F24">
        <v>21.077404000000001</v>
      </c>
      <c r="G24">
        <v>21.112279000000001</v>
      </c>
      <c r="H24">
        <v>21.091128999999999</v>
      </c>
      <c r="I24">
        <v>21.098514999999999</v>
      </c>
      <c r="J24">
        <f>B24-C24</f>
        <v>-0.12592300000000023</v>
      </c>
      <c r="K24">
        <f t="shared" si="0"/>
        <v>-8.2264999999992483</v>
      </c>
      <c r="L24">
        <f t="shared" si="1"/>
        <v>-17.437499999999773</v>
      </c>
      <c r="M24">
        <f t="shared" si="2"/>
        <v>-3.6930000000001684</v>
      </c>
    </row>
    <row r="25" spans="1:13" x14ac:dyDescent="0.35">
      <c r="A25">
        <v>4</v>
      </c>
      <c r="B25">
        <v>20.968900000000001</v>
      </c>
      <c r="C25">
        <v>21.094823000000002</v>
      </c>
      <c r="D25">
        <v>21.086604000000001</v>
      </c>
      <c r="E25">
        <v>21.103057</v>
      </c>
      <c r="F25">
        <v>21.077404000000001</v>
      </c>
      <c r="G25">
        <v>21.112279000000001</v>
      </c>
      <c r="H25">
        <v>21.091128999999999</v>
      </c>
      <c r="I25">
        <v>21.098514999999999</v>
      </c>
      <c r="J25">
        <f>B25-C25</f>
        <v>-0.12592300000000023</v>
      </c>
      <c r="K25">
        <f t="shared" si="0"/>
        <v>-8.2264999999992483</v>
      </c>
      <c r="L25">
        <f t="shared" si="1"/>
        <v>-17.437499999999773</v>
      </c>
      <c r="M25">
        <f t="shared" si="2"/>
        <v>-3.6930000000001684</v>
      </c>
    </row>
    <row r="26" spans="1:13" x14ac:dyDescent="0.35">
      <c r="A26">
        <v>5</v>
      </c>
      <c r="B26">
        <v>8.4696999999999996</v>
      </c>
      <c r="C26">
        <v>8.5287930000000003</v>
      </c>
      <c r="D26">
        <v>8.5222999999999995</v>
      </c>
      <c r="E26">
        <v>8.5352920000000001</v>
      </c>
      <c r="F26">
        <v>8.5247030000000006</v>
      </c>
      <c r="G26">
        <v>8.5328839999999992</v>
      </c>
      <c r="H26">
        <v>8.5287290000000002</v>
      </c>
      <c r="I26">
        <v>8.5288570000000004</v>
      </c>
      <c r="J26">
        <f>B26-C26</f>
        <v>-5.9093000000000728E-2</v>
      </c>
      <c r="K26">
        <f t="shared" si="0"/>
        <v>-6.4960000000002793</v>
      </c>
      <c r="L26">
        <f t="shared" si="1"/>
        <v>-4.0904999999993308</v>
      </c>
      <c r="M26">
        <f t="shared" si="2"/>
        <v>-6.4000000000064006E-2</v>
      </c>
    </row>
    <row r="27" spans="1:13" x14ac:dyDescent="0.35">
      <c r="A27">
        <v>5</v>
      </c>
      <c r="B27">
        <v>9.0299999999999994</v>
      </c>
      <c r="C27">
        <v>9.2378599999999995</v>
      </c>
      <c r="D27">
        <v>9.2312980000000007</v>
      </c>
      <c r="E27">
        <v>9.2444279999999992</v>
      </c>
      <c r="F27">
        <v>9.2330489999999994</v>
      </c>
      <c r="G27">
        <v>9.2426739999999992</v>
      </c>
      <c r="H27">
        <v>9.2375399999999992</v>
      </c>
      <c r="I27">
        <v>9.2381790000000006</v>
      </c>
      <c r="J27">
        <f>B27-C27</f>
        <v>-0.20786000000000016</v>
      </c>
      <c r="K27">
        <f t="shared" si="0"/>
        <v>-6.5649999999992659</v>
      </c>
      <c r="L27">
        <f t="shared" si="1"/>
        <v>-4.8124999999998863</v>
      </c>
      <c r="M27">
        <f t="shared" si="2"/>
        <v>-0.31950000000069423</v>
      </c>
    </row>
    <row r="28" spans="1:13" x14ac:dyDescent="0.35">
      <c r="A28">
        <v>5</v>
      </c>
      <c r="B28">
        <v>9.9923000000000002</v>
      </c>
      <c r="C28">
        <v>9.8055719999999997</v>
      </c>
      <c r="D28">
        <v>9.7985869999999995</v>
      </c>
      <c r="E28">
        <v>9.8125630000000008</v>
      </c>
      <c r="F28">
        <v>9.8003330000000002</v>
      </c>
      <c r="G28">
        <v>9.8108129999999996</v>
      </c>
      <c r="H28">
        <v>9.8053380000000008</v>
      </c>
      <c r="I28">
        <v>9.8058060000000005</v>
      </c>
      <c r="J28">
        <f>B28-C28</f>
        <v>0.18672800000000045</v>
      </c>
      <c r="K28">
        <f t="shared" si="0"/>
        <v>-6.9880000000006603</v>
      </c>
      <c r="L28">
        <f t="shared" si="1"/>
        <v>-5.2399999999996894</v>
      </c>
      <c r="M28">
        <f t="shared" si="2"/>
        <v>-0.23399999999984544</v>
      </c>
    </row>
    <row r="29" spans="1:13" x14ac:dyDescent="0.35">
      <c r="A29">
        <v>5</v>
      </c>
      <c r="B29">
        <v>12.383900000000001</v>
      </c>
      <c r="C29">
        <v>12.413076</v>
      </c>
      <c r="D29">
        <v>12.405568000000001</v>
      </c>
      <c r="E29">
        <v>12.420593999999999</v>
      </c>
      <c r="F29">
        <v>12.405298999999999</v>
      </c>
      <c r="G29">
        <v>12.420864</v>
      </c>
      <c r="H29">
        <v>12.412114000000001</v>
      </c>
      <c r="I29">
        <v>12.414038</v>
      </c>
      <c r="J29">
        <f>B29-C29</f>
        <v>-2.9175999999999647E-2</v>
      </c>
      <c r="K29">
        <f t="shared" si="0"/>
        <v>-7.5129999999994368</v>
      </c>
      <c r="L29">
        <f t="shared" si="1"/>
        <v>-7.7825000000002476</v>
      </c>
      <c r="M29">
        <f t="shared" si="2"/>
        <v>-0.96199999999946328</v>
      </c>
    </row>
    <row r="30" spans="1:13" x14ac:dyDescent="0.35">
      <c r="A30">
        <v>5</v>
      </c>
      <c r="B30">
        <v>12.4948</v>
      </c>
      <c r="C30">
        <v>12.449093</v>
      </c>
      <c r="D30">
        <v>12.441545</v>
      </c>
      <c r="E30">
        <v>12.45665</v>
      </c>
      <c r="F30">
        <v>12.44129</v>
      </c>
      <c r="G30">
        <v>12.456906</v>
      </c>
      <c r="H30">
        <v>12.448152</v>
      </c>
      <c r="I30">
        <v>12.450035</v>
      </c>
      <c r="J30">
        <f>B30-C30</f>
        <v>4.5707000000000164E-2</v>
      </c>
      <c r="K30">
        <f t="shared" si="0"/>
        <v>-7.552500000000073</v>
      </c>
      <c r="L30">
        <f t="shared" si="1"/>
        <v>-7.8079999999998151</v>
      </c>
      <c r="M30">
        <f t="shared" si="2"/>
        <v>-0.94149999999970646</v>
      </c>
    </row>
    <row r="31" spans="1:13" x14ac:dyDescent="0.35">
      <c r="A31">
        <v>5</v>
      </c>
      <c r="B31">
        <v>17.1769</v>
      </c>
      <c r="C31">
        <v>17.229555000000001</v>
      </c>
      <c r="D31">
        <v>17.220831</v>
      </c>
      <c r="E31">
        <v>17.238291</v>
      </c>
      <c r="F31">
        <v>17.217182999999999</v>
      </c>
      <c r="G31">
        <v>17.241948000000001</v>
      </c>
      <c r="H31">
        <v>17.227452</v>
      </c>
      <c r="I31">
        <v>17.231656000000001</v>
      </c>
      <c r="J31">
        <f>B31-C31</f>
        <v>-5.2655000000001451E-2</v>
      </c>
      <c r="K31">
        <f t="shared" si="0"/>
        <v>-8.7299999999999045</v>
      </c>
      <c r="L31">
        <f t="shared" si="1"/>
        <v>-12.382500000001073</v>
      </c>
      <c r="M31">
        <f t="shared" si="2"/>
        <v>-2.1020000000007144</v>
      </c>
    </row>
    <row r="32" spans="1:13" x14ac:dyDescent="0.35">
      <c r="A32">
        <v>5</v>
      </c>
      <c r="B32">
        <v>17.1797</v>
      </c>
      <c r="C32">
        <v>17.229939999999999</v>
      </c>
      <c r="D32">
        <v>17.221215000000001</v>
      </c>
      <c r="E32">
        <v>17.238676999999999</v>
      </c>
      <c r="F32">
        <v>17.217568</v>
      </c>
      <c r="G32">
        <v>17.242332999999999</v>
      </c>
      <c r="H32">
        <v>17.227837999999998</v>
      </c>
      <c r="I32">
        <v>17.232040999999999</v>
      </c>
      <c r="J32">
        <f>B32-C32</f>
        <v>-5.023999999999873E-2</v>
      </c>
      <c r="K32">
        <f t="shared" si="0"/>
        <v>-8.7309999999991561</v>
      </c>
      <c r="L32">
        <f t="shared" si="1"/>
        <v>-12.382499999999297</v>
      </c>
      <c r="M32">
        <f t="shared" si="2"/>
        <v>-2.1015000000002004</v>
      </c>
    </row>
    <row r="33" spans="1:13" x14ac:dyDescent="0.35">
      <c r="A33">
        <v>5</v>
      </c>
      <c r="B33">
        <v>23.8367</v>
      </c>
      <c r="C33">
        <v>23.954815</v>
      </c>
      <c r="D33">
        <v>23.944409</v>
      </c>
      <c r="E33">
        <v>23.965240000000001</v>
      </c>
      <c r="F33">
        <v>23.936025999999998</v>
      </c>
      <c r="G33">
        <v>23.973642999999999</v>
      </c>
      <c r="H33">
        <v>23.951108999999999</v>
      </c>
      <c r="I33">
        <v>23.95852</v>
      </c>
      <c r="J33">
        <f>B33-C33</f>
        <v>-0.11811499999999953</v>
      </c>
      <c r="K33">
        <f t="shared" si="0"/>
        <v>-10.415500000000577</v>
      </c>
      <c r="L33">
        <f t="shared" si="1"/>
        <v>-18.80850000000045</v>
      </c>
      <c r="M33">
        <f t="shared" si="2"/>
        <v>-3.7055000000005833</v>
      </c>
    </row>
    <row r="34" spans="1:13" x14ac:dyDescent="0.35">
      <c r="A34">
        <v>5</v>
      </c>
      <c r="B34">
        <v>23.8368</v>
      </c>
      <c r="C34">
        <v>23.954815</v>
      </c>
      <c r="D34">
        <v>23.944409</v>
      </c>
      <c r="E34">
        <v>23.965240000000001</v>
      </c>
      <c r="F34">
        <v>23.936025999999998</v>
      </c>
      <c r="G34">
        <v>23.973642999999999</v>
      </c>
      <c r="H34">
        <v>23.951108999999999</v>
      </c>
      <c r="I34">
        <v>23.958521000000001</v>
      </c>
      <c r="J34">
        <f>B34-C34</f>
        <v>-0.11801499999999976</v>
      </c>
      <c r="K34">
        <f t="shared" si="0"/>
        <v>-10.415500000000577</v>
      </c>
      <c r="L34">
        <f t="shared" si="1"/>
        <v>-18.80850000000045</v>
      </c>
      <c r="M34">
        <f t="shared" si="2"/>
        <v>-3.7060000000010973</v>
      </c>
    </row>
    <row r="35" spans="1:13" x14ac:dyDescent="0.35">
      <c r="A35">
        <v>5</v>
      </c>
      <c r="B35">
        <v>32.3996</v>
      </c>
      <c r="C35">
        <v>32.598948</v>
      </c>
      <c r="D35">
        <v>32.586382999999998</v>
      </c>
      <c r="E35">
        <v>32.611538000000003</v>
      </c>
      <c r="F35">
        <v>32.571908000000001</v>
      </c>
      <c r="G35">
        <v>32.626047</v>
      </c>
      <c r="H35">
        <v>32.593184000000001</v>
      </c>
      <c r="I35">
        <v>32.604711000000002</v>
      </c>
      <c r="J35">
        <f>B35-C35</f>
        <v>-0.19934800000000052</v>
      </c>
      <c r="K35">
        <f t="shared" si="0"/>
        <v>-12.577500000002573</v>
      </c>
      <c r="L35">
        <f t="shared" si="1"/>
        <v>-27.069499999999636</v>
      </c>
      <c r="M35">
        <f t="shared" si="2"/>
        <v>-5.7635000000004766</v>
      </c>
    </row>
    <row r="36" spans="1:13" x14ac:dyDescent="0.35">
      <c r="A36">
        <v>5</v>
      </c>
      <c r="B36">
        <v>32.3996</v>
      </c>
      <c r="C36">
        <v>32.598948</v>
      </c>
      <c r="D36">
        <v>32.586382999999998</v>
      </c>
      <c r="E36">
        <v>32.611538000000003</v>
      </c>
      <c r="F36">
        <v>32.571908000000001</v>
      </c>
      <c r="G36">
        <v>32.626047</v>
      </c>
      <c r="H36">
        <v>32.593184000000001</v>
      </c>
      <c r="I36">
        <v>32.604711000000002</v>
      </c>
      <c r="J36">
        <f>B36-C36</f>
        <v>-0.19934800000000052</v>
      </c>
      <c r="K36">
        <f t="shared" si="0"/>
        <v>-12.577500000002573</v>
      </c>
      <c r="L36">
        <f t="shared" si="1"/>
        <v>-27.069499999999636</v>
      </c>
      <c r="M36">
        <f t="shared" si="2"/>
        <v>-5.7635000000004766</v>
      </c>
    </row>
    <row r="37" spans="1:13" x14ac:dyDescent="0.35">
      <c r="A37">
        <v>6</v>
      </c>
      <c r="B37">
        <v>11.7958</v>
      </c>
      <c r="C37">
        <v>11.911716</v>
      </c>
      <c r="D37">
        <v>11.902671</v>
      </c>
      <c r="E37">
        <v>11.920769999999999</v>
      </c>
      <c r="F37">
        <v>11.905995000000001</v>
      </c>
      <c r="G37">
        <v>11.917439</v>
      </c>
      <c r="H37">
        <v>11.911614999999999</v>
      </c>
      <c r="I37">
        <v>11.911818</v>
      </c>
      <c r="J37">
        <f>B37-C37</f>
        <v>-0.11591600000000035</v>
      </c>
      <c r="K37">
        <f t="shared" si="0"/>
        <v>-9.0494999999997106</v>
      </c>
      <c r="L37">
        <f t="shared" si="1"/>
        <v>-5.7219999999995608</v>
      </c>
      <c r="M37">
        <f t="shared" si="2"/>
        <v>-0.1015000000004207</v>
      </c>
    </row>
    <row r="38" spans="1:13" x14ac:dyDescent="0.35">
      <c r="A38">
        <v>6</v>
      </c>
      <c r="B38">
        <v>12.2454</v>
      </c>
      <c r="C38">
        <v>12.534871000000001</v>
      </c>
      <c r="D38">
        <v>12.525810999999999</v>
      </c>
      <c r="E38">
        <v>12.543939999999999</v>
      </c>
      <c r="F38">
        <v>12.528494999999999</v>
      </c>
      <c r="G38">
        <v>12.541251000000001</v>
      </c>
      <c r="H38">
        <v>12.534513</v>
      </c>
      <c r="I38">
        <v>12.53523</v>
      </c>
      <c r="J38">
        <f>B38-C38</f>
        <v>-0.2894710000000007</v>
      </c>
      <c r="K38">
        <f t="shared" si="0"/>
        <v>-9.0645000000000309</v>
      </c>
      <c r="L38">
        <f t="shared" si="1"/>
        <v>-6.3780000000006609</v>
      </c>
      <c r="M38">
        <f t="shared" si="2"/>
        <v>-0.35849999999992832</v>
      </c>
    </row>
    <row r="39" spans="1:13" x14ac:dyDescent="0.35">
      <c r="A39">
        <v>6</v>
      </c>
      <c r="B39">
        <v>13.588699999999999</v>
      </c>
      <c r="C39">
        <v>13.335117</v>
      </c>
      <c r="D39">
        <v>13.325448</v>
      </c>
      <c r="E39">
        <v>13.344795</v>
      </c>
      <c r="F39">
        <v>13.328151</v>
      </c>
      <c r="G39">
        <v>13.342086</v>
      </c>
      <c r="H39">
        <v>13.334877000000001</v>
      </c>
      <c r="I39">
        <v>13.335357</v>
      </c>
      <c r="J39">
        <f>B39-C39</f>
        <v>0.253582999999999</v>
      </c>
      <c r="K39">
        <f t="shared" si="0"/>
        <v>-9.6734999999998905</v>
      </c>
      <c r="L39">
        <f t="shared" si="1"/>
        <v>-6.9675000000000153</v>
      </c>
      <c r="M39">
        <f t="shared" si="2"/>
        <v>-0.23999999999979593</v>
      </c>
    </row>
    <row r="40" spans="1:13" x14ac:dyDescent="0.35">
      <c r="A40">
        <v>6</v>
      </c>
      <c r="B40">
        <v>15.801600000000001</v>
      </c>
      <c r="C40">
        <v>15.832473999999999</v>
      </c>
      <c r="D40">
        <v>15.822362999999999</v>
      </c>
      <c r="E40">
        <v>15.842596</v>
      </c>
      <c r="F40">
        <v>15.823051</v>
      </c>
      <c r="G40">
        <v>15.841908</v>
      </c>
      <c r="H40">
        <v>15.831492000000001</v>
      </c>
      <c r="I40">
        <v>15.833456</v>
      </c>
      <c r="J40">
        <f>B40-C40</f>
        <v>-3.0873999999998958E-2</v>
      </c>
      <c r="K40">
        <f t="shared" si="0"/>
        <v>-10.116500000000528</v>
      </c>
      <c r="L40">
        <f t="shared" si="1"/>
        <v>-9.4285000000002839</v>
      </c>
      <c r="M40">
        <f t="shared" si="2"/>
        <v>-0.98199999999959431</v>
      </c>
    </row>
    <row r="41" spans="1:13" x14ac:dyDescent="0.35">
      <c r="A41">
        <v>6</v>
      </c>
      <c r="B41">
        <v>16.0181</v>
      </c>
      <c r="C41">
        <v>15.905188000000001</v>
      </c>
      <c r="D41">
        <v>15.894994000000001</v>
      </c>
      <c r="E41">
        <v>15.915392000000001</v>
      </c>
      <c r="F41">
        <v>15.895716</v>
      </c>
      <c r="G41">
        <v>15.914669</v>
      </c>
      <c r="H41">
        <v>15.904246000000001</v>
      </c>
      <c r="I41">
        <v>15.906129</v>
      </c>
      <c r="J41">
        <f>B41-C41</f>
        <v>0.11291199999999968</v>
      </c>
      <c r="K41">
        <f t="shared" si="0"/>
        <v>-10.199000000000069</v>
      </c>
      <c r="L41">
        <f t="shared" si="1"/>
        <v>-9.4764999999998878</v>
      </c>
      <c r="M41">
        <f t="shared" si="2"/>
        <v>-0.94149999999970646</v>
      </c>
    </row>
    <row r="42" spans="1:13" x14ac:dyDescent="0.35">
      <c r="A42">
        <v>6</v>
      </c>
      <c r="B42">
        <v>20.624400000000001</v>
      </c>
      <c r="C42">
        <v>20.660043999999999</v>
      </c>
      <c r="D42">
        <v>20.648703000000001</v>
      </c>
      <c r="E42">
        <v>20.671399999999998</v>
      </c>
      <c r="F42">
        <v>20.646021999999999</v>
      </c>
      <c r="G42">
        <v>20.674088999999999</v>
      </c>
      <c r="H42">
        <v>20.657927999999998</v>
      </c>
      <c r="I42">
        <v>20.66216</v>
      </c>
      <c r="J42">
        <f>B42-C42</f>
        <v>-3.5643999999997789E-2</v>
      </c>
      <c r="K42">
        <f t="shared" si="0"/>
        <v>-11.348499999998651</v>
      </c>
      <c r="L42">
        <f t="shared" si="1"/>
        <v>-14.033500000000032</v>
      </c>
      <c r="M42">
        <f t="shared" si="2"/>
        <v>-2.1160000000008949</v>
      </c>
    </row>
    <row r="43" spans="1:13" x14ac:dyDescent="0.35">
      <c r="A43">
        <v>6</v>
      </c>
      <c r="B43">
        <v>20.632999999999999</v>
      </c>
      <c r="C43">
        <v>20.661249000000002</v>
      </c>
      <c r="D43">
        <v>20.649908</v>
      </c>
      <c r="E43">
        <v>20.672605999999998</v>
      </c>
      <c r="F43">
        <v>20.647226</v>
      </c>
      <c r="G43">
        <v>20.675294999999998</v>
      </c>
      <c r="H43">
        <v>20.659134000000002</v>
      </c>
      <c r="I43">
        <v>20.663364000000001</v>
      </c>
      <c r="J43">
        <f>B43-C43</f>
        <v>-2.8249000000002411E-2</v>
      </c>
      <c r="K43">
        <f t="shared" si="0"/>
        <v>-11.348999999999165</v>
      </c>
      <c r="L43">
        <f t="shared" si="1"/>
        <v>-14.034499999999284</v>
      </c>
      <c r="M43">
        <f t="shared" si="2"/>
        <v>-2.114999999999867</v>
      </c>
    </row>
    <row r="44" spans="1:13" x14ac:dyDescent="0.35">
      <c r="A44">
        <v>6</v>
      </c>
      <c r="B44">
        <v>27.2804</v>
      </c>
      <c r="C44">
        <v>27.385119</v>
      </c>
      <c r="D44">
        <v>27.372093</v>
      </c>
      <c r="E44">
        <v>27.398164000000001</v>
      </c>
      <c r="F44">
        <v>27.364681000000001</v>
      </c>
      <c r="G44">
        <v>27.405595000000002</v>
      </c>
      <c r="H44">
        <v>27.381398000000001</v>
      </c>
      <c r="I44">
        <v>27.388839000000001</v>
      </c>
      <c r="J44">
        <f>B44-C44</f>
        <v>-0.10471899999999934</v>
      </c>
      <c r="K44">
        <f t="shared" si="0"/>
        <v>-13.035500000000866</v>
      </c>
      <c r="L44">
        <f t="shared" si="1"/>
        <v>-20.457000000000392</v>
      </c>
      <c r="M44">
        <f t="shared" si="2"/>
        <v>-3.7205000000000155</v>
      </c>
    </row>
    <row r="45" spans="1:13" x14ac:dyDescent="0.35">
      <c r="A45">
        <v>6</v>
      </c>
      <c r="B45">
        <v>27.2805</v>
      </c>
      <c r="C45">
        <v>27.385120000000001</v>
      </c>
      <c r="D45">
        <v>27.372094000000001</v>
      </c>
      <c r="E45">
        <v>27.398164999999999</v>
      </c>
      <c r="F45">
        <v>27.364681999999998</v>
      </c>
      <c r="G45">
        <v>27.405595999999999</v>
      </c>
      <c r="H45">
        <v>27.381398999999998</v>
      </c>
      <c r="I45">
        <v>27.388839999999998</v>
      </c>
      <c r="J45">
        <f>B45-C45</f>
        <v>-0.1046200000000006</v>
      </c>
      <c r="K45">
        <f t="shared" si="0"/>
        <v>-13.035499999999089</v>
      </c>
      <c r="L45">
        <f t="shared" si="1"/>
        <v>-20.457000000000392</v>
      </c>
      <c r="M45">
        <f t="shared" si="2"/>
        <v>-3.7205000000000155</v>
      </c>
    </row>
    <row r="46" spans="1:13" x14ac:dyDescent="0.35">
      <c r="A46">
        <v>6</v>
      </c>
      <c r="B46">
        <v>35.840699999999998</v>
      </c>
      <c r="C46">
        <v>36.030624000000003</v>
      </c>
      <c r="D46">
        <v>36.015434999999997</v>
      </c>
      <c r="E46">
        <v>36.045839999999998</v>
      </c>
      <c r="F46">
        <v>36.001939</v>
      </c>
      <c r="G46">
        <v>36.059368999999997</v>
      </c>
      <c r="H46">
        <v>36.024844999999999</v>
      </c>
      <c r="I46">
        <v>36.036403</v>
      </c>
      <c r="J46">
        <f>B46-C46</f>
        <v>-0.18992400000000487</v>
      </c>
      <c r="K46">
        <f t="shared" si="0"/>
        <v>-15.202500000000896</v>
      </c>
      <c r="L46">
        <f t="shared" si="1"/>
        <v>-28.71499999999827</v>
      </c>
      <c r="M46">
        <f t="shared" si="2"/>
        <v>-5.7790000000004227</v>
      </c>
    </row>
    <row r="47" spans="1:13" x14ac:dyDescent="0.35">
      <c r="A47">
        <v>6</v>
      </c>
      <c r="B47">
        <v>35.840699999999998</v>
      </c>
      <c r="C47">
        <v>36.030624000000003</v>
      </c>
      <c r="D47">
        <v>36.015434999999997</v>
      </c>
      <c r="E47">
        <v>36.045839999999998</v>
      </c>
      <c r="F47">
        <v>36.001939</v>
      </c>
      <c r="G47">
        <v>36.059368999999997</v>
      </c>
      <c r="H47">
        <v>36.024844999999999</v>
      </c>
      <c r="I47">
        <v>36.036403</v>
      </c>
      <c r="J47">
        <f>B47-C47</f>
        <v>-0.18992400000000487</v>
      </c>
      <c r="K47">
        <f t="shared" si="0"/>
        <v>-15.202500000000896</v>
      </c>
      <c r="L47">
        <f t="shared" si="1"/>
        <v>-28.71499999999827</v>
      </c>
      <c r="M47">
        <f t="shared" si="2"/>
        <v>-5.7790000000004227</v>
      </c>
    </row>
    <row r="48" spans="1:13" x14ac:dyDescent="0.35">
      <c r="A48">
        <v>6</v>
      </c>
      <c r="B48">
        <v>46.301099999999998</v>
      </c>
      <c r="C48">
        <v>46.592002999999998</v>
      </c>
      <c r="D48">
        <v>46.574176999999999</v>
      </c>
      <c r="E48">
        <v>46.609864000000002</v>
      </c>
      <c r="F48">
        <v>46.553240000000002</v>
      </c>
      <c r="G48">
        <v>46.630851</v>
      </c>
      <c r="H48">
        <v>46.583711000000001</v>
      </c>
      <c r="I48">
        <v>46.600292000000003</v>
      </c>
      <c r="J48">
        <f>B48-C48</f>
        <v>-0.29090300000000013</v>
      </c>
      <c r="K48">
        <f t="shared" si="0"/>
        <v>-17.843500000001455</v>
      </c>
      <c r="L48">
        <f t="shared" si="1"/>
        <v>-38.805499999998716</v>
      </c>
      <c r="M48">
        <f t="shared" si="2"/>
        <v>-8.2905000000010887</v>
      </c>
    </row>
    <row r="49" spans="1:13" x14ac:dyDescent="0.35">
      <c r="A49">
        <v>6</v>
      </c>
      <c r="B49">
        <v>46.301099999999998</v>
      </c>
      <c r="C49">
        <v>46.592002999999998</v>
      </c>
      <c r="D49">
        <v>46.574176999999999</v>
      </c>
      <c r="E49">
        <v>46.609864000000002</v>
      </c>
      <c r="F49">
        <v>46.553240000000002</v>
      </c>
      <c r="G49">
        <v>46.630851</v>
      </c>
      <c r="H49">
        <v>46.583711000000001</v>
      </c>
      <c r="I49">
        <v>46.600292000000003</v>
      </c>
      <c r="J49">
        <f>B49-C49</f>
        <v>-0.29090300000000013</v>
      </c>
      <c r="K49">
        <f t="shared" si="0"/>
        <v>-17.843500000001455</v>
      </c>
      <c r="L49">
        <f t="shared" si="1"/>
        <v>-38.805499999998716</v>
      </c>
      <c r="M49">
        <f t="shared" si="2"/>
        <v>-8.2905000000010887</v>
      </c>
    </row>
    <row r="50" spans="1:13" x14ac:dyDescent="0.35">
      <c r="A50">
        <v>7</v>
      </c>
      <c r="B50">
        <v>15.639200000000001</v>
      </c>
      <c r="C50">
        <v>15.838184</v>
      </c>
      <c r="D50">
        <v>15.826193</v>
      </c>
      <c r="E50">
        <v>15.850186000000001</v>
      </c>
      <c r="F50">
        <v>15.830562</v>
      </c>
      <c r="G50">
        <v>15.845808</v>
      </c>
      <c r="H50">
        <v>15.838031000000001</v>
      </c>
      <c r="I50">
        <v>15.838336999999999</v>
      </c>
      <c r="J50">
        <f>B50-C50</f>
        <v>-0.19898399999999938</v>
      </c>
      <c r="K50">
        <f t="shared" si="0"/>
        <v>-11.99650000000041</v>
      </c>
      <c r="L50">
        <f t="shared" si="1"/>
        <v>-7.6229999999997133</v>
      </c>
      <c r="M50">
        <f t="shared" si="2"/>
        <v>-0.15299999999918157</v>
      </c>
    </row>
    <row r="51" spans="1:13" x14ac:dyDescent="0.35">
      <c r="A51">
        <v>7</v>
      </c>
      <c r="B51">
        <v>15.9869</v>
      </c>
      <c r="C51">
        <v>16.371974000000002</v>
      </c>
      <c r="D51">
        <v>16.360019999999999</v>
      </c>
      <c r="E51">
        <v>16.383939999999999</v>
      </c>
      <c r="F51">
        <v>16.363768</v>
      </c>
      <c r="G51">
        <v>16.380185999999998</v>
      </c>
      <c r="H51">
        <v>16.371568</v>
      </c>
      <c r="I51">
        <v>16.37238</v>
      </c>
      <c r="J51">
        <f>B51-C51</f>
        <v>-0.38507400000000125</v>
      </c>
      <c r="K51">
        <f t="shared" si="0"/>
        <v>-11.960000000000193</v>
      </c>
      <c r="L51">
        <f t="shared" si="1"/>
        <v>-8.2089999999990226</v>
      </c>
      <c r="M51">
        <f t="shared" si="2"/>
        <v>-0.40599999999990644</v>
      </c>
    </row>
    <row r="52" spans="1:13" x14ac:dyDescent="0.35">
      <c r="A52">
        <v>7</v>
      </c>
      <c r="B52">
        <v>17.768999999999998</v>
      </c>
      <c r="C52">
        <v>17.446489</v>
      </c>
      <c r="D52">
        <v>17.433698</v>
      </c>
      <c r="E52">
        <v>17.459289999999999</v>
      </c>
      <c r="F52">
        <v>17.437508000000001</v>
      </c>
      <c r="G52">
        <v>17.455472</v>
      </c>
      <c r="H52">
        <v>17.446238999999998</v>
      </c>
      <c r="I52">
        <v>17.446738</v>
      </c>
      <c r="J52">
        <f>B52-C52</f>
        <v>0.32251099999999866</v>
      </c>
      <c r="K52">
        <f t="shared" si="0"/>
        <v>-12.795999999999808</v>
      </c>
      <c r="L52">
        <f t="shared" si="1"/>
        <v>-8.9819999999996014</v>
      </c>
      <c r="M52">
        <f t="shared" si="2"/>
        <v>-0.24950000000067973</v>
      </c>
    </row>
    <row r="53" spans="1:13" x14ac:dyDescent="0.35">
      <c r="A53">
        <v>7</v>
      </c>
      <c r="B53">
        <v>19.7805</v>
      </c>
      <c r="C53">
        <v>19.815881000000001</v>
      </c>
      <c r="D53">
        <v>19.802747</v>
      </c>
      <c r="E53">
        <v>19.829029999999999</v>
      </c>
      <c r="F53">
        <v>19.804535999999999</v>
      </c>
      <c r="G53">
        <v>19.827237</v>
      </c>
      <c r="H53">
        <v>19.814874</v>
      </c>
      <c r="I53">
        <v>19.816887999999999</v>
      </c>
      <c r="J53">
        <f>B53-C53</f>
        <v>-3.5381000000000995E-2</v>
      </c>
      <c r="K53">
        <f t="shared" si="0"/>
        <v>-13.141499999999695</v>
      </c>
      <c r="L53">
        <f t="shared" si="1"/>
        <v>-11.350500000000707</v>
      </c>
      <c r="M53">
        <f t="shared" si="2"/>
        <v>-1.006999999999536</v>
      </c>
    </row>
    <row r="54" spans="1:13" x14ac:dyDescent="0.35">
      <c r="A54">
        <v>7</v>
      </c>
      <c r="B54">
        <v>20.157</v>
      </c>
      <c r="C54">
        <v>19.947576000000002</v>
      </c>
      <c r="D54">
        <v>19.934287000000001</v>
      </c>
      <c r="E54">
        <v>19.960878000000001</v>
      </c>
      <c r="F54">
        <v>19.936147999999999</v>
      </c>
      <c r="G54">
        <v>19.959012999999999</v>
      </c>
      <c r="H54">
        <v>19.946641</v>
      </c>
      <c r="I54">
        <v>19.948511</v>
      </c>
      <c r="J54">
        <f>B54-C54</f>
        <v>0.2094239999999985</v>
      </c>
      <c r="K54">
        <f t="shared" si="0"/>
        <v>-13.295499999999905</v>
      </c>
      <c r="L54">
        <f t="shared" si="1"/>
        <v>-11.432499999999735</v>
      </c>
      <c r="M54">
        <f t="shared" si="2"/>
        <v>-0.93500000000013017</v>
      </c>
    </row>
    <row r="55" spans="1:13" x14ac:dyDescent="0.35">
      <c r="A55">
        <v>7</v>
      </c>
      <c r="B55">
        <v>24.649799999999999</v>
      </c>
      <c r="C55">
        <v>24.660896999999999</v>
      </c>
      <c r="D55">
        <v>24.646509999999999</v>
      </c>
      <c r="E55">
        <v>24.675301999999999</v>
      </c>
      <c r="F55">
        <v>24.644943999999999</v>
      </c>
      <c r="G55">
        <v>24.676873000000001</v>
      </c>
      <c r="H55">
        <v>24.658764999999999</v>
      </c>
      <c r="I55">
        <v>24.663029000000002</v>
      </c>
      <c r="J55">
        <f>B55-C55</f>
        <v>-1.1096999999999468E-2</v>
      </c>
      <c r="K55">
        <f t="shared" si="0"/>
        <v>-14.395999999999631</v>
      </c>
      <c r="L55">
        <f t="shared" si="1"/>
        <v>-15.964500000000825</v>
      </c>
      <c r="M55">
        <f t="shared" si="2"/>
        <v>-2.132000000001355</v>
      </c>
    </row>
    <row r="56" spans="1:13" x14ac:dyDescent="0.35">
      <c r="A56">
        <v>7</v>
      </c>
      <c r="B56">
        <v>24.670999999999999</v>
      </c>
      <c r="C56">
        <v>24.66405</v>
      </c>
      <c r="D56">
        <v>24.649659</v>
      </c>
      <c r="E56">
        <v>24.678457999999999</v>
      </c>
      <c r="F56">
        <v>24.648092999999999</v>
      </c>
      <c r="G56">
        <v>24.680029000000001</v>
      </c>
      <c r="H56">
        <v>24.661921</v>
      </c>
      <c r="I56">
        <v>24.666177999999999</v>
      </c>
      <c r="J56">
        <f>B56-C56</f>
        <v>6.9499999999997897E-3</v>
      </c>
      <c r="K56">
        <f t="shared" si="0"/>
        <v>-14.399499999999676</v>
      </c>
      <c r="L56">
        <f t="shared" si="1"/>
        <v>-15.96800000000087</v>
      </c>
      <c r="M56">
        <f t="shared" si="2"/>
        <v>-2.1284999999995335</v>
      </c>
    </row>
    <row r="57" spans="1:13" x14ac:dyDescent="0.35">
      <c r="A57">
        <v>7</v>
      </c>
      <c r="B57">
        <v>31.301100000000002</v>
      </c>
      <c r="C57">
        <v>31.385034999999998</v>
      </c>
      <c r="D57">
        <v>31.368962</v>
      </c>
      <c r="E57">
        <v>31.401130999999999</v>
      </c>
      <c r="F57">
        <v>31.362669</v>
      </c>
      <c r="G57">
        <v>31.407440000000001</v>
      </c>
      <c r="H57">
        <v>31.381298000000001</v>
      </c>
      <c r="I57">
        <v>31.388771999999999</v>
      </c>
      <c r="J57">
        <f>B57-C57</f>
        <v>-8.3934999999996762E-2</v>
      </c>
      <c r="K57">
        <f t="shared" si="0"/>
        <v>-16.084499999999835</v>
      </c>
      <c r="L57">
        <f t="shared" si="1"/>
        <v>-22.385500000000391</v>
      </c>
      <c r="M57">
        <f t="shared" si="2"/>
        <v>-3.7369999999992132</v>
      </c>
    </row>
    <row r="58" spans="1:13" x14ac:dyDescent="0.35">
      <c r="A58">
        <v>7</v>
      </c>
      <c r="B58">
        <v>31.301600000000001</v>
      </c>
      <c r="C58">
        <v>31.385041000000001</v>
      </c>
      <c r="D58">
        <v>31.368967999999999</v>
      </c>
      <c r="E58">
        <v>31.401136999999999</v>
      </c>
      <c r="F58">
        <v>31.362674999999999</v>
      </c>
      <c r="G58">
        <v>31.407446</v>
      </c>
      <c r="H58">
        <v>31.381304</v>
      </c>
      <c r="I58">
        <v>31.388777999999999</v>
      </c>
      <c r="J58">
        <f>B58-C58</f>
        <v>-8.3441000000000543E-2</v>
      </c>
      <c r="K58">
        <f t="shared" si="0"/>
        <v>-16.084499999999835</v>
      </c>
      <c r="L58">
        <f t="shared" si="1"/>
        <v>-22.385500000000391</v>
      </c>
      <c r="M58">
        <f t="shared" si="2"/>
        <v>-3.7369999999992132</v>
      </c>
    </row>
    <row r="59" spans="1:13" x14ac:dyDescent="0.35">
      <c r="A59">
        <v>7</v>
      </c>
      <c r="B59">
        <v>39.857300000000002</v>
      </c>
      <c r="C59">
        <v>40.031548000000001</v>
      </c>
      <c r="D59">
        <v>40.013306</v>
      </c>
      <c r="E59">
        <v>40.049819999999997</v>
      </c>
      <c r="F59">
        <v>40.000937999999998</v>
      </c>
      <c r="G59">
        <v>40.062218000000001</v>
      </c>
      <c r="H59">
        <v>40.025751</v>
      </c>
      <c r="I59">
        <v>40.037343999999997</v>
      </c>
      <c r="J59">
        <f>B59-C59</f>
        <v>-0.17424799999999863</v>
      </c>
      <c r="K59">
        <f t="shared" si="0"/>
        <v>-18.256999999998413</v>
      </c>
      <c r="L59">
        <f t="shared" si="1"/>
        <v>-30.640000000001777</v>
      </c>
      <c r="M59">
        <f t="shared" si="2"/>
        <v>-5.796499999998872</v>
      </c>
    </row>
    <row r="60" spans="1:13" x14ac:dyDescent="0.35">
      <c r="A60">
        <v>7</v>
      </c>
      <c r="B60">
        <v>39.857300000000002</v>
      </c>
      <c r="C60">
        <v>40.031548000000001</v>
      </c>
      <c r="D60">
        <v>40.013306999999998</v>
      </c>
      <c r="E60">
        <v>40.049819999999997</v>
      </c>
      <c r="F60">
        <v>40.000937999999998</v>
      </c>
      <c r="G60">
        <v>40.062218000000001</v>
      </c>
      <c r="H60">
        <v>40.025751</v>
      </c>
      <c r="I60">
        <v>40.037343999999997</v>
      </c>
      <c r="J60">
        <f>B60-C60</f>
        <v>-0.17424799999999863</v>
      </c>
      <c r="K60">
        <f t="shared" si="0"/>
        <v>-18.256499999999676</v>
      </c>
      <c r="L60">
        <f t="shared" si="1"/>
        <v>-30.640000000001777</v>
      </c>
      <c r="M60">
        <f t="shared" si="2"/>
        <v>-5.796499999998872</v>
      </c>
    </row>
    <row r="61" spans="1:13" x14ac:dyDescent="0.35">
      <c r="A61">
        <v>7</v>
      </c>
      <c r="B61">
        <v>50.3157</v>
      </c>
      <c r="C61">
        <v>50.595432000000002</v>
      </c>
      <c r="D61">
        <v>50.574545999999998</v>
      </c>
      <c r="E61">
        <v>50.616356000000003</v>
      </c>
      <c r="F61">
        <v>50.554747999999996</v>
      </c>
      <c r="G61">
        <v>50.636201</v>
      </c>
      <c r="H61">
        <v>50.587122999999998</v>
      </c>
      <c r="I61">
        <v>50.603738999999997</v>
      </c>
      <c r="J61">
        <f>B61-C61</f>
        <v>-0.27973200000000276</v>
      </c>
      <c r="K61">
        <f t="shared" si="0"/>
        <v>-20.905000000002616</v>
      </c>
      <c r="L61">
        <f t="shared" si="1"/>
        <v>-40.726500000001664</v>
      </c>
      <c r="M61">
        <f t="shared" si="2"/>
        <v>-8.307999999999538</v>
      </c>
    </row>
    <row r="62" spans="1:13" x14ac:dyDescent="0.35">
      <c r="A62">
        <v>7</v>
      </c>
      <c r="B62">
        <v>50.3157</v>
      </c>
      <c r="C62">
        <v>50.595432000000002</v>
      </c>
      <c r="D62">
        <v>50.574545999999998</v>
      </c>
      <c r="E62">
        <v>50.616356000000003</v>
      </c>
      <c r="F62">
        <v>50.554747999999996</v>
      </c>
      <c r="G62">
        <v>50.636201</v>
      </c>
      <c r="H62">
        <v>50.587122999999998</v>
      </c>
      <c r="I62">
        <v>50.603738999999997</v>
      </c>
      <c r="J62">
        <f>B62-C62</f>
        <v>-0.27973200000000276</v>
      </c>
      <c r="K62">
        <f t="shared" si="0"/>
        <v>-20.905000000002616</v>
      </c>
      <c r="L62">
        <f t="shared" si="1"/>
        <v>-40.726500000001664</v>
      </c>
      <c r="M62">
        <f t="shared" si="2"/>
        <v>-8.307999999999538</v>
      </c>
    </row>
    <row r="63" spans="1:13" x14ac:dyDescent="0.35">
      <c r="A63">
        <v>7</v>
      </c>
      <c r="B63">
        <v>62.67</v>
      </c>
      <c r="C63">
        <v>63.071598000000002</v>
      </c>
      <c r="D63">
        <v>63.047598999999998</v>
      </c>
      <c r="E63">
        <v>63.095644999999998</v>
      </c>
      <c r="F63">
        <v>63.019013000000001</v>
      </c>
      <c r="G63">
        <v>63.124298000000003</v>
      </c>
      <c r="H63">
        <v>63.060327000000001</v>
      </c>
      <c r="I63">
        <v>63.082866000000003</v>
      </c>
      <c r="J63">
        <f>B63-C63</f>
        <v>-0.4015979999999999</v>
      </c>
      <c r="K63">
        <f t="shared" si="0"/>
        <v>-24.022999999999683</v>
      </c>
      <c r="L63">
        <f t="shared" si="1"/>
        <v>-52.642500000001036</v>
      </c>
      <c r="M63">
        <f t="shared" si="2"/>
        <v>-11.269500000000932</v>
      </c>
    </row>
    <row r="64" spans="1:13" x14ac:dyDescent="0.35">
      <c r="A64">
        <v>7</v>
      </c>
      <c r="B64">
        <v>62.67</v>
      </c>
      <c r="C64">
        <v>63.071598000000002</v>
      </c>
      <c r="D64">
        <v>63.047598999999998</v>
      </c>
      <c r="E64">
        <v>63.095644999999998</v>
      </c>
      <c r="F64">
        <v>63.019013000000001</v>
      </c>
      <c r="G64">
        <v>63.124298000000003</v>
      </c>
      <c r="H64">
        <v>63.060327000000001</v>
      </c>
      <c r="I64">
        <v>63.082866000000003</v>
      </c>
      <c r="J64">
        <f>B64-C64</f>
        <v>-0.4015979999999999</v>
      </c>
      <c r="K64">
        <f t="shared" si="0"/>
        <v>-24.022999999999683</v>
      </c>
      <c r="L64">
        <f t="shared" si="1"/>
        <v>-52.642500000001036</v>
      </c>
      <c r="M64">
        <f t="shared" si="2"/>
        <v>-11.269500000000932</v>
      </c>
    </row>
    <row r="65" spans="1:13" x14ac:dyDescent="0.35">
      <c r="A65">
        <v>8</v>
      </c>
      <c r="B65">
        <v>19.991</v>
      </c>
      <c r="C65">
        <v>20.299914999999999</v>
      </c>
      <c r="D65">
        <v>20.284597999999999</v>
      </c>
      <c r="E65">
        <v>20.315246999999999</v>
      </c>
      <c r="F65">
        <v>20.290123999999999</v>
      </c>
      <c r="G65">
        <v>20.309709999999999</v>
      </c>
      <c r="H65">
        <v>20.299695</v>
      </c>
      <c r="I65">
        <v>20.300135999999998</v>
      </c>
      <c r="J65">
        <f>B65-C65</f>
        <v>-0.30891499999999894</v>
      </c>
      <c r="K65">
        <f t="shared" si="0"/>
        <v>-15.324500000000185</v>
      </c>
      <c r="L65">
        <f t="shared" si="1"/>
        <v>-9.7930000000001627</v>
      </c>
      <c r="M65">
        <f t="shared" si="2"/>
        <v>-0.22049999999929071</v>
      </c>
    </row>
    <row r="66" spans="1:13" x14ac:dyDescent="0.35">
      <c r="A66">
        <v>8</v>
      </c>
      <c r="B66">
        <v>20.251000000000001</v>
      </c>
      <c r="C66">
        <v>20.745339000000001</v>
      </c>
      <c r="D66">
        <v>20.730101999999999</v>
      </c>
      <c r="E66">
        <v>20.760591000000002</v>
      </c>
      <c r="F66">
        <v>20.735033999999999</v>
      </c>
      <c r="G66">
        <v>20.755649999999999</v>
      </c>
      <c r="H66">
        <v>20.744876000000001</v>
      </c>
      <c r="I66">
        <v>20.745802000000001</v>
      </c>
      <c r="J66">
        <f>B66-C66</f>
        <v>-0.49433900000000008</v>
      </c>
      <c r="K66">
        <f t="shared" si="0"/>
        <v>-15.244500000001437</v>
      </c>
      <c r="L66">
        <f t="shared" si="1"/>
        <v>-10.308000000000206</v>
      </c>
      <c r="M66">
        <f t="shared" si="2"/>
        <v>-0.46299999999988017</v>
      </c>
    </row>
    <row r="67" spans="1:13" x14ac:dyDescent="0.35">
      <c r="A67">
        <v>8</v>
      </c>
      <c r="B67">
        <v>22.5245</v>
      </c>
      <c r="C67">
        <v>22.136219000000001</v>
      </c>
      <c r="D67">
        <v>22.119876999999999</v>
      </c>
      <c r="E67">
        <v>22.152574999999999</v>
      </c>
      <c r="F67">
        <v>22.124936999999999</v>
      </c>
      <c r="G67">
        <v>22.147504000000001</v>
      </c>
      <c r="H67">
        <v>22.135954000000002</v>
      </c>
      <c r="I67">
        <v>22.136483999999999</v>
      </c>
      <c r="J67">
        <f>B67-C67</f>
        <v>0.38828099999999921</v>
      </c>
      <c r="K67">
        <f t="shared" ref="K67:K100" si="3">(D67-E67)/(2*0.001)</f>
        <v>-16.348999999999947</v>
      </c>
      <c r="L67">
        <f t="shared" ref="L67:L100" si="4">(F67-G67)/(2*0.001)</f>
        <v>-11.283500000001112</v>
      </c>
      <c r="M67">
        <f t="shared" ref="M67:M100" si="5">(H67-I67)/(2*0.001)</f>
        <v>-0.26499999999884949</v>
      </c>
    </row>
    <row r="68" spans="1:13" x14ac:dyDescent="0.35">
      <c r="A68">
        <v>8</v>
      </c>
      <c r="B68">
        <v>24.317</v>
      </c>
      <c r="C68">
        <v>24.360605</v>
      </c>
      <c r="D68">
        <v>24.34403</v>
      </c>
      <c r="E68">
        <v>24.377196000000001</v>
      </c>
      <c r="F68">
        <v>24.347059000000002</v>
      </c>
      <c r="G68">
        <v>24.374161000000001</v>
      </c>
      <c r="H68">
        <v>24.359566999999998</v>
      </c>
      <c r="I68">
        <v>24.361642</v>
      </c>
      <c r="J68">
        <f>B68-C68</f>
        <v>-4.360499999999945E-2</v>
      </c>
      <c r="K68">
        <f t="shared" si="3"/>
        <v>-16.583000000000681</v>
      </c>
      <c r="L68">
        <f t="shared" si="4"/>
        <v>-13.550999999999647</v>
      </c>
      <c r="M68">
        <f t="shared" si="5"/>
        <v>-1.0375000000006906</v>
      </c>
    </row>
    <row r="69" spans="1:13" x14ac:dyDescent="0.35">
      <c r="A69">
        <v>8</v>
      </c>
      <c r="B69">
        <v>24.9162</v>
      </c>
      <c r="C69">
        <v>24.580366999999999</v>
      </c>
      <c r="D69">
        <v>24.563528999999999</v>
      </c>
      <c r="E69">
        <v>24.59722</v>
      </c>
      <c r="F69">
        <v>24.566692</v>
      </c>
      <c r="G69">
        <v>24.594051</v>
      </c>
      <c r="H69">
        <v>24.579445</v>
      </c>
      <c r="I69">
        <v>24.581288000000001</v>
      </c>
      <c r="J69">
        <f>B69-C69</f>
        <v>0.33583300000000094</v>
      </c>
      <c r="K69">
        <f t="shared" si="3"/>
        <v>-16.845500000000513</v>
      </c>
      <c r="L69">
        <f t="shared" si="4"/>
        <v>-13.679500000000289</v>
      </c>
      <c r="M69">
        <f t="shared" si="5"/>
        <v>-0.92150000000046361</v>
      </c>
    </row>
    <row r="70" spans="1:13" x14ac:dyDescent="0.35">
      <c r="A70">
        <v>8</v>
      </c>
      <c r="B70">
        <v>29.2532</v>
      </c>
      <c r="C70">
        <v>29.231587000000001</v>
      </c>
      <c r="D70">
        <v>29.213726000000001</v>
      </c>
      <c r="E70">
        <v>29.249469000000001</v>
      </c>
      <c r="F70">
        <v>29.213422000000001</v>
      </c>
      <c r="G70">
        <v>29.249775</v>
      </c>
      <c r="H70">
        <v>29.229437000000001</v>
      </c>
      <c r="I70">
        <v>29.233737000000001</v>
      </c>
      <c r="J70">
        <f>B70-C70</f>
        <v>2.161299999999855E-2</v>
      </c>
      <c r="K70">
        <f t="shared" si="3"/>
        <v>-17.87150000000004</v>
      </c>
      <c r="L70">
        <f t="shared" si="4"/>
        <v>-18.176499999999152</v>
      </c>
      <c r="M70">
        <f t="shared" si="5"/>
        <v>-2.1500000000003183</v>
      </c>
    </row>
    <row r="71" spans="1:13" x14ac:dyDescent="0.35">
      <c r="A71">
        <v>8</v>
      </c>
      <c r="B71">
        <v>29.299399999999999</v>
      </c>
      <c r="C71">
        <v>29.238855000000001</v>
      </c>
      <c r="D71">
        <v>29.220984999999999</v>
      </c>
      <c r="E71">
        <v>29.256746</v>
      </c>
      <c r="F71">
        <v>29.220683000000001</v>
      </c>
      <c r="G71">
        <v>29.257048999999999</v>
      </c>
      <c r="H71">
        <v>29.236713999999999</v>
      </c>
      <c r="I71">
        <v>29.240995999999999</v>
      </c>
      <c r="J71">
        <f>B71-C71</f>
        <v>6.0544999999997628E-2</v>
      </c>
      <c r="K71">
        <f t="shared" si="3"/>
        <v>-17.88050000000041</v>
      </c>
      <c r="L71">
        <f t="shared" si="4"/>
        <v>-18.182999999998728</v>
      </c>
      <c r="M71">
        <f t="shared" si="5"/>
        <v>-2.1409999999999485</v>
      </c>
    </row>
    <row r="72" spans="1:13" x14ac:dyDescent="0.35">
      <c r="A72">
        <v>8</v>
      </c>
      <c r="B72">
        <v>35.900199999999998</v>
      </c>
      <c r="C72">
        <v>35.953926000000003</v>
      </c>
      <c r="D72">
        <v>35.934379</v>
      </c>
      <c r="E72">
        <v>35.973498999999997</v>
      </c>
      <c r="F72">
        <v>35.929350999999997</v>
      </c>
      <c r="G72">
        <v>35.978540000000002</v>
      </c>
      <c r="H72">
        <v>35.95017</v>
      </c>
      <c r="I72">
        <v>35.957681000000001</v>
      </c>
      <c r="J72">
        <f>B72-C72</f>
        <v>-5.3726000000004603E-2</v>
      </c>
      <c r="K72">
        <f t="shared" si="3"/>
        <v>-19.559999999998468</v>
      </c>
      <c r="L72">
        <f t="shared" si="4"/>
        <v>-24.594500000002739</v>
      </c>
      <c r="M72">
        <f t="shared" si="5"/>
        <v>-3.7555000000004668</v>
      </c>
    </row>
    <row r="73" spans="1:13" x14ac:dyDescent="0.35">
      <c r="A73">
        <v>8</v>
      </c>
      <c r="B73">
        <v>35.901499999999999</v>
      </c>
      <c r="C73">
        <v>35.953952999999998</v>
      </c>
      <c r="D73">
        <v>35.934406000000003</v>
      </c>
      <c r="E73">
        <v>35.973526</v>
      </c>
      <c r="F73">
        <v>35.929377000000002</v>
      </c>
      <c r="G73">
        <v>35.978566999999998</v>
      </c>
      <c r="H73">
        <v>35.950197000000003</v>
      </c>
      <c r="I73">
        <v>35.957706999999999</v>
      </c>
      <c r="J73">
        <f>B73-C73</f>
        <v>-5.2452999999999861E-2</v>
      </c>
      <c r="K73">
        <f t="shared" si="3"/>
        <v>-19.559999999998468</v>
      </c>
      <c r="L73">
        <f t="shared" si="4"/>
        <v>-24.594999999997924</v>
      </c>
      <c r="M73">
        <f t="shared" si="5"/>
        <v>-3.7549999999981765</v>
      </c>
    </row>
    <row r="74" spans="1:13" x14ac:dyDescent="0.35">
      <c r="A74">
        <v>8</v>
      </c>
      <c r="B74">
        <v>44.450099999999999</v>
      </c>
      <c r="C74">
        <v>44.600788000000001</v>
      </c>
      <c r="D74">
        <v>44.579067999999999</v>
      </c>
      <c r="E74">
        <v>44.622540999999998</v>
      </c>
      <c r="F74">
        <v>44.567973000000002</v>
      </c>
      <c r="G74">
        <v>44.633664000000003</v>
      </c>
      <c r="H74">
        <v>44.594971999999999</v>
      </c>
      <c r="I74">
        <v>44.606603</v>
      </c>
      <c r="J74">
        <f>B74-C74</f>
        <v>-0.15068800000000238</v>
      </c>
      <c r="K74">
        <f t="shared" si="3"/>
        <v>-21.736499999999381</v>
      </c>
      <c r="L74">
        <f t="shared" si="4"/>
        <v>-32.845500000000527</v>
      </c>
      <c r="M74">
        <f t="shared" si="5"/>
        <v>-5.8155000000006396</v>
      </c>
    </row>
    <row r="75" spans="1:13" x14ac:dyDescent="0.35">
      <c r="A75">
        <v>8</v>
      </c>
      <c r="B75">
        <v>44.450099999999999</v>
      </c>
      <c r="C75">
        <v>44.600788999999999</v>
      </c>
      <c r="D75">
        <v>44.579070000000002</v>
      </c>
      <c r="E75">
        <v>44.622542000000003</v>
      </c>
      <c r="F75">
        <v>44.567974</v>
      </c>
      <c r="G75">
        <v>44.633665000000001</v>
      </c>
      <c r="H75">
        <v>44.594973000000003</v>
      </c>
      <c r="I75">
        <v>44.606603999999997</v>
      </c>
      <c r="J75">
        <f>B75-C75</f>
        <v>-0.15068899999999985</v>
      </c>
      <c r="K75">
        <f t="shared" si="3"/>
        <v>-21.736000000000644</v>
      </c>
      <c r="L75">
        <f t="shared" si="4"/>
        <v>-32.845500000000527</v>
      </c>
      <c r="M75">
        <f t="shared" si="5"/>
        <v>-5.8154999999970869</v>
      </c>
    </row>
    <row r="76" spans="1:13" x14ac:dyDescent="0.35">
      <c r="A76">
        <v>8</v>
      </c>
      <c r="B76">
        <v>54.9054</v>
      </c>
      <c r="C76">
        <v>55.167001999999997</v>
      </c>
      <c r="D76">
        <v>55.142628999999999</v>
      </c>
      <c r="E76">
        <v>55.191414999999999</v>
      </c>
      <c r="F76">
        <v>55.124116999999998</v>
      </c>
      <c r="G76">
        <v>55.209972</v>
      </c>
      <c r="H76">
        <v>55.158673</v>
      </c>
      <c r="I76">
        <v>55.175328</v>
      </c>
      <c r="J76">
        <f>B76-C76</f>
        <v>-0.26160199999999634</v>
      </c>
      <c r="K76">
        <f t="shared" si="3"/>
        <v>-24.392999999999887</v>
      </c>
      <c r="L76">
        <f t="shared" si="4"/>
        <v>-42.927500000001118</v>
      </c>
      <c r="M76">
        <f t="shared" si="5"/>
        <v>-8.3275000000000432</v>
      </c>
    </row>
    <row r="77" spans="1:13" x14ac:dyDescent="0.35">
      <c r="A77">
        <v>8</v>
      </c>
      <c r="B77">
        <v>54.9054</v>
      </c>
      <c r="C77">
        <v>55.167001999999997</v>
      </c>
      <c r="D77">
        <v>55.142628999999999</v>
      </c>
      <c r="E77">
        <v>55.191414999999999</v>
      </c>
      <c r="F77">
        <v>55.124116999999998</v>
      </c>
      <c r="G77">
        <v>55.209972</v>
      </c>
      <c r="H77">
        <v>55.158673</v>
      </c>
      <c r="I77">
        <v>55.175328</v>
      </c>
      <c r="J77">
        <f>B77-C77</f>
        <v>-0.26160199999999634</v>
      </c>
      <c r="K77">
        <f t="shared" si="3"/>
        <v>-24.392999999999887</v>
      </c>
      <c r="L77">
        <f t="shared" si="4"/>
        <v>-42.927500000001118</v>
      </c>
      <c r="M77">
        <f t="shared" si="5"/>
        <v>-8.3275000000000432</v>
      </c>
    </row>
    <row r="78" spans="1:13" x14ac:dyDescent="0.35">
      <c r="A78">
        <v>8</v>
      </c>
      <c r="B78">
        <v>67.258099999999999</v>
      </c>
      <c r="C78">
        <v>67.646876000000006</v>
      </c>
      <c r="D78">
        <v>67.619380000000007</v>
      </c>
      <c r="E78">
        <v>67.674423000000004</v>
      </c>
      <c r="F78">
        <v>67.592095</v>
      </c>
      <c r="G78">
        <v>67.701773000000003</v>
      </c>
      <c r="H78">
        <v>67.635586000000004</v>
      </c>
      <c r="I78">
        <v>67.658163999999999</v>
      </c>
      <c r="J78">
        <f>B78-C78</f>
        <v>-0.38877600000000712</v>
      </c>
      <c r="K78">
        <f t="shared" si="3"/>
        <v>-27.521499999998866</v>
      </c>
      <c r="L78">
        <f t="shared" si="4"/>
        <v>-54.839000000001192</v>
      </c>
      <c r="M78">
        <f t="shared" si="5"/>
        <v>-11.288999999997884</v>
      </c>
    </row>
    <row r="79" spans="1:13" x14ac:dyDescent="0.35">
      <c r="A79">
        <v>8</v>
      </c>
      <c r="B79">
        <v>67.258099999999999</v>
      </c>
      <c r="C79">
        <v>67.646876000000006</v>
      </c>
      <c r="D79">
        <v>67.619380000000007</v>
      </c>
      <c r="E79">
        <v>67.674423000000004</v>
      </c>
      <c r="F79">
        <v>67.592095</v>
      </c>
      <c r="G79">
        <v>67.701773000000003</v>
      </c>
      <c r="H79">
        <v>67.635586000000004</v>
      </c>
      <c r="I79">
        <v>67.658163999999999</v>
      </c>
      <c r="J79">
        <f>B79-C79</f>
        <v>-0.38877600000000712</v>
      </c>
      <c r="K79">
        <f t="shared" si="3"/>
        <v>-27.521499999998866</v>
      </c>
      <c r="L79">
        <f t="shared" si="4"/>
        <v>-54.839000000001192</v>
      </c>
      <c r="M79">
        <f t="shared" si="5"/>
        <v>-11.288999999997884</v>
      </c>
    </row>
    <row r="80" spans="1:13" x14ac:dyDescent="0.35">
      <c r="A80">
        <v>8</v>
      </c>
      <c r="B80">
        <v>81.501999999999995</v>
      </c>
      <c r="C80">
        <v>82.03492</v>
      </c>
      <c r="D80">
        <v>82.003837000000004</v>
      </c>
      <c r="E80">
        <v>82.066064999999995</v>
      </c>
      <c r="F80">
        <v>81.966419000000002</v>
      </c>
      <c r="G80">
        <v>82.103571000000002</v>
      </c>
      <c r="H80">
        <v>82.020218999999997</v>
      </c>
      <c r="I80">
        <v>82.049616</v>
      </c>
      <c r="J80">
        <f>B80-C80</f>
        <v>-0.53292000000000428</v>
      </c>
      <c r="K80">
        <f t="shared" si="3"/>
        <v>-31.113999999995201</v>
      </c>
      <c r="L80">
        <f t="shared" si="4"/>
        <v>-68.576000000000192</v>
      </c>
      <c r="M80">
        <f t="shared" si="5"/>
        <v>-14.698500000001502</v>
      </c>
    </row>
    <row r="81" spans="1:13" x14ac:dyDescent="0.35">
      <c r="A81">
        <v>8</v>
      </c>
      <c r="B81">
        <v>81.501999999999995</v>
      </c>
      <c r="C81">
        <v>82.03492</v>
      </c>
      <c r="D81">
        <v>82.003837000000004</v>
      </c>
      <c r="E81">
        <v>82.066064999999995</v>
      </c>
      <c r="F81">
        <v>81.966419000000002</v>
      </c>
      <c r="G81">
        <v>82.103571000000002</v>
      </c>
      <c r="H81">
        <v>82.020218999999997</v>
      </c>
      <c r="I81">
        <v>82.049616</v>
      </c>
      <c r="J81">
        <f>B81-C81</f>
        <v>-0.53292000000000428</v>
      </c>
      <c r="K81">
        <f t="shared" si="3"/>
        <v>-31.113999999995201</v>
      </c>
      <c r="L81">
        <f t="shared" si="4"/>
        <v>-68.576000000000192</v>
      </c>
      <c r="M81">
        <f t="shared" si="5"/>
        <v>-14.698500000001502</v>
      </c>
    </row>
    <row r="82" spans="1:13" x14ac:dyDescent="0.35">
      <c r="A82">
        <v>9</v>
      </c>
      <c r="B82">
        <v>24.845500000000001</v>
      </c>
      <c r="C82">
        <v>25.288841999999999</v>
      </c>
      <c r="D82">
        <v>25.269829999999999</v>
      </c>
      <c r="E82">
        <v>25.307873000000001</v>
      </c>
      <c r="F82">
        <v>25.276613000000001</v>
      </c>
      <c r="G82">
        <v>25.301075999999998</v>
      </c>
      <c r="H82">
        <v>25.288537999999999</v>
      </c>
      <c r="I82">
        <v>25.289148000000001</v>
      </c>
      <c r="J82">
        <f>B82-C82</f>
        <v>-0.44334199999999768</v>
      </c>
      <c r="K82">
        <f t="shared" si="3"/>
        <v>-19.021500000000913</v>
      </c>
      <c r="L82">
        <f t="shared" si="4"/>
        <v>-12.231499999998618</v>
      </c>
      <c r="M82">
        <f t="shared" si="5"/>
        <v>-0.30500000000088789</v>
      </c>
    </row>
    <row r="83" spans="1:13" x14ac:dyDescent="0.35">
      <c r="A83">
        <v>9</v>
      </c>
      <c r="B83">
        <v>25.034300000000002</v>
      </c>
      <c r="C83">
        <v>25.651005000000001</v>
      </c>
      <c r="D83">
        <v>25.632104000000002</v>
      </c>
      <c r="E83">
        <v>25.669924000000002</v>
      </c>
      <c r="F83">
        <v>25.638332999999999</v>
      </c>
      <c r="G83">
        <v>25.663684</v>
      </c>
      <c r="H83">
        <v>25.650476000000001</v>
      </c>
      <c r="I83">
        <v>25.651534999999999</v>
      </c>
      <c r="J83">
        <f>B83-C83</f>
        <v>-0.61670499999999961</v>
      </c>
      <c r="K83">
        <f t="shared" si="3"/>
        <v>-18.909999999999982</v>
      </c>
      <c r="L83">
        <f t="shared" si="4"/>
        <v>-12.675500000000284</v>
      </c>
      <c r="M83">
        <f t="shared" si="5"/>
        <v>-0.52949999999896136</v>
      </c>
    </row>
    <row r="84" spans="1:13" x14ac:dyDescent="0.35">
      <c r="A84">
        <v>9</v>
      </c>
      <c r="B84">
        <v>27.844799999999999</v>
      </c>
      <c r="C84">
        <v>27.399981</v>
      </c>
      <c r="D84">
        <v>27.379666</v>
      </c>
      <c r="E84">
        <v>27.420314000000001</v>
      </c>
      <c r="F84">
        <v>27.386111</v>
      </c>
      <c r="G84">
        <v>27.413855000000002</v>
      </c>
      <c r="H84">
        <v>27.399692999999999</v>
      </c>
      <c r="I84">
        <v>27.400269999999999</v>
      </c>
      <c r="J84">
        <f>B84-C84</f>
        <v>0.44481899999999897</v>
      </c>
      <c r="K84">
        <f t="shared" si="3"/>
        <v>-20.324000000000453</v>
      </c>
      <c r="L84">
        <f t="shared" si="4"/>
        <v>-13.872000000000995</v>
      </c>
      <c r="M84">
        <f t="shared" si="5"/>
        <v>-0.28849999999991383</v>
      </c>
    </row>
    <row r="85" spans="1:13" x14ac:dyDescent="0.35">
      <c r="A85">
        <v>9</v>
      </c>
      <c r="B85">
        <v>29.4069</v>
      </c>
      <c r="C85">
        <v>29.463609000000002</v>
      </c>
      <c r="D85">
        <v>29.443185</v>
      </c>
      <c r="E85">
        <v>29.484054</v>
      </c>
      <c r="F85">
        <v>29.447586000000001</v>
      </c>
      <c r="G85">
        <v>29.479645000000001</v>
      </c>
      <c r="H85">
        <v>29.462534000000002</v>
      </c>
      <c r="I85">
        <v>29.464684999999999</v>
      </c>
      <c r="J85">
        <f>B85-C85</f>
        <v>-5.6709000000001453E-2</v>
      </c>
      <c r="K85">
        <f t="shared" si="3"/>
        <v>-20.434500000000355</v>
      </c>
      <c r="L85">
        <f t="shared" si="4"/>
        <v>-16.029500000000141</v>
      </c>
      <c r="M85">
        <f t="shared" si="5"/>
        <v>-1.0754999999988968</v>
      </c>
    </row>
    <row r="86" spans="1:13" x14ac:dyDescent="0.35">
      <c r="A86">
        <v>9</v>
      </c>
      <c r="B86">
        <v>30.296399999999998</v>
      </c>
      <c r="C86">
        <v>29.807179000000001</v>
      </c>
      <c r="D86">
        <v>29.786337</v>
      </c>
      <c r="E86">
        <v>29.828040999999999</v>
      </c>
      <c r="F86">
        <v>29.790966000000001</v>
      </c>
      <c r="G86">
        <v>29.823402000000002</v>
      </c>
      <c r="H86">
        <v>29.806277000000001</v>
      </c>
      <c r="I86">
        <v>29.808081000000001</v>
      </c>
      <c r="J86">
        <f>B86-C86</f>
        <v>0.48922099999999702</v>
      </c>
      <c r="K86">
        <f t="shared" si="3"/>
        <v>-20.851999999999649</v>
      </c>
      <c r="L86">
        <f t="shared" si="4"/>
        <v>-16.218000000000288</v>
      </c>
      <c r="M86">
        <f t="shared" si="5"/>
        <v>-0.90199999999995839</v>
      </c>
    </row>
    <row r="87" spans="1:13" x14ac:dyDescent="0.35">
      <c r="A87">
        <v>9</v>
      </c>
      <c r="B87">
        <v>34.4345</v>
      </c>
      <c r="C87">
        <v>34.371533999999997</v>
      </c>
      <c r="D87">
        <v>34.349772000000002</v>
      </c>
      <c r="E87">
        <v>34.393318999999998</v>
      </c>
      <c r="F87">
        <v>34.350875000000002</v>
      </c>
      <c r="G87">
        <v>34.392215999999998</v>
      </c>
      <c r="H87">
        <v>34.369365000000002</v>
      </c>
      <c r="I87">
        <v>34.373702999999999</v>
      </c>
      <c r="J87">
        <f>B87-C87</f>
        <v>6.2966000000002964E-2</v>
      </c>
      <c r="K87">
        <f t="shared" si="3"/>
        <v>-21.773499999998336</v>
      </c>
      <c r="L87">
        <f t="shared" si="4"/>
        <v>-20.670499999997816</v>
      </c>
      <c r="M87">
        <f t="shared" si="5"/>
        <v>-2.1689999999985332</v>
      </c>
    </row>
    <row r="88" spans="1:13" x14ac:dyDescent="0.35">
      <c r="A88">
        <v>9</v>
      </c>
      <c r="B88">
        <v>34.525500000000001</v>
      </c>
      <c r="C88">
        <v>34.386766000000001</v>
      </c>
      <c r="D88">
        <v>34.364984</v>
      </c>
      <c r="E88">
        <v>34.408572999999997</v>
      </c>
      <c r="F88">
        <v>34.366095000000001</v>
      </c>
      <c r="G88">
        <v>34.40746</v>
      </c>
      <c r="H88">
        <v>34.384613999999999</v>
      </c>
      <c r="I88">
        <v>34.388917999999997</v>
      </c>
      <c r="J88">
        <f>B88-C88</f>
        <v>0.13873399999999947</v>
      </c>
      <c r="K88">
        <f t="shared" si="3"/>
        <v>-21.794499999998607</v>
      </c>
      <c r="L88">
        <f t="shared" si="4"/>
        <v>-20.682499999999493</v>
      </c>
      <c r="M88">
        <f t="shared" si="5"/>
        <v>-2.1519999999988215</v>
      </c>
    </row>
    <row r="89" spans="1:13" x14ac:dyDescent="0.35">
      <c r="A89">
        <v>9</v>
      </c>
      <c r="B89">
        <v>41.079000000000001</v>
      </c>
      <c r="C89">
        <v>41.091273000000001</v>
      </c>
      <c r="D89">
        <v>41.067827000000001</v>
      </c>
      <c r="E89">
        <v>41.114749000000003</v>
      </c>
      <c r="F89">
        <v>41.064207000000003</v>
      </c>
      <c r="G89">
        <v>41.118378999999997</v>
      </c>
      <c r="H89">
        <v>41.087497999999997</v>
      </c>
      <c r="I89">
        <v>41.095047999999998</v>
      </c>
      <c r="J89">
        <f>B89-C89</f>
        <v>-1.2273000000000422E-2</v>
      </c>
      <c r="K89">
        <f t="shared" si="3"/>
        <v>-23.461000000001064</v>
      </c>
      <c r="L89">
        <f t="shared" si="4"/>
        <v>-27.085999999997057</v>
      </c>
      <c r="M89">
        <f t="shared" si="5"/>
        <v>-3.775000000000972</v>
      </c>
    </row>
    <row r="90" spans="1:13" x14ac:dyDescent="0.35">
      <c r="A90">
        <v>9</v>
      </c>
      <c r="B90">
        <v>41.0824</v>
      </c>
      <c r="C90">
        <v>41.091366000000001</v>
      </c>
      <c r="D90">
        <v>41.067920999999998</v>
      </c>
      <c r="E90">
        <v>41.114842000000003</v>
      </c>
      <c r="F90">
        <v>41.064300000000003</v>
      </c>
      <c r="G90">
        <v>41.118473000000002</v>
      </c>
      <c r="H90">
        <v>41.087592000000001</v>
      </c>
      <c r="I90">
        <v>41.095140999999998</v>
      </c>
      <c r="J90">
        <f>B90-C90</f>
        <v>-8.9660000000009177E-3</v>
      </c>
      <c r="K90">
        <f t="shared" si="3"/>
        <v>-23.460500000002327</v>
      </c>
      <c r="L90">
        <f t="shared" si="4"/>
        <v>-27.086499999999347</v>
      </c>
      <c r="M90">
        <f t="shared" si="5"/>
        <v>-3.7744999999986817</v>
      </c>
    </row>
    <row r="91" spans="1:13" x14ac:dyDescent="0.35">
      <c r="A91">
        <v>9</v>
      </c>
      <c r="B91">
        <v>49.620399999999997</v>
      </c>
      <c r="C91">
        <v>49.737490000000001</v>
      </c>
      <c r="D91">
        <v>49.711868000000003</v>
      </c>
      <c r="E91">
        <v>49.763146999999996</v>
      </c>
      <c r="F91">
        <v>49.702187000000002</v>
      </c>
      <c r="G91">
        <v>49.772852999999998</v>
      </c>
      <c r="H91">
        <v>49.731651999999997</v>
      </c>
      <c r="I91">
        <v>49.743324999999999</v>
      </c>
      <c r="J91">
        <f>B91-C91</f>
        <v>-0.11709000000000458</v>
      </c>
      <c r="K91">
        <f t="shared" si="3"/>
        <v>-25.639499999996929</v>
      </c>
      <c r="L91">
        <f t="shared" si="4"/>
        <v>-35.332999999997838</v>
      </c>
      <c r="M91">
        <f t="shared" si="5"/>
        <v>-5.8365000000009104</v>
      </c>
    </row>
    <row r="92" spans="1:13" x14ac:dyDescent="0.35">
      <c r="A92">
        <v>9</v>
      </c>
      <c r="B92">
        <v>49.620399999999997</v>
      </c>
      <c r="C92">
        <v>49.737493999999998</v>
      </c>
      <c r="D92">
        <v>49.711872</v>
      </c>
      <c r="E92">
        <v>49.763151000000001</v>
      </c>
      <c r="F92">
        <v>49.702190999999999</v>
      </c>
      <c r="G92">
        <v>49.772857000000002</v>
      </c>
      <c r="H92">
        <v>49.731656000000001</v>
      </c>
      <c r="I92">
        <v>49.743329000000003</v>
      </c>
      <c r="J92">
        <f>B92-C92</f>
        <v>-0.11709400000000159</v>
      </c>
      <c r="K92">
        <f t="shared" si="3"/>
        <v>-25.639500000000481</v>
      </c>
      <c r="L92">
        <f t="shared" si="4"/>
        <v>-35.333000000001391</v>
      </c>
      <c r="M92">
        <f t="shared" si="5"/>
        <v>-5.8365000000009104</v>
      </c>
    </row>
    <row r="93" spans="1:13" x14ac:dyDescent="0.35">
      <c r="A93">
        <v>9</v>
      </c>
      <c r="B93">
        <v>60.070999999999998</v>
      </c>
      <c r="C93">
        <v>60.305632000000003</v>
      </c>
      <c r="D93">
        <v>60.277351000000003</v>
      </c>
      <c r="E93">
        <v>60.333956999999998</v>
      </c>
      <c r="F93">
        <v>60.260263999999999</v>
      </c>
      <c r="G93">
        <v>60.351086000000002</v>
      </c>
      <c r="H93">
        <v>60.297282000000003</v>
      </c>
      <c r="I93">
        <v>60.313980000000001</v>
      </c>
      <c r="J93">
        <f>B93-C93</f>
        <v>-0.23463200000000484</v>
      </c>
      <c r="K93">
        <f t="shared" si="3"/>
        <v>-28.302999999997525</v>
      </c>
      <c r="L93">
        <f t="shared" si="4"/>
        <v>-45.411000000001422</v>
      </c>
      <c r="M93">
        <f t="shared" si="5"/>
        <v>-8.3489999999990516</v>
      </c>
    </row>
    <row r="94" spans="1:13" x14ac:dyDescent="0.35">
      <c r="A94">
        <v>9</v>
      </c>
      <c r="B94">
        <v>60.070999999999998</v>
      </c>
      <c r="C94">
        <v>60.305632000000003</v>
      </c>
      <c r="D94">
        <v>60.277351000000003</v>
      </c>
      <c r="E94">
        <v>60.333956999999998</v>
      </c>
      <c r="F94">
        <v>60.260263999999999</v>
      </c>
      <c r="G94">
        <v>60.351086000000002</v>
      </c>
      <c r="H94">
        <v>60.297282000000003</v>
      </c>
      <c r="I94">
        <v>60.313980000000001</v>
      </c>
      <c r="J94">
        <f>B94-C94</f>
        <v>-0.23463200000000484</v>
      </c>
      <c r="K94">
        <f t="shared" si="3"/>
        <v>-28.302999999997525</v>
      </c>
      <c r="L94">
        <f t="shared" si="4"/>
        <v>-45.411000000001422</v>
      </c>
      <c r="M94">
        <f t="shared" si="5"/>
        <v>-8.3489999999990516</v>
      </c>
    </row>
    <row r="95" spans="1:13" x14ac:dyDescent="0.35">
      <c r="A95">
        <v>9</v>
      </c>
      <c r="B95">
        <v>72.421300000000002</v>
      </c>
      <c r="C95">
        <v>72.789124000000001</v>
      </c>
      <c r="D95">
        <v>72.757709000000006</v>
      </c>
      <c r="E95">
        <v>72.820594</v>
      </c>
      <c r="F95">
        <v>72.731864999999999</v>
      </c>
      <c r="G95">
        <v>72.846498999999994</v>
      </c>
      <c r="H95">
        <v>72.777811999999997</v>
      </c>
      <c r="I95">
        <v>72.800432999999998</v>
      </c>
      <c r="J95">
        <f>B95-C95</f>
        <v>-0.36782399999999882</v>
      </c>
      <c r="K95">
        <f t="shared" si="3"/>
        <v>-31.442499999997153</v>
      </c>
      <c r="L95">
        <f t="shared" si="4"/>
        <v>-57.31699999999762</v>
      </c>
      <c r="M95">
        <f t="shared" si="5"/>
        <v>-11.310500000000445</v>
      </c>
    </row>
    <row r="96" spans="1:13" x14ac:dyDescent="0.35">
      <c r="A96">
        <v>9</v>
      </c>
      <c r="B96">
        <v>72.421300000000002</v>
      </c>
      <c r="C96">
        <v>72.789124000000001</v>
      </c>
      <c r="D96">
        <v>72.757709000000006</v>
      </c>
      <c r="E96">
        <v>72.820594</v>
      </c>
      <c r="F96">
        <v>72.731864999999999</v>
      </c>
      <c r="G96">
        <v>72.846498999999994</v>
      </c>
      <c r="H96">
        <v>72.777811999999997</v>
      </c>
      <c r="I96">
        <v>72.800432999999998</v>
      </c>
      <c r="J96">
        <f>B96-C96</f>
        <v>-0.36782399999999882</v>
      </c>
      <c r="K96">
        <f t="shared" si="3"/>
        <v>-31.442499999997153</v>
      </c>
      <c r="L96">
        <f t="shared" si="4"/>
        <v>-57.31699999999762</v>
      </c>
      <c r="M96">
        <f t="shared" si="5"/>
        <v>-11.310500000000445</v>
      </c>
    </row>
    <row r="97" spans="1:13" x14ac:dyDescent="0.35">
      <c r="A97">
        <v>9</v>
      </c>
      <c r="B97">
        <v>86.664000000000001</v>
      </c>
      <c r="C97">
        <v>87.182175000000001</v>
      </c>
      <c r="D97">
        <v>87.147158000000005</v>
      </c>
      <c r="E97">
        <v>87.217257000000004</v>
      </c>
      <c r="F97">
        <v>87.111203000000003</v>
      </c>
      <c r="G97">
        <v>87.253298999999998</v>
      </c>
      <c r="H97">
        <v>87.167452999999995</v>
      </c>
      <c r="I97">
        <v>87.196893000000003</v>
      </c>
      <c r="J97">
        <f>B97-C97</f>
        <v>-0.51817499999999939</v>
      </c>
      <c r="K97">
        <f t="shared" si="3"/>
        <v>-35.049499999999512</v>
      </c>
      <c r="L97">
        <f t="shared" si="4"/>
        <v>-71.047999999997558</v>
      </c>
      <c r="M97">
        <f t="shared" si="5"/>
        <v>-14.720000000004063</v>
      </c>
    </row>
    <row r="98" spans="1:13" x14ac:dyDescent="0.35">
      <c r="A98">
        <v>9</v>
      </c>
      <c r="B98">
        <v>86.664000000000001</v>
      </c>
      <c r="C98">
        <v>87.182175000000001</v>
      </c>
      <c r="D98">
        <v>87.147158000000005</v>
      </c>
      <c r="E98">
        <v>87.217257000000004</v>
      </c>
      <c r="F98">
        <v>87.111203000000003</v>
      </c>
      <c r="G98">
        <v>87.253298999999998</v>
      </c>
      <c r="H98">
        <v>87.167452999999995</v>
      </c>
      <c r="I98">
        <v>87.196893000000003</v>
      </c>
      <c r="J98">
        <f>B98-C98</f>
        <v>-0.51817499999999939</v>
      </c>
      <c r="K98">
        <f t="shared" si="3"/>
        <v>-35.049499999999512</v>
      </c>
      <c r="L98">
        <f t="shared" si="4"/>
        <v>-71.047999999997558</v>
      </c>
      <c r="M98">
        <f t="shared" si="5"/>
        <v>-14.720000000004063</v>
      </c>
    </row>
    <row r="99" spans="1:13" x14ac:dyDescent="0.35">
      <c r="A99">
        <v>9</v>
      </c>
      <c r="B99">
        <v>102.79259999999999</v>
      </c>
      <c r="C99">
        <v>103.478734</v>
      </c>
      <c r="D99">
        <v>103.43965799999999</v>
      </c>
      <c r="E99">
        <v>103.517887</v>
      </c>
      <c r="F99">
        <v>103.39222700000001</v>
      </c>
      <c r="G99">
        <v>103.56543000000001</v>
      </c>
      <c r="H99">
        <v>103.46015800000001</v>
      </c>
      <c r="I99">
        <v>103.497304</v>
      </c>
      <c r="J99">
        <f>B99-C99</f>
        <v>-0.68613400000000979</v>
      </c>
      <c r="K99">
        <f t="shared" si="3"/>
        <v>-39.114500000003716</v>
      </c>
      <c r="L99">
        <f t="shared" si="4"/>
        <v>-86.601500000000442</v>
      </c>
      <c r="M99">
        <f t="shared" si="5"/>
        <v>-18.572999999996398</v>
      </c>
    </row>
    <row r="100" spans="1:13" x14ac:dyDescent="0.35">
      <c r="A100">
        <v>9</v>
      </c>
      <c r="B100">
        <v>102.79259999999999</v>
      </c>
      <c r="C100">
        <v>103.478734</v>
      </c>
      <c r="D100">
        <v>103.43965799999999</v>
      </c>
      <c r="E100">
        <v>103.517887</v>
      </c>
      <c r="F100">
        <v>103.39222700000001</v>
      </c>
      <c r="G100">
        <v>103.56543000000001</v>
      </c>
      <c r="H100">
        <v>103.46015800000001</v>
      </c>
      <c r="I100">
        <v>103.497304</v>
      </c>
      <c r="J100">
        <f>B100-C100</f>
        <v>-0.68613400000000979</v>
      </c>
      <c r="K100">
        <f t="shared" si="3"/>
        <v>-39.114500000003716</v>
      </c>
      <c r="L100">
        <f t="shared" si="4"/>
        <v>-86.601500000000442</v>
      </c>
      <c r="M100">
        <f t="shared" si="5"/>
        <v>-18.572999999996398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A8E90-533B-4D5A-AEC4-0240158E77CE}">
  <dimension ref="B1:AH100"/>
  <sheetViews>
    <sheetView topLeftCell="A78" workbookViewId="0">
      <selection activeCell="D2" sqref="D2:D100"/>
    </sheetView>
  </sheetViews>
  <sheetFormatPr defaultRowHeight="14.5" x14ac:dyDescent="0.35"/>
  <cols>
    <col min="1" max="2" width="2.81640625" bestFit="1" customWidth="1"/>
    <col min="3" max="4" width="10.81640625" bestFit="1" customWidth="1"/>
    <col min="5" max="5" width="1.453125" bestFit="1" customWidth="1"/>
    <col min="6" max="6" width="2.81640625" bestFit="1" customWidth="1"/>
    <col min="7" max="7" width="1.36328125" bestFit="1" customWidth="1"/>
    <col min="8" max="10" width="1.81640625" bestFit="1" customWidth="1"/>
    <col min="11" max="12" width="1.453125" bestFit="1" customWidth="1"/>
    <col min="13" max="13" width="2.453125" bestFit="1" customWidth="1"/>
    <col min="14" max="14" width="1.36328125" bestFit="1" customWidth="1"/>
    <col min="15" max="20" width="1.81640625" bestFit="1" customWidth="1"/>
    <col min="21" max="21" width="1.453125" bestFit="1" customWidth="1"/>
    <col min="22" max="22" width="4.81640625" bestFit="1" customWidth="1"/>
    <col min="23" max="23" width="1.453125" bestFit="1" customWidth="1"/>
    <col min="24" max="30" width="1.81640625" bestFit="1" customWidth="1"/>
    <col min="31" max="32" width="1.453125" bestFit="1" customWidth="1"/>
    <col min="33" max="33" width="1.81640625" bestFit="1" customWidth="1"/>
    <col min="34" max="34" width="1.453125" bestFit="1" customWidth="1"/>
  </cols>
  <sheetData>
    <row r="1" spans="2:34" x14ac:dyDescent="0.35">
      <c r="B1" t="s">
        <v>0</v>
      </c>
      <c r="C1">
        <v>1</v>
      </c>
      <c r="D1">
        <v>0</v>
      </c>
      <c r="E1" t="s">
        <v>1</v>
      </c>
      <c r="F1" t="s">
        <v>0</v>
      </c>
      <c r="G1" t="s">
        <v>2</v>
      </c>
      <c r="H1">
        <v>0</v>
      </c>
      <c r="I1">
        <v>0</v>
      </c>
      <c r="J1">
        <v>0</v>
      </c>
      <c r="K1" t="s">
        <v>3</v>
      </c>
      <c r="L1" t="s">
        <v>1</v>
      </c>
      <c r="M1" t="s">
        <v>0</v>
      </c>
      <c r="N1" t="s">
        <v>2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 t="s">
        <v>3</v>
      </c>
      <c r="V1">
        <v>1</v>
      </c>
      <c r="W1" t="s">
        <v>1</v>
      </c>
      <c r="X1">
        <v>0</v>
      </c>
      <c r="Y1">
        <v>0</v>
      </c>
      <c r="Z1">
        <v>0</v>
      </c>
      <c r="AA1">
        <v>0</v>
      </c>
      <c r="AB1">
        <v>0</v>
      </c>
      <c r="AC1">
        <v>0</v>
      </c>
      <c r="AD1">
        <v>0</v>
      </c>
      <c r="AE1" t="s">
        <v>3</v>
      </c>
      <c r="AF1" t="s">
        <v>1</v>
      </c>
      <c r="AG1">
        <v>1</v>
      </c>
      <c r="AH1" t="s">
        <v>3</v>
      </c>
    </row>
    <row r="2" spans="2:34" x14ac:dyDescent="0.35">
      <c r="B2" t="s">
        <v>4</v>
      </c>
      <c r="C2">
        <v>1</v>
      </c>
      <c r="D2">
        <v>0.57193000000000005</v>
      </c>
      <c r="E2" t="s">
        <v>1</v>
      </c>
      <c r="F2" t="s">
        <v>4</v>
      </c>
      <c r="G2" t="s">
        <v>2</v>
      </c>
      <c r="H2">
        <v>1</v>
      </c>
      <c r="I2">
        <v>0</v>
      </c>
      <c r="J2">
        <v>1</v>
      </c>
      <c r="K2" t="s">
        <v>3</v>
      </c>
      <c r="L2" t="s">
        <v>1</v>
      </c>
      <c r="M2" t="s">
        <v>0</v>
      </c>
      <c r="N2" t="s">
        <v>2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 t="s">
        <v>3</v>
      </c>
      <c r="V2">
        <v>0.8</v>
      </c>
      <c r="W2" t="s">
        <v>1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 t="s">
        <v>3</v>
      </c>
      <c r="AF2" t="s">
        <v>1</v>
      </c>
      <c r="AG2">
        <v>1</v>
      </c>
      <c r="AH2" t="s">
        <v>3</v>
      </c>
    </row>
    <row r="3" spans="2:34" x14ac:dyDescent="0.35">
      <c r="B3" t="s">
        <v>4</v>
      </c>
      <c r="C3">
        <v>2</v>
      </c>
      <c r="D3">
        <v>1.5045120000000001</v>
      </c>
      <c r="E3" t="s">
        <v>1</v>
      </c>
      <c r="F3" t="s">
        <v>4</v>
      </c>
      <c r="G3" t="s">
        <v>2</v>
      </c>
      <c r="H3">
        <v>1</v>
      </c>
      <c r="I3">
        <v>1</v>
      </c>
      <c r="J3">
        <v>1</v>
      </c>
      <c r="K3" t="s">
        <v>3</v>
      </c>
      <c r="L3" t="s">
        <v>1</v>
      </c>
      <c r="M3" t="s">
        <v>0</v>
      </c>
      <c r="N3" t="s">
        <v>2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 t="s">
        <v>3</v>
      </c>
      <c r="V3">
        <v>0.8</v>
      </c>
      <c r="W3" t="s">
        <v>1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 t="s">
        <v>3</v>
      </c>
      <c r="AF3" t="s">
        <v>1</v>
      </c>
      <c r="AG3">
        <v>1</v>
      </c>
      <c r="AH3" t="s">
        <v>3</v>
      </c>
    </row>
    <row r="4" spans="2:34" x14ac:dyDescent="0.35">
      <c r="B4" t="s">
        <v>0</v>
      </c>
      <c r="C4">
        <v>1</v>
      </c>
      <c r="D4">
        <v>1.5415570000000001</v>
      </c>
      <c r="E4" t="s">
        <v>1</v>
      </c>
      <c r="F4" t="s">
        <v>0</v>
      </c>
      <c r="G4" t="s">
        <v>2</v>
      </c>
      <c r="H4">
        <v>1</v>
      </c>
      <c r="I4">
        <v>1</v>
      </c>
      <c r="J4">
        <v>0</v>
      </c>
      <c r="K4" t="s">
        <v>3</v>
      </c>
      <c r="L4" t="s">
        <v>1</v>
      </c>
      <c r="M4" t="s">
        <v>0</v>
      </c>
      <c r="N4" t="s">
        <v>2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 t="s">
        <v>3</v>
      </c>
      <c r="V4">
        <v>1</v>
      </c>
      <c r="W4" t="s">
        <v>1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 t="s">
        <v>3</v>
      </c>
      <c r="AF4" t="s">
        <v>1</v>
      </c>
      <c r="AG4">
        <v>1</v>
      </c>
      <c r="AH4" t="s">
        <v>3</v>
      </c>
    </row>
    <row r="5" spans="2:34" x14ac:dyDescent="0.35">
      <c r="B5" t="s">
        <v>0</v>
      </c>
      <c r="C5">
        <v>1</v>
      </c>
      <c r="D5">
        <v>1.7144429999999999</v>
      </c>
      <c r="E5" t="s">
        <v>1</v>
      </c>
      <c r="F5" t="s">
        <v>0</v>
      </c>
      <c r="G5" t="s">
        <v>2</v>
      </c>
      <c r="H5">
        <v>2</v>
      </c>
      <c r="I5">
        <v>0</v>
      </c>
      <c r="J5">
        <v>0</v>
      </c>
      <c r="K5" t="s">
        <v>3</v>
      </c>
      <c r="L5" t="s">
        <v>1</v>
      </c>
      <c r="M5" t="s">
        <v>0</v>
      </c>
      <c r="N5" t="s">
        <v>2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 t="s">
        <v>3</v>
      </c>
      <c r="V5">
        <v>0.5</v>
      </c>
      <c r="W5" t="s">
        <v>1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 t="s">
        <v>3</v>
      </c>
      <c r="AF5" t="s">
        <v>1</v>
      </c>
      <c r="AG5">
        <v>1</v>
      </c>
      <c r="AH5" t="s">
        <v>3</v>
      </c>
    </row>
    <row r="6" spans="2:34" x14ac:dyDescent="0.35">
      <c r="B6" t="s">
        <v>0</v>
      </c>
      <c r="C6">
        <v>2</v>
      </c>
      <c r="D6">
        <v>2.6109960000000001</v>
      </c>
      <c r="E6" t="s">
        <v>1</v>
      </c>
      <c r="F6" t="s">
        <v>0</v>
      </c>
      <c r="G6" t="s">
        <v>2</v>
      </c>
      <c r="H6">
        <v>2</v>
      </c>
      <c r="I6">
        <v>0</v>
      </c>
      <c r="J6">
        <v>0</v>
      </c>
      <c r="K6" t="s">
        <v>3</v>
      </c>
      <c r="L6" t="s">
        <v>1</v>
      </c>
      <c r="M6" t="s">
        <v>0</v>
      </c>
      <c r="N6" t="s">
        <v>2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 t="s">
        <v>3</v>
      </c>
      <c r="V6">
        <v>0.47</v>
      </c>
      <c r="W6" t="s">
        <v>1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 t="s">
        <v>3</v>
      </c>
      <c r="AF6" t="s">
        <v>1</v>
      </c>
      <c r="AG6">
        <v>1</v>
      </c>
      <c r="AH6" t="s">
        <v>3</v>
      </c>
    </row>
    <row r="7" spans="2:34" x14ac:dyDescent="0.35">
      <c r="B7" t="s">
        <v>4</v>
      </c>
      <c r="C7">
        <v>1</v>
      </c>
      <c r="D7">
        <v>2.7224710000000001</v>
      </c>
      <c r="E7" t="s">
        <v>1</v>
      </c>
      <c r="F7" t="s">
        <v>4</v>
      </c>
      <c r="G7" t="s">
        <v>2</v>
      </c>
      <c r="H7">
        <v>2</v>
      </c>
      <c r="I7">
        <v>1</v>
      </c>
      <c r="J7">
        <v>1</v>
      </c>
      <c r="K7" t="s">
        <v>3</v>
      </c>
      <c r="L7" t="s">
        <v>1</v>
      </c>
      <c r="M7" t="s">
        <v>0</v>
      </c>
      <c r="N7" t="s">
        <v>2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 t="s">
        <v>3</v>
      </c>
      <c r="V7">
        <v>0.8</v>
      </c>
      <c r="W7" t="s">
        <v>1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 t="s">
        <v>3</v>
      </c>
      <c r="AF7" t="s">
        <v>1</v>
      </c>
      <c r="AG7">
        <v>1</v>
      </c>
      <c r="AH7" t="s">
        <v>3</v>
      </c>
    </row>
    <row r="8" spans="2:34" x14ac:dyDescent="0.35">
      <c r="B8" t="s">
        <v>4</v>
      </c>
      <c r="C8">
        <v>2</v>
      </c>
      <c r="D8">
        <v>5.5200019999999999</v>
      </c>
      <c r="E8" t="s">
        <v>1</v>
      </c>
      <c r="F8" t="s">
        <v>4</v>
      </c>
      <c r="G8" t="s">
        <v>2</v>
      </c>
      <c r="H8">
        <v>2</v>
      </c>
      <c r="I8">
        <v>2</v>
      </c>
      <c r="J8">
        <v>1</v>
      </c>
      <c r="K8" t="s">
        <v>3</v>
      </c>
      <c r="L8" t="s">
        <v>1</v>
      </c>
      <c r="M8" t="s">
        <v>0</v>
      </c>
      <c r="N8" t="s">
        <v>2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 t="s">
        <v>3</v>
      </c>
      <c r="V8">
        <v>0.8</v>
      </c>
      <c r="W8" t="s">
        <v>1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 t="s">
        <v>3</v>
      </c>
      <c r="AF8" t="s">
        <v>1</v>
      </c>
      <c r="AG8">
        <v>1</v>
      </c>
      <c r="AH8" t="s">
        <v>3</v>
      </c>
    </row>
    <row r="9" spans="2:34" x14ac:dyDescent="0.35">
      <c r="B9" t="s">
        <v>0</v>
      </c>
      <c r="C9">
        <v>3</v>
      </c>
      <c r="D9">
        <v>5.5210030000000003</v>
      </c>
      <c r="E9" t="s">
        <v>1</v>
      </c>
      <c r="F9" t="s">
        <v>0</v>
      </c>
      <c r="G9" t="s">
        <v>2</v>
      </c>
      <c r="H9">
        <v>2</v>
      </c>
      <c r="I9">
        <v>2</v>
      </c>
      <c r="J9">
        <v>0</v>
      </c>
      <c r="K9" t="s">
        <v>3</v>
      </c>
      <c r="L9" t="s">
        <v>1</v>
      </c>
      <c r="M9" t="s">
        <v>0</v>
      </c>
      <c r="N9" t="s">
        <v>2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 t="s">
        <v>3</v>
      </c>
      <c r="V9">
        <v>0.82</v>
      </c>
      <c r="W9" t="s">
        <v>1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 t="s">
        <v>3</v>
      </c>
      <c r="AF9" t="s">
        <v>1</v>
      </c>
      <c r="AG9">
        <v>1</v>
      </c>
      <c r="AH9" t="s">
        <v>3</v>
      </c>
    </row>
    <row r="10" spans="2:34" x14ac:dyDescent="0.35">
      <c r="B10" t="s">
        <v>4</v>
      </c>
      <c r="C10">
        <v>1</v>
      </c>
      <c r="D10">
        <v>3.4248099999999999</v>
      </c>
      <c r="E10" t="s">
        <v>1</v>
      </c>
      <c r="F10" t="s">
        <v>4</v>
      </c>
      <c r="G10" t="s">
        <v>2</v>
      </c>
      <c r="H10">
        <v>3</v>
      </c>
      <c r="I10">
        <v>1</v>
      </c>
      <c r="J10">
        <v>1</v>
      </c>
      <c r="K10" t="s">
        <v>3</v>
      </c>
      <c r="L10" t="s">
        <v>1</v>
      </c>
      <c r="M10" t="s">
        <v>0</v>
      </c>
      <c r="N10" t="s">
        <v>2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 t="s">
        <v>3</v>
      </c>
      <c r="V10">
        <v>0.7</v>
      </c>
      <c r="W10" t="s">
        <v>1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 t="s">
        <v>3</v>
      </c>
      <c r="AF10" t="s">
        <v>1</v>
      </c>
      <c r="AG10">
        <v>1</v>
      </c>
      <c r="AH10" t="s">
        <v>3</v>
      </c>
    </row>
    <row r="11" spans="2:34" x14ac:dyDescent="0.35">
      <c r="B11" t="s">
        <v>4</v>
      </c>
      <c r="C11">
        <v>2</v>
      </c>
      <c r="D11">
        <v>4.2689859999999999</v>
      </c>
      <c r="E11" t="s">
        <v>1</v>
      </c>
      <c r="F11" t="s">
        <v>4</v>
      </c>
      <c r="G11" t="s">
        <v>2</v>
      </c>
      <c r="H11">
        <v>3</v>
      </c>
      <c r="I11">
        <v>0</v>
      </c>
      <c r="J11">
        <v>1</v>
      </c>
      <c r="K11" t="s">
        <v>3</v>
      </c>
      <c r="L11" t="s">
        <v>1</v>
      </c>
      <c r="M11" t="s">
        <v>0</v>
      </c>
      <c r="N11" t="s">
        <v>2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 t="s">
        <v>3</v>
      </c>
      <c r="V11">
        <v>0.66</v>
      </c>
      <c r="W11" t="s">
        <v>1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 t="s">
        <v>3</v>
      </c>
      <c r="AF11" t="s">
        <v>1</v>
      </c>
      <c r="AG11">
        <v>1</v>
      </c>
      <c r="AH11" t="s">
        <v>3</v>
      </c>
    </row>
    <row r="12" spans="2:34" x14ac:dyDescent="0.35">
      <c r="B12" t="s">
        <v>0</v>
      </c>
      <c r="C12">
        <v>1</v>
      </c>
      <c r="D12">
        <v>4.4929209999999999</v>
      </c>
      <c r="E12" t="s">
        <v>1</v>
      </c>
      <c r="F12" t="s">
        <v>0</v>
      </c>
      <c r="G12" t="s">
        <v>2</v>
      </c>
      <c r="H12">
        <v>3</v>
      </c>
      <c r="I12">
        <v>1</v>
      </c>
      <c r="J12">
        <v>0</v>
      </c>
      <c r="K12" t="s">
        <v>3</v>
      </c>
      <c r="L12" t="s">
        <v>1</v>
      </c>
      <c r="M12" t="s">
        <v>0</v>
      </c>
      <c r="N12" t="s">
        <v>2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 t="s">
        <v>3</v>
      </c>
      <c r="V12">
        <v>0.56999999999999995</v>
      </c>
      <c r="W12" t="s">
        <v>1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 t="s">
        <v>3</v>
      </c>
      <c r="AF12" t="s">
        <v>1</v>
      </c>
      <c r="AG12">
        <v>1</v>
      </c>
      <c r="AH12" t="s">
        <v>3</v>
      </c>
    </row>
    <row r="13" spans="2:34" x14ac:dyDescent="0.35">
      <c r="B13" t="s">
        <v>0</v>
      </c>
      <c r="C13">
        <v>2</v>
      </c>
      <c r="D13">
        <v>7.2355159999999996</v>
      </c>
      <c r="E13" t="s">
        <v>1</v>
      </c>
      <c r="F13" t="s">
        <v>0</v>
      </c>
      <c r="G13" t="s">
        <v>2</v>
      </c>
      <c r="H13">
        <v>3</v>
      </c>
      <c r="I13">
        <v>1</v>
      </c>
      <c r="J13">
        <v>0</v>
      </c>
      <c r="K13" t="s">
        <v>3</v>
      </c>
      <c r="L13" t="s">
        <v>1</v>
      </c>
      <c r="M13" t="s">
        <v>0</v>
      </c>
      <c r="N13" t="s">
        <v>2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 t="s">
        <v>3</v>
      </c>
      <c r="V13">
        <v>0.39</v>
      </c>
      <c r="W13" t="s">
        <v>1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 t="s">
        <v>3</v>
      </c>
      <c r="AF13" t="s">
        <v>1</v>
      </c>
      <c r="AG13">
        <v>1</v>
      </c>
      <c r="AH13" t="s">
        <v>3</v>
      </c>
    </row>
    <row r="14" spans="2:34" x14ac:dyDescent="0.35">
      <c r="B14" t="s">
        <v>4</v>
      </c>
      <c r="C14">
        <v>3</v>
      </c>
      <c r="D14">
        <v>7.2405689999999998</v>
      </c>
      <c r="E14" t="s">
        <v>1</v>
      </c>
      <c r="F14" t="s">
        <v>4</v>
      </c>
      <c r="G14" t="s">
        <v>2</v>
      </c>
      <c r="H14">
        <v>3</v>
      </c>
      <c r="I14">
        <v>2</v>
      </c>
      <c r="J14">
        <v>1</v>
      </c>
      <c r="K14" t="s">
        <v>3</v>
      </c>
      <c r="L14" t="s">
        <v>1</v>
      </c>
      <c r="M14" t="s">
        <v>0</v>
      </c>
      <c r="N14" t="s">
        <v>2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 t="s">
        <v>3</v>
      </c>
      <c r="V14">
        <v>0.42</v>
      </c>
      <c r="W14" t="s">
        <v>1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 t="s">
        <v>3</v>
      </c>
      <c r="AF14" t="s">
        <v>1</v>
      </c>
      <c r="AG14">
        <v>1</v>
      </c>
      <c r="AH14" t="s">
        <v>3</v>
      </c>
    </row>
    <row r="15" spans="2:34" x14ac:dyDescent="0.35">
      <c r="B15" t="s">
        <v>4</v>
      </c>
      <c r="C15">
        <v>4</v>
      </c>
      <c r="D15">
        <v>11.990822</v>
      </c>
      <c r="E15" t="s">
        <v>1</v>
      </c>
      <c r="F15" t="s">
        <v>4</v>
      </c>
      <c r="G15" t="s">
        <v>2</v>
      </c>
      <c r="H15">
        <v>3</v>
      </c>
      <c r="I15">
        <v>3</v>
      </c>
      <c r="J15">
        <v>1</v>
      </c>
      <c r="K15" t="s">
        <v>3</v>
      </c>
      <c r="L15" t="s">
        <v>1</v>
      </c>
      <c r="M15" t="s">
        <v>0</v>
      </c>
      <c r="N15" t="s">
        <v>2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 t="s">
        <v>3</v>
      </c>
      <c r="V15">
        <v>0.73</v>
      </c>
      <c r="W15" t="s">
        <v>1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 t="s">
        <v>3</v>
      </c>
      <c r="AF15" t="s">
        <v>1</v>
      </c>
      <c r="AG15">
        <v>1</v>
      </c>
      <c r="AH15" t="s">
        <v>3</v>
      </c>
    </row>
    <row r="16" spans="2:34" x14ac:dyDescent="0.35">
      <c r="B16" t="s">
        <v>0</v>
      </c>
      <c r="C16">
        <v>3</v>
      </c>
      <c r="D16">
        <v>11.990835000000001</v>
      </c>
      <c r="E16" t="s">
        <v>1</v>
      </c>
      <c r="F16" t="s">
        <v>0</v>
      </c>
      <c r="G16" t="s">
        <v>2</v>
      </c>
      <c r="H16">
        <v>3</v>
      </c>
      <c r="I16">
        <v>3</v>
      </c>
      <c r="J16">
        <v>0</v>
      </c>
      <c r="K16" t="s">
        <v>3</v>
      </c>
      <c r="L16" t="s">
        <v>1</v>
      </c>
      <c r="M16" t="s">
        <v>0</v>
      </c>
      <c r="N16" t="s">
        <v>2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 t="s">
        <v>3</v>
      </c>
      <c r="V16">
        <v>0.73</v>
      </c>
      <c r="W16" t="s">
        <v>1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 t="s">
        <v>3</v>
      </c>
      <c r="AF16" t="s">
        <v>1</v>
      </c>
      <c r="AG16">
        <v>1</v>
      </c>
      <c r="AH16" t="s">
        <v>3</v>
      </c>
    </row>
    <row r="17" spans="2:34" x14ac:dyDescent="0.35">
      <c r="B17" t="s">
        <v>0</v>
      </c>
      <c r="C17">
        <v>1</v>
      </c>
      <c r="D17">
        <v>5.6988849999999998</v>
      </c>
      <c r="E17" t="s">
        <v>1</v>
      </c>
      <c r="F17" t="s">
        <v>0</v>
      </c>
      <c r="G17" t="s">
        <v>2</v>
      </c>
      <c r="H17">
        <v>4</v>
      </c>
      <c r="I17">
        <v>1</v>
      </c>
      <c r="J17">
        <v>0</v>
      </c>
      <c r="K17" t="s">
        <v>3</v>
      </c>
      <c r="L17" t="s">
        <v>1</v>
      </c>
      <c r="M17" t="s">
        <v>0</v>
      </c>
      <c r="N17" t="s">
        <v>2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 t="s">
        <v>3</v>
      </c>
      <c r="V17">
        <v>0.72</v>
      </c>
      <c r="W17" t="s">
        <v>1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 t="s">
        <v>3</v>
      </c>
      <c r="AF17" t="s">
        <v>1</v>
      </c>
      <c r="AG17">
        <v>1</v>
      </c>
      <c r="AH17" t="s">
        <v>3</v>
      </c>
    </row>
    <row r="18" spans="2:34" x14ac:dyDescent="0.35">
      <c r="B18" t="s">
        <v>0</v>
      </c>
      <c r="C18">
        <v>2</v>
      </c>
      <c r="D18">
        <v>6.4764400000000002</v>
      </c>
      <c r="E18" t="s">
        <v>1</v>
      </c>
      <c r="F18" t="s">
        <v>0</v>
      </c>
      <c r="G18" t="s">
        <v>2</v>
      </c>
      <c r="H18">
        <v>4</v>
      </c>
      <c r="I18">
        <v>0</v>
      </c>
      <c r="J18">
        <v>0</v>
      </c>
      <c r="K18" t="s">
        <v>3</v>
      </c>
      <c r="L18" t="s">
        <v>1</v>
      </c>
      <c r="M18" t="s">
        <v>0</v>
      </c>
      <c r="N18" t="s">
        <v>2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 t="s">
        <v>3</v>
      </c>
      <c r="V18">
        <v>0.67</v>
      </c>
      <c r="W18" t="s">
        <v>1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 t="s">
        <v>3</v>
      </c>
      <c r="AF18" t="s">
        <v>1</v>
      </c>
      <c r="AG18">
        <v>1</v>
      </c>
      <c r="AH18" t="s">
        <v>3</v>
      </c>
    </row>
    <row r="19" spans="2:34" x14ac:dyDescent="0.35">
      <c r="B19" t="s">
        <v>4</v>
      </c>
      <c r="C19">
        <v>1</v>
      </c>
      <c r="D19">
        <v>6.8517580000000002</v>
      </c>
      <c r="E19" t="s">
        <v>1</v>
      </c>
      <c r="F19" t="s">
        <v>4</v>
      </c>
      <c r="G19" t="s">
        <v>2</v>
      </c>
      <c r="H19">
        <v>4</v>
      </c>
      <c r="I19">
        <v>2</v>
      </c>
      <c r="J19">
        <v>1</v>
      </c>
      <c r="K19" t="s">
        <v>3</v>
      </c>
      <c r="L19" t="s">
        <v>1</v>
      </c>
      <c r="M19" t="s">
        <v>0</v>
      </c>
      <c r="N19" t="s">
        <v>2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 t="s">
        <v>3</v>
      </c>
      <c r="V19">
        <v>0.54</v>
      </c>
      <c r="W19" t="s">
        <v>1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 t="s">
        <v>3</v>
      </c>
      <c r="AF19" t="s">
        <v>1</v>
      </c>
      <c r="AG19">
        <v>1</v>
      </c>
      <c r="AH19" t="s">
        <v>3</v>
      </c>
    </row>
    <row r="20" spans="2:34" x14ac:dyDescent="0.35">
      <c r="B20" t="s">
        <v>4</v>
      </c>
      <c r="C20">
        <v>2</v>
      </c>
      <c r="D20">
        <v>9.5210120000000007</v>
      </c>
      <c r="E20" t="s">
        <v>1</v>
      </c>
      <c r="F20" t="s">
        <v>4</v>
      </c>
      <c r="G20" t="s">
        <v>2</v>
      </c>
      <c r="H20">
        <v>4</v>
      </c>
      <c r="I20">
        <v>1</v>
      </c>
      <c r="J20">
        <v>1</v>
      </c>
      <c r="K20" t="s">
        <v>3</v>
      </c>
      <c r="L20" t="s">
        <v>1</v>
      </c>
      <c r="M20" t="s">
        <v>0</v>
      </c>
      <c r="N20" t="s">
        <v>2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 t="s">
        <v>3</v>
      </c>
      <c r="V20">
        <v>0.52</v>
      </c>
      <c r="W20" t="s">
        <v>1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 t="s">
        <v>3</v>
      </c>
      <c r="AF20" t="s">
        <v>1</v>
      </c>
      <c r="AG20">
        <v>1</v>
      </c>
      <c r="AH20" t="s">
        <v>3</v>
      </c>
    </row>
    <row r="21" spans="2:34" x14ac:dyDescent="0.35">
      <c r="B21" t="s">
        <v>0</v>
      </c>
      <c r="C21">
        <v>3</v>
      </c>
      <c r="D21">
        <v>9.5363410000000002</v>
      </c>
      <c r="E21" t="s">
        <v>1</v>
      </c>
      <c r="F21" t="s">
        <v>0</v>
      </c>
      <c r="G21" t="s">
        <v>2</v>
      </c>
      <c r="H21">
        <v>4</v>
      </c>
      <c r="I21">
        <v>3</v>
      </c>
      <c r="J21">
        <v>0</v>
      </c>
      <c r="K21" t="s">
        <v>3</v>
      </c>
      <c r="L21" t="s">
        <v>1</v>
      </c>
      <c r="M21" t="s">
        <v>0</v>
      </c>
      <c r="N21" t="s">
        <v>2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 t="s">
        <v>3</v>
      </c>
      <c r="V21">
        <v>0.37</v>
      </c>
      <c r="W21" t="s">
        <v>1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 t="s">
        <v>3</v>
      </c>
      <c r="AF21" t="s">
        <v>1</v>
      </c>
      <c r="AG21">
        <v>1</v>
      </c>
      <c r="AH21" t="s">
        <v>3</v>
      </c>
    </row>
    <row r="22" spans="2:34" x14ac:dyDescent="0.35">
      <c r="B22" t="s">
        <v>0</v>
      </c>
      <c r="C22">
        <v>4</v>
      </c>
      <c r="D22">
        <v>14.279909</v>
      </c>
      <c r="E22" t="s">
        <v>1</v>
      </c>
      <c r="F22" t="s">
        <v>0</v>
      </c>
      <c r="G22" t="s">
        <v>2</v>
      </c>
      <c r="H22">
        <v>4</v>
      </c>
      <c r="I22">
        <v>2</v>
      </c>
      <c r="J22">
        <v>0</v>
      </c>
      <c r="K22" t="s">
        <v>3</v>
      </c>
      <c r="L22" t="s">
        <v>1</v>
      </c>
      <c r="M22" t="s">
        <v>0</v>
      </c>
      <c r="N22" t="s">
        <v>2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 t="s">
        <v>3</v>
      </c>
      <c r="V22">
        <v>0.34</v>
      </c>
      <c r="W22" t="s">
        <v>1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 t="s">
        <v>3</v>
      </c>
      <c r="AF22" t="s">
        <v>1</v>
      </c>
      <c r="AG22">
        <v>1</v>
      </c>
      <c r="AH22" t="s">
        <v>3</v>
      </c>
    </row>
    <row r="23" spans="2:34" x14ac:dyDescent="0.35">
      <c r="B23" t="s">
        <v>4</v>
      </c>
      <c r="C23">
        <v>3</v>
      </c>
      <c r="D23">
        <v>14.280001</v>
      </c>
      <c r="E23" t="s">
        <v>1</v>
      </c>
      <c r="F23" t="s">
        <v>4</v>
      </c>
      <c r="G23" t="s">
        <v>2</v>
      </c>
      <c r="H23">
        <v>4</v>
      </c>
      <c r="I23">
        <v>2</v>
      </c>
      <c r="J23">
        <v>1</v>
      </c>
      <c r="K23" t="s">
        <v>3</v>
      </c>
      <c r="L23" t="s">
        <v>1</v>
      </c>
      <c r="M23" t="s">
        <v>0</v>
      </c>
      <c r="N23" t="s">
        <v>2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 t="s">
        <v>3</v>
      </c>
      <c r="V23">
        <v>0.32</v>
      </c>
      <c r="W23" t="s">
        <v>1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 t="s">
        <v>3</v>
      </c>
      <c r="AF23" t="s">
        <v>1</v>
      </c>
      <c r="AG23">
        <v>1</v>
      </c>
      <c r="AH23" t="s">
        <v>3</v>
      </c>
    </row>
    <row r="24" spans="2:34" x14ac:dyDescent="0.35">
      <c r="B24" t="s">
        <v>0</v>
      </c>
      <c r="C24">
        <v>5</v>
      </c>
      <c r="D24">
        <v>20.933387</v>
      </c>
      <c r="E24" t="s">
        <v>1</v>
      </c>
      <c r="F24" t="s">
        <v>0</v>
      </c>
      <c r="G24" t="s">
        <v>2</v>
      </c>
      <c r="H24">
        <v>4</v>
      </c>
      <c r="I24">
        <v>4</v>
      </c>
      <c r="J24">
        <v>0</v>
      </c>
      <c r="K24" t="s">
        <v>3</v>
      </c>
      <c r="L24" t="s">
        <v>1</v>
      </c>
      <c r="M24" t="s">
        <v>0</v>
      </c>
      <c r="N24" t="s">
        <v>2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 t="s">
        <v>3</v>
      </c>
      <c r="V24">
        <v>0.66</v>
      </c>
      <c r="W24" t="s">
        <v>1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 t="s">
        <v>3</v>
      </c>
      <c r="AF24" t="s">
        <v>1</v>
      </c>
      <c r="AG24">
        <v>1</v>
      </c>
      <c r="AH24" t="s">
        <v>3</v>
      </c>
    </row>
    <row r="25" spans="2:34" x14ac:dyDescent="0.35">
      <c r="B25" t="s">
        <v>4</v>
      </c>
      <c r="C25">
        <v>4</v>
      </c>
      <c r="D25">
        <v>20.933387</v>
      </c>
      <c r="E25" t="s">
        <v>1</v>
      </c>
      <c r="F25" t="s">
        <v>4</v>
      </c>
      <c r="G25" t="s">
        <v>2</v>
      </c>
      <c r="H25">
        <v>4</v>
      </c>
      <c r="I25">
        <v>4</v>
      </c>
      <c r="J25">
        <v>1</v>
      </c>
      <c r="K25" t="s">
        <v>3</v>
      </c>
      <c r="L25" t="s">
        <v>1</v>
      </c>
      <c r="M25" t="s">
        <v>0</v>
      </c>
      <c r="N25" t="s">
        <v>2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 t="s">
        <v>3</v>
      </c>
      <c r="V25">
        <v>0.66</v>
      </c>
      <c r="W25" t="s">
        <v>1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 t="s">
        <v>3</v>
      </c>
      <c r="AF25" t="s">
        <v>1</v>
      </c>
      <c r="AG25">
        <v>1</v>
      </c>
      <c r="AH25" t="s">
        <v>3</v>
      </c>
    </row>
    <row r="26" spans="2:34" x14ac:dyDescent="0.35">
      <c r="B26" t="s">
        <v>4</v>
      </c>
      <c r="C26">
        <v>1</v>
      </c>
      <c r="D26">
        <v>8.5310980000000001</v>
      </c>
      <c r="E26" t="s">
        <v>1</v>
      </c>
      <c r="F26" t="s">
        <v>4</v>
      </c>
      <c r="G26" t="s">
        <v>2</v>
      </c>
      <c r="H26">
        <v>5</v>
      </c>
      <c r="I26">
        <v>1</v>
      </c>
      <c r="J26">
        <v>1</v>
      </c>
      <c r="K26" t="s">
        <v>3</v>
      </c>
      <c r="L26" t="s">
        <v>1</v>
      </c>
      <c r="M26" t="s">
        <v>0</v>
      </c>
      <c r="N26" t="s">
        <v>2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 t="s">
        <v>3</v>
      </c>
      <c r="V26">
        <v>0.54</v>
      </c>
      <c r="W26" t="s">
        <v>1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 t="s">
        <v>3</v>
      </c>
      <c r="AF26" t="s">
        <v>1</v>
      </c>
      <c r="AG26">
        <v>1</v>
      </c>
      <c r="AH26" t="s">
        <v>3</v>
      </c>
    </row>
    <row r="27" spans="2:34" x14ac:dyDescent="0.35">
      <c r="B27" t="s">
        <v>4</v>
      </c>
      <c r="C27">
        <v>2</v>
      </c>
      <c r="D27">
        <v>9.2307070000000007</v>
      </c>
      <c r="E27" t="s">
        <v>1</v>
      </c>
      <c r="F27" t="s">
        <v>4</v>
      </c>
      <c r="G27" t="s">
        <v>2</v>
      </c>
      <c r="H27">
        <v>5</v>
      </c>
      <c r="I27">
        <v>0</v>
      </c>
      <c r="J27">
        <v>1</v>
      </c>
      <c r="K27" t="s">
        <v>3</v>
      </c>
      <c r="L27" t="s">
        <v>1</v>
      </c>
      <c r="M27" t="s">
        <v>0</v>
      </c>
      <c r="N27" t="s">
        <v>2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 t="s">
        <v>3</v>
      </c>
      <c r="V27">
        <v>0.49</v>
      </c>
      <c r="W27" t="s">
        <v>1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 t="s">
        <v>3</v>
      </c>
      <c r="AF27" t="s">
        <v>1</v>
      </c>
      <c r="AG27">
        <v>1</v>
      </c>
      <c r="AH27" t="s">
        <v>3</v>
      </c>
    </row>
    <row r="28" spans="2:34" x14ac:dyDescent="0.35">
      <c r="B28" t="s">
        <v>0</v>
      </c>
      <c r="C28">
        <v>1</v>
      </c>
      <c r="D28">
        <v>9.7973680000000005</v>
      </c>
      <c r="E28" t="s">
        <v>1</v>
      </c>
      <c r="F28" t="s">
        <v>0</v>
      </c>
      <c r="G28" t="s">
        <v>2</v>
      </c>
      <c r="H28">
        <v>5</v>
      </c>
      <c r="I28">
        <v>2</v>
      </c>
      <c r="J28">
        <v>0</v>
      </c>
      <c r="K28" t="s">
        <v>3</v>
      </c>
      <c r="L28" t="s">
        <v>1</v>
      </c>
      <c r="M28" t="s">
        <v>0</v>
      </c>
      <c r="N28" t="s">
        <v>2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 t="s">
        <v>3</v>
      </c>
      <c r="V28">
        <v>0.56999999999999995</v>
      </c>
      <c r="W28" t="s">
        <v>1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 t="s">
        <v>3</v>
      </c>
      <c r="AF28" t="s">
        <v>1</v>
      </c>
      <c r="AG28">
        <v>1</v>
      </c>
      <c r="AH28" t="s">
        <v>3</v>
      </c>
    </row>
    <row r="29" spans="2:34" x14ac:dyDescent="0.35">
      <c r="B29" t="s">
        <v>0</v>
      </c>
      <c r="C29">
        <v>2</v>
      </c>
      <c r="D29">
        <v>12.374898999999999</v>
      </c>
      <c r="E29" t="s">
        <v>1</v>
      </c>
      <c r="F29" t="s">
        <v>0</v>
      </c>
      <c r="G29" t="s">
        <v>2</v>
      </c>
      <c r="H29">
        <v>5</v>
      </c>
      <c r="I29">
        <v>1</v>
      </c>
      <c r="J29">
        <v>0</v>
      </c>
      <c r="K29" t="s">
        <v>3</v>
      </c>
      <c r="L29" t="s">
        <v>1</v>
      </c>
      <c r="M29" t="s">
        <v>0</v>
      </c>
      <c r="N29" t="s">
        <v>2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 t="s">
        <v>3</v>
      </c>
      <c r="V29">
        <v>0.54</v>
      </c>
      <c r="W29" t="s">
        <v>1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 t="s">
        <v>3</v>
      </c>
      <c r="AF29" t="s">
        <v>1</v>
      </c>
      <c r="AG29">
        <v>1</v>
      </c>
      <c r="AH29" t="s">
        <v>3</v>
      </c>
    </row>
    <row r="30" spans="2:34" x14ac:dyDescent="0.35">
      <c r="B30" t="s">
        <v>4</v>
      </c>
      <c r="C30">
        <v>3</v>
      </c>
      <c r="D30">
        <v>12.411078</v>
      </c>
      <c r="E30" t="s">
        <v>1</v>
      </c>
      <c r="F30" t="s">
        <v>4</v>
      </c>
      <c r="G30" t="s">
        <v>2</v>
      </c>
      <c r="H30">
        <v>5</v>
      </c>
      <c r="I30">
        <v>0</v>
      </c>
      <c r="J30">
        <v>1</v>
      </c>
      <c r="K30" t="s">
        <v>3</v>
      </c>
      <c r="L30" t="s">
        <v>1</v>
      </c>
      <c r="M30" t="s">
        <v>0</v>
      </c>
      <c r="N30" t="s">
        <v>2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 t="s">
        <v>3</v>
      </c>
      <c r="V30">
        <v>0.39</v>
      </c>
      <c r="W30" t="s">
        <v>1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 t="s">
        <v>3</v>
      </c>
      <c r="AF30" t="s">
        <v>1</v>
      </c>
      <c r="AG30">
        <v>1</v>
      </c>
      <c r="AH30" t="s">
        <v>3</v>
      </c>
    </row>
    <row r="31" spans="2:34" x14ac:dyDescent="0.35">
      <c r="B31" t="s">
        <v>4</v>
      </c>
      <c r="C31">
        <v>4</v>
      </c>
      <c r="D31">
        <v>17.140426000000001</v>
      </c>
      <c r="E31" t="s">
        <v>1</v>
      </c>
      <c r="F31" t="s">
        <v>4</v>
      </c>
      <c r="G31" t="s">
        <v>2</v>
      </c>
      <c r="H31">
        <v>5</v>
      </c>
      <c r="I31">
        <v>4</v>
      </c>
      <c r="J31">
        <v>1</v>
      </c>
      <c r="K31" t="s">
        <v>3</v>
      </c>
      <c r="L31" t="s">
        <v>1</v>
      </c>
      <c r="M31" t="s">
        <v>0</v>
      </c>
      <c r="N31" t="s">
        <v>2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 t="s">
        <v>3</v>
      </c>
      <c r="V31">
        <v>0.36</v>
      </c>
      <c r="W31" t="s">
        <v>1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 t="s">
        <v>3</v>
      </c>
      <c r="AF31" t="s">
        <v>1</v>
      </c>
      <c r="AG31">
        <v>1</v>
      </c>
      <c r="AH31" t="s">
        <v>3</v>
      </c>
    </row>
    <row r="32" spans="2:34" x14ac:dyDescent="0.35">
      <c r="B32" t="s">
        <v>0</v>
      </c>
      <c r="C32">
        <v>3</v>
      </c>
      <c r="D32">
        <v>17.140810999999999</v>
      </c>
      <c r="E32" t="s">
        <v>1</v>
      </c>
      <c r="F32" t="s">
        <v>0</v>
      </c>
      <c r="G32" t="s">
        <v>2</v>
      </c>
      <c r="H32">
        <v>5</v>
      </c>
      <c r="I32">
        <v>4</v>
      </c>
      <c r="J32">
        <v>0</v>
      </c>
      <c r="K32" t="s">
        <v>3</v>
      </c>
      <c r="L32" t="s">
        <v>1</v>
      </c>
      <c r="M32" t="s">
        <v>0</v>
      </c>
      <c r="N32" t="s">
        <v>2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 t="s">
        <v>3</v>
      </c>
      <c r="V32">
        <v>0.36</v>
      </c>
      <c r="W32" t="s">
        <v>1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 t="s">
        <v>3</v>
      </c>
      <c r="AF32" t="s">
        <v>1</v>
      </c>
      <c r="AG32">
        <v>1</v>
      </c>
      <c r="AH32" t="s">
        <v>3</v>
      </c>
    </row>
    <row r="33" spans="2:34" x14ac:dyDescent="0.35">
      <c r="B33" t="s">
        <v>0</v>
      </c>
      <c r="C33">
        <v>4</v>
      </c>
      <c r="D33">
        <v>23.794301999999998</v>
      </c>
      <c r="E33" t="s">
        <v>1</v>
      </c>
      <c r="F33" t="s">
        <v>0</v>
      </c>
      <c r="G33" t="s">
        <v>2</v>
      </c>
      <c r="H33">
        <v>5</v>
      </c>
      <c r="I33">
        <v>3</v>
      </c>
      <c r="J33">
        <v>0</v>
      </c>
      <c r="K33" t="s">
        <v>3</v>
      </c>
      <c r="L33" t="s">
        <v>1</v>
      </c>
      <c r="M33" t="s">
        <v>0</v>
      </c>
      <c r="N33" t="s">
        <v>2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 t="s">
        <v>3</v>
      </c>
      <c r="V33">
        <v>0.34</v>
      </c>
      <c r="W33" t="s">
        <v>1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 t="s">
        <v>3</v>
      </c>
      <c r="AF33" t="s">
        <v>1</v>
      </c>
      <c r="AG33">
        <v>1</v>
      </c>
      <c r="AH33" t="s">
        <v>3</v>
      </c>
    </row>
    <row r="34" spans="2:34" x14ac:dyDescent="0.35">
      <c r="B34" t="s">
        <v>4</v>
      </c>
      <c r="C34">
        <v>5</v>
      </c>
      <c r="D34">
        <v>23.794301999999998</v>
      </c>
      <c r="E34" t="s">
        <v>1</v>
      </c>
      <c r="F34" t="s">
        <v>4</v>
      </c>
      <c r="G34" t="s">
        <v>2</v>
      </c>
      <c r="H34">
        <v>5</v>
      </c>
      <c r="I34">
        <v>3</v>
      </c>
      <c r="J34">
        <v>1</v>
      </c>
      <c r="K34" t="s">
        <v>3</v>
      </c>
      <c r="L34" t="s">
        <v>1</v>
      </c>
      <c r="M34" t="s">
        <v>0</v>
      </c>
      <c r="N34" t="s">
        <v>2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 t="s">
        <v>3</v>
      </c>
      <c r="V34">
        <v>0.34</v>
      </c>
      <c r="W34" t="s">
        <v>1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 t="s">
        <v>3</v>
      </c>
      <c r="AF34" t="s">
        <v>1</v>
      </c>
      <c r="AG34">
        <v>1</v>
      </c>
      <c r="AH34" t="s">
        <v>3</v>
      </c>
    </row>
    <row r="35" spans="2:34" x14ac:dyDescent="0.35">
      <c r="B35" t="s">
        <v>0</v>
      </c>
      <c r="C35">
        <v>5</v>
      </c>
      <c r="D35">
        <v>32.346665999999999</v>
      </c>
      <c r="E35" t="s">
        <v>1</v>
      </c>
      <c r="F35" t="s">
        <v>0</v>
      </c>
      <c r="G35" t="s">
        <v>2</v>
      </c>
      <c r="H35">
        <v>5</v>
      </c>
      <c r="I35">
        <v>5</v>
      </c>
      <c r="J35">
        <v>0</v>
      </c>
      <c r="K35" t="s">
        <v>3</v>
      </c>
      <c r="L35" t="s">
        <v>1</v>
      </c>
      <c r="M35" t="s">
        <v>0</v>
      </c>
      <c r="N35" t="s">
        <v>2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 t="s">
        <v>3</v>
      </c>
      <c r="V35">
        <v>0.59</v>
      </c>
      <c r="W35" t="s">
        <v>1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 t="s">
        <v>3</v>
      </c>
      <c r="AF35" t="s">
        <v>1</v>
      </c>
      <c r="AG35">
        <v>1</v>
      </c>
      <c r="AH35" t="s">
        <v>3</v>
      </c>
    </row>
    <row r="36" spans="2:34" x14ac:dyDescent="0.35">
      <c r="B36" t="s">
        <v>4</v>
      </c>
      <c r="C36">
        <v>6</v>
      </c>
      <c r="D36">
        <v>32.346665999999999</v>
      </c>
      <c r="E36" t="s">
        <v>1</v>
      </c>
      <c r="F36" t="s">
        <v>4</v>
      </c>
      <c r="G36" t="s">
        <v>2</v>
      </c>
      <c r="H36">
        <v>5</v>
      </c>
      <c r="I36">
        <v>5</v>
      </c>
      <c r="J36">
        <v>1</v>
      </c>
      <c r="K36" t="s">
        <v>3</v>
      </c>
      <c r="L36" t="s">
        <v>1</v>
      </c>
      <c r="M36" t="s">
        <v>0</v>
      </c>
      <c r="N36" t="s">
        <v>2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 t="s">
        <v>3</v>
      </c>
      <c r="V36">
        <v>0.59</v>
      </c>
      <c r="W36" t="s">
        <v>1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 t="s">
        <v>3</v>
      </c>
      <c r="AF36" t="s">
        <v>1</v>
      </c>
      <c r="AG36">
        <v>1</v>
      </c>
      <c r="AH36" t="s">
        <v>3</v>
      </c>
    </row>
    <row r="37" spans="2:34" x14ac:dyDescent="0.35">
      <c r="B37" t="s">
        <v>0</v>
      </c>
      <c r="C37">
        <v>1</v>
      </c>
      <c r="D37">
        <v>11.914571</v>
      </c>
      <c r="E37" t="s">
        <v>1</v>
      </c>
      <c r="F37" t="s">
        <v>0</v>
      </c>
      <c r="G37" t="s">
        <v>2</v>
      </c>
      <c r="H37">
        <v>6</v>
      </c>
      <c r="I37">
        <v>2</v>
      </c>
      <c r="J37">
        <v>0</v>
      </c>
      <c r="K37" t="s">
        <v>3</v>
      </c>
      <c r="L37" t="s">
        <v>1</v>
      </c>
      <c r="M37" t="s">
        <v>0</v>
      </c>
      <c r="N37" t="s">
        <v>2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 t="s">
        <v>3</v>
      </c>
      <c r="V37">
        <v>0.49</v>
      </c>
      <c r="W37" t="s">
        <v>1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 t="s">
        <v>3</v>
      </c>
      <c r="AF37" t="s">
        <v>1</v>
      </c>
      <c r="AG37">
        <v>1</v>
      </c>
      <c r="AH37" t="s">
        <v>3</v>
      </c>
    </row>
    <row r="38" spans="2:34" x14ac:dyDescent="0.35">
      <c r="B38" t="s">
        <v>0</v>
      </c>
      <c r="C38">
        <v>2</v>
      </c>
      <c r="D38">
        <v>12.528604</v>
      </c>
      <c r="E38" t="s">
        <v>1</v>
      </c>
      <c r="F38" t="s">
        <v>0</v>
      </c>
      <c r="G38" t="s">
        <v>2</v>
      </c>
      <c r="H38">
        <v>6</v>
      </c>
      <c r="I38">
        <v>1</v>
      </c>
      <c r="J38">
        <v>0</v>
      </c>
      <c r="K38" t="s">
        <v>3</v>
      </c>
      <c r="L38" t="s">
        <v>1</v>
      </c>
      <c r="M38" t="s">
        <v>0</v>
      </c>
      <c r="N38" t="s">
        <v>2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 t="s">
        <v>3</v>
      </c>
      <c r="V38">
        <v>0.56000000000000005</v>
      </c>
      <c r="W38" t="s">
        <v>1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 t="s">
        <v>3</v>
      </c>
      <c r="AF38" t="s">
        <v>1</v>
      </c>
      <c r="AG38">
        <v>1</v>
      </c>
      <c r="AH38" t="s">
        <v>3</v>
      </c>
    </row>
    <row r="39" spans="2:34" x14ac:dyDescent="0.35">
      <c r="B39" t="s">
        <v>4</v>
      </c>
      <c r="C39">
        <v>1</v>
      </c>
      <c r="D39">
        <v>13.327601</v>
      </c>
      <c r="E39" t="s">
        <v>1</v>
      </c>
      <c r="F39" t="s">
        <v>4</v>
      </c>
      <c r="G39" t="s">
        <v>2</v>
      </c>
      <c r="H39">
        <v>6</v>
      </c>
      <c r="I39">
        <v>2</v>
      </c>
      <c r="J39">
        <v>1</v>
      </c>
      <c r="K39" t="s">
        <v>3</v>
      </c>
      <c r="L39" t="s">
        <v>1</v>
      </c>
      <c r="M39" t="s">
        <v>0</v>
      </c>
      <c r="N39" t="s">
        <v>2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 t="s">
        <v>3</v>
      </c>
      <c r="V39">
        <v>0.5</v>
      </c>
      <c r="W39" t="s">
        <v>1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 t="s">
        <v>3</v>
      </c>
      <c r="AF39" t="s">
        <v>1</v>
      </c>
      <c r="AG39">
        <v>1</v>
      </c>
      <c r="AH39" t="s">
        <v>3</v>
      </c>
    </row>
    <row r="40" spans="2:34" x14ac:dyDescent="0.35">
      <c r="B40" t="s">
        <v>4</v>
      </c>
      <c r="C40">
        <v>2</v>
      </c>
      <c r="D40">
        <v>15.795188</v>
      </c>
      <c r="E40" t="s">
        <v>1</v>
      </c>
      <c r="F40" t="s">
        <v>4</v>
      </c>
      <c r="G40" t="s">
        <v>2</v>
      </c>
      <c r="H40">
        <v>6</v>
      </c>
      <c r="I40">
        <v>1</v>
      </c>
      <c r="J40">
        <v>1</v>
      </c>
      <c r="K40" t="s">
        <v>3</v>
      </c>
      <c r="L40" t="s">
        <v>1</v>
      </c>
      <c r="M40" t="s">
        <v>0</v>
      </c>
      <c r="N40" t="s">
        <v>2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 t="s">
        <v>3</v>
      </c>
      <c r="V40">
        <v>0.46</v>
      </c>
      <c r="W40" t="s">
        <v>1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 t="s">
        <v>3</v>
      </c>
      <c r="AF40" t="s">
        <v>1</v>
      </c>
      <c r="AG40">
        <v>1</v>
      </c>
      <c r="AH40" t="s">
        <v>3</v>
      </c>
    </row>
    <row r="41" spans="2:34" x14ac:dyDescent="0.35">
      <c r="B41" t="s">
        <v>0</v>
      </c>
      <c r="C41">
        <v>3</v>
      </c>
      <c r="D41">
        <v>15.868273</v>
      </c>
      <c r="E41" t="s">
        <v>1</v>
      </c>
      <c r="F41" t="s">
        <v>0</v>
      </c>
      <c r="G41" t="s">
        <v>2</v>
      </c>
      <c r="H41">
        <v>6</v>
      </c>
      <c r="I41">
        <v>0</v>
      </c>
      <c r="J41">
        <v>0</v>
      </c>
      <c r="K41" t="s">
        <v>3</v>
      </c>
      <c r="L41" t="s">
        <v>1</v>
      </c>
      <c r="M41" t="s">
        <v>0</v>
      </c>
      <c r="N41" t="s">
        <v>2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 t="s">
        <v>3</v>
      </c>
      <c r="V41">
        <v>0.42</v>
      </c>
      <c r="W41" t="s">
        <v>1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 t="s">
        <v>3</v>
      </c>
      <c r="AF41" t="s">
        <v>1</v>
      </c>
      <c r="AG41">
        <v>1</v>
      </c>
      <c r="AH41" t="s">
        <v>3</v>
      </c>
    </row>
    <row r="42" spans="2:34" x14ac:dyDescent="0.35">
      <c r="B42" t="s">
        <v>0</v>
      </c>
      <c r="C42">
        <v>4</v>
      </c>
      <c r="D42">
        <v>20.571894</v>
      </c>
      <c r="E42" t="s">
        <v>1</v>
      </c>
      <c r="F42" t="s">
        <v>0</v>
      </c>
      <c r="G42" t="s">
        <v>2</v>
      </c>
      <c r="H42">
        <v>6</v>
      </c>
      <c r="I42">
        <v>4</v>
      </c>
      <c r="J42">
        <v>0</v>
      </c>
      <c r="K42" t="s">
        <v>3</v>
      </c>
      <c r="L42" t="s">
        <v>1</v>
      </c>
      <c r="M42" t="s">
        <v>0</v>
      </c>
      <c r="N42" t="s">
        <v>2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 t="s">
        <v>3</v>
      </c>
      <c r="V42">
        <v>0.27</v>
      </c>
      <c r="W42" t="s">
        <v>1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 t="s">
        <v>3</v>
      </c>
      <c r="AF42" t="s">
        <v>1</v>
      </c>
      <c r="AG42">
        <v>1</v>
      </c>
      <c r="AH42" t="s">
        <v>3</v>
      </c>
    </row>
    <row r="43" spans="2:34" x14ac:dyDescent="0.35">
      <c r="B43" t="s">
        <v>4</v>
      </c>
      <c r="C43">
        <v>3</v>
      </c>
      <c r="D43">
        <v>20.573101000000001</v>
      </c>
      <c r="E43" t="s">
        <v>1</v>
      </c>
      <c r="F43" t="s">
        <v>4</v>
      </c>
      <c r="G43" t="s">
        <v>2</v>
      </c>
      <c r="H43">
        <v>6</v>
      </c>
      <c r="I43">
        <v>1</v>
      </c>
      <c r="J43">
        <v>1</v>
      </c>
      <c r="K43" t="s">
        <v>3</v>
      </c>
      <c r="L43" t="s">
        <v>1</v>
      </c>
      <c r="M43" t="s">
        <v>0</v>
      </c>
      <c r="N43" t="s">
        <v>2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 t="s">
        <v>3</v>
      </c>
      <c r="V43">
        <v>0.38</v>
      </c>
      <c r="W43" t="s">
        <v>1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 t="s">
        <v>3</v>
      </c>
      <c r="AF43" t="s">
        <v>1</v>
      </c>
      <c r="AG43">
        <v>1</v>
      </c>
      <c r="AH43" t="s">
        <v>3</v>
      </c>
    </row>
    <row r="44" spans="2:34" x14ac:dyDescent="0.35">
      <c r="B44" t="s">
        <v>4</v>
      </c>
      <c r="C44">
        <v>4</v>
      </c>
      <c r="D44">
        <v>27.225625999999998</v>
      </c>
      <c r="E44" t="s">
        <v>1</v>
      </c>
      <c r="F44" t="s">
        <v>4</v>
      </c>
      <c r="G44" t="s">
        <v>2</v>
      </c>
      <c r="H44">
        <v>6</v>
      </c>
      <c r="I44">
        <v>5</v>
      </c>
      <c r="J44">
        <v>1</v>
      </c>
      <c r="K44" t="s">
        <v>3</v>
      </c>
      <c r="L44" t="s">
        <v>1</v>
      </c>
      <c r="M44" t="s">
        <v>0</v>
      </c>
      <c r="N44" t="s">
        <v>2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 t="s">
        <v>3</v>
      </c>
      <c r="V44">
        <v>0.34</v>
      </c>
      <c r="W44" t="s">
        <v>1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 t="s">
        <v>3</v>
      </c>
      <c r="AF44" t="s">
        <v>1</v>
      </c>
      <c r="AG44">
        <v>1</v>
      </c>
      <c r="AH44" t="s">
        <v>3</v>
      </c>
    </row>
    <row r="45" spans="2:34" x14ac:dyDescent="0.35">
      <c r="B45" t="s">
        <v>0</v>
      </c>
      <c r="C45">
        <v>5</v>
      </c>
      <c r="D45">
        <v>27.225626999999999</v>
      </c>
      <c r="E45" t="s">
        <v>1</v>
      </c>
      <c r="F45" t="s">
        <v>0</v>
      </c>
      <c r="G45" t="s">
        <v>2</v>
      </c>
      <c r="H45">
        <v>6</v>
      </c>
      <c r="I45">
        <v>5</v>
      </c>
      <c r="J45">
        <v>0</v>
      </c>
      <c r="K45" t="s">
        <v>3</v>
      </c>
      <c r="L45" t="s">
        <v>1</v>
      </c>
      <c r="M45" t="s">
        <v>0</v>
      </c>
      <c r="N45" t="s">
        <v>2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 t="s">
        <v>3</v>
      </c>
      <c r="V45">
        <v>0.34</v>
      </c>
      <c r="W45" t="s">
        <v>1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 t="s">
        <v>3</v>
      </c>
      <c r="AF45" t="s">
        <v>1</v>
      </c>
      <c r="AG45">
        <v>1</v>
      </c>
      <c r="AH45" t="s">
        <v>3</v>
      </c>
    </row>
    <row r="46" spans="2:34" x14ac:dyDescent="0.35">
      <c r="B46" t="s">
        <v>0</v>
      </c>
      <c r="C46">
        <v>6</v>
      </c>
      <c r="D46">
        <v>35.779434999999999</v>
      </c>
      <c r="E46" t="s">
        <v>1</v>
      </c>
      <c r="F46" t="s">
        <v>0</v>
      </c>
      <c r="G46" t="s">
        <v>2</v>
      </c>
      <c r="H46">
        <v>6</v>
      </c>
      <c r="I46">
        <v>6</v>
      </c>
      <c r="J46">
        <v>0</v>
      </c>
      <c r="K46" t="s">
        <v>3</v>
      </c>
      <c r="L46" t="s">
        <v>1</v>
      </c>
      <c r="M46" t="s">
        <v>0</v>
      </c>
      <c r="N46" t="s">
        <v>2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 t="s">
        <v>3</v>
      </c>
      <c r="V46">
        <v>0.34</v>
      </c>
      <c r="W46" t="s">
        <v>1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 t="s">
        <v>3</v>
      </c>
      <c r="AF46" t="s">
        <v>1</v>
      </c>
      <c r="AG46">
        <v>1</v>
      </c>
      <c r="AH46" t="s">
        <v>3</v>
      </c>
    </row>
    <row r="47" spans="2:34" x14ac:dyDescent="0.35">
      <c r="B47" t="s">
        <v>4</v>
      </c>
      <c r="C47">
        <v>5</v>
      </c>
      <c r="D47">
        <v>35.779434999999999</v>
      </c>
      <c r="E47" t="s">
        <v>1</v>
      </c>
      <c r="F47" t="s">
        <v>4</v>
      </c>
      <c r="G47" t="s">
        <v>2</v>
      </c>
      <c r="H47">
        <v>6</v>
      </c>
      <c r="I47">
        <v>6</v>
      </c>
      <c r="J47">
        <v>1</v>
      </c>
      <c r="K47" t="s">
        <v>3</v>
      </c>
      <c r="L47" t="s">
        <v>1</v>
      </c>
      <c r="M47" t="s">
        <v>0</v>
      </c>
      <c r="N47" t="s">
        <v>2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 t="s">
        <v>3</v>
      </c>
      <c r="V47">
        <v>0.34</v>
      </c>
      <c r="W47" t="s">
        <v>1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 t="s">
        <v>3</v>
      </c>
      <c r="AF47" t="s">
        <v>1</v>
      </c>
      <c r="AG47">
        <v>1</v>
      </c>
      <c r="AH47" t="s">
        <v>3</v>
      </c>
    </row>
    <row r="48" spans="2:34" x14ac:dyDescent="0.35">
      <c r="B48" t="s">
        <v>0</v>
      </c>
      <c r="C48">
        <v>7</v>
      </c>
      <c r="D48">
        <v>46.228746999999998</v>
      </c>
      <c r="E48" t="s">
        <v>1</v>
      </c>
      <c r="F48" t="s">
        <v>0</v>
      </c>
      <c r="G48" t="s">
        <v>2</v>
      </c>
      <c r="H48">
        <v>6</v>
      </c>
      <c r="I48">
        <v>6</v>
      </c>
      <c r="J48">
        <v>0</v>
      </c>
      <c r="K48" t="s">
        <v>3</v>
      </c>
      <c r="L48" t="s">
        <v>1</v>
      </c>
      <c r="M48" t="s">
        <v>0</v>
      </c>
      <c r="N48" t="s">
        <v>2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 t="s">
        <v>3</v>
      </c>
      <c r="V48">
        <v>0.53</v>
      </c>
      <c r="W48" t="s">
        <v>1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 t="s">
        <v>3</v>
      </c>
      <c r="AF48" t="s">
        <v>1</v>
      </c>
      <c r="AG48">
        <v>1</v>
      </c>
      <c r="AH48" t="s">
        <v>3</v>
      </c>
    </row>
    <row r="49" spans="2:34" x14ac:dyDescent="0.35">
      <c r="B49" t="s">
        <v>4</v>
      </c>
      <c r="C49">
        <v>6</v>
      </c>
      <c r="D49">
        <v>46.228746999999998</v>
      </c>
      <c r="E49" t="s">
        <v>1</v>
      </c>
      <c r="F49" t="s">
        <v>4</v>
      </c>
      <c r="G49" t="s">
        <v>2</v>
      </c>
      <c r="H49">
        <v>6</v>
      </c>
      <c r="I49">
        <v>6</v>
      </c>
      <c r="J49">
        <v>1</v>
      </c>
      <c r="K49" t="s">
        <v>3</v>
      </c>
      <c r="L49" t="s">
        <v>1</v>
      </c>
      <c r="M49" t="s">
        <v>0</v>
      </c>
      <c r="N49" t="s">
        <v>2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 t="s">
        <v>3</v>
      </c>
      <c r="V49">
        <v>0.53</v>
      </c>
      <c r="W49" t="s">
        <v>1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 t="s">
        <v>3</v>
      </c>
      <c r="AF49" t="s">
        <v>1</v>
      </c>
      <c r="AG49">
        <v>1</v>
      </c>
      <c r="AH49" t="s">
        <v>3</v>
      </c>
    </row>
    <row r="50" spans="2:34" x14ac:dyDescent="0.35">
      <c r="B50" t="s">
        <v>4</v>
      </c>
      <c r="C50">
        <v>1</v>
      </c>
      <c r="D50">
        <v>15.841407999999999</v>
      </c>
      <c r="E50" t="s">
        <v>1</v>
      </c>
      <c r="F50" t="s">
        <v>4</v>
      </c>
      <c r="G50" t="s">
        <v>2</v>
      </c>
      <c r="H50">
        <v>7</v>
      </c>
      <c r="I50">
        <v>2</v>
      </c>
      <c r="J50">
        <v>1</v>
      </c>
      <c r="K50" t="s">
        <v>3</v>
      </c>
      <c r="L50" t="s">
        <v>1</v>
      </c>
      <c r="M50" t="s">
        <v>0</v>
      </c>
      <c r="N50" t="s">
        <v>2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 t="s">
        <v>3</v>
      </c>
      <c r="V50">
        <v>0.48</v>
      </c>
      <c r="W50" t="s">
        <v>1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 t="s">
        <v>3</v>
      </c>
      <c r="AF50" t="s">
        <v>1</v>
      </c>
      <c r="AG50">
        <v>1</v>
      </c>
      <c r="AH50" t="s">
        <v>3</v>
      </c>
    </row>
    <row r="51" spans="2:34" x14ac:dyDescent="0.35">
      <c r="B51" t="s">
        <v>4</v>
      </c>
      <c r="C51">
        <v>2</v>
      </c>
      <c r="D51">
        <v>16.366513999999999</v>
      </c>
      <c r="E51" t="s">
        <v>1</v>
      </c>
      <c r="F51" t="s">
        <v>4</v>
      </c>
      <c r="G51" t="s">
        <v>2</v>
      </c>
      <c r="H51">
        <v>7</v>
      </c>
      <c r="I51">
        <v>1</v>
      </c>
      <c r="J51">
        <v>1</v>
      </c>
      <c r="K51" t="s">
        <v>3</v>
      </c>
      <c r="L51" t="s">
        <v>1</v>
      </c>
      <c r="M51" t="s">
        <v>0</v>
      </c>
      <c r="N51" t="s">
        <v>2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 t="s">
        <v>3</v>
      </c>
      <c r="V51">
        <v>0.73</v>
      </c>
      <c r="W51" t="s">
        <v>1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 t="s">
        <v>3</v>
      </c>
      <c r="AF51" t="s">
        <v>1</v>
      </c>
      <c r="AG51">
        <v>1</v>
      </c>
      <c r="AH51" t="s">
        <v>3</v>
      </c>
    </row>
    <row r="52" spans="2:34" x14ac:dyDescent="0.35">
      <c r="B52" t="s">
        <v>0</v>
      </c>
      <c r="C52">
        <v>1</v>
      </c>
      <c r="D52">
        <v>17.439678000000001</v>
      </c>
      <c r="E52" t="s">
        <v>1</v>
      </c>
      <c r="F52" t="s">
        <v>0</v>
      </c>
      <c r="G52" t="s">
        <v>2</v>
      </c>
      <c r="H52">
        <v>7</v>
      </c>
      <c r="I52">
        <v>3</v>
      </c>
      <c r="J52">
        <v>0</v>
      </c>
      <c r="K52" t="s">
        <v>3</v>
      </c>
      <c r="L52" t="s">
        <v>1</v>
      </c>
      <c r="M52" t="s">
        <v>0</v>
      </c>
      <c r="N52" t="s">
        <v>2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 t="s">
        <v>3</v>
      </c>
      <c r="V52">
        <v>0.47</v>
      </c>
      <c r="W52" t="s">
        <v>1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 t="s">
        <v>3</v>
      </c>
      <c r="AF52" t="s">
        <v>1</v>
      </c>
      <c r="AG52">
        <v>1</v>
      </c>
      <c r="AH52" t="s">
        <v>3</v>
      </c>
    </row>
    <row r="53" spans="2:34" x14ac:dyDescent="0.35">
      <c r="B53" t="s">
        <v>0</v>
      </c>
      <c r="C53">
        <v>2</v>
      </c>
      <c r="D53">
        <v>19.779502999999998</v>
      </c>
      <c r="E53" t="s">
        <v>1</v>
      </c>
      <c r="F53" t="s">
        <v>0</v>
      </c>
      <c r="G53" t="s">
        <v>2</v>
      </c>
      <c r="H53">
        <v>7</v>
      </c>
      <c r="I53">
        <v>1</v>
      </c>
      <c r="J53">
        <v>0</v>
      </c>
      <c r="K53" t="s">
        <v>3</v>
      </c>
      <c r="L53" t="s">
        <v>1</v>
      </c>
      <c r="M53" t="s">
        <v>0</v>
      </c>
      <c r="N53" t="s">
        <v>2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 t="s">
        <v>3</v>
      </c>
      <c r="V53">
        <v>0.31</v>
      </c>
      <c r="W53" t="s">
        <v>1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 t="s">
        <v>3</v>
      </c>
      <c r="AF53" t="s">
        <v>1</v>
      </c>
      <c r="AG53">
        <v>1</v>
      </c>
      <c r="AH53" t="s">
        <v>3</v>
      </c>
    </row>
    <row r="54" spans="2:34" x14ac:dyDescent="0.35">
      <c r="B54" t="s">
        <v>4</v>
      </c>
      <c r="C54">
        <v>3</v>
      </c>
      <c r="D54">
        <v>19.911947999999999</v>
      </c>
      <c r="E54" t="s">
        <v>1</v>
      </c>
      <c r="F54" t="s">
        <v>4</v>
      </c>
      <c r="G54" t="s">
        <v>2</v>
      </c>
      <c r="H54">
        <v>7</v>
      </c>
      <c r="I54">
        <v>0</v>
      </c>
      <c r="J54">
        <v>1</v>
      </c>
      <c r="K54" t="s">
        <v>3</v>
      </c>
      <c r="L54" t="s">
        <v>1</v>
      </c>
      <c r="M54" t="s">
        <v>0</v>
      </c>
      <c r="N54" t="s">
        <v>2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 t="s">
        <v>3</v>
      </c>
      <c r="V54">
        <v>0.34</v>
      </c>
      <c r="W54" t="s">
        <v>1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 t="s">
        <v>3</v>
      </c>
      <c r="AF54" t="s">
        <v>1</v>
      </c>
      <c r="AG54">
        <v>1</v>
      </c>
      <c r="AH54" t="s">
        <v>3</v>
      </c>
    </row>
    <row r="55" spans="2:34" x14ac:dyDescent="0.35">
      <c r="B55" t="s">
        <v>4</v>
      </c>
      <c r="C55">
        <v>4</v>
      </c>
      <c r="D55">
        <v>24.573793999999999</v>
      </c>
      <c r="E55" t="s">
        <v>1</v>
      </c>
      <c r="F55" t="s">
        <v>4</v>
      </c>
      <c r="G55" t="s">
        <v>2</v>
      </c>
      <c r="H55">
        <v>7</v>
      </c>
      <c r="I55">
        <v>0</v>
      </c>
      <c r="J55">
        <v>1</v>
      </c>
      <c r="K55" t="s">
        <v>3</v>
      </c>
      <c r="L55" t="s">
        <v>1</v>
      </c>
      <c r="M55" t="s">
        <v>0</v>
      </c>
      <c r="N55" t="s">
        <v>2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 t="s">
        <v>3</v>
      </c>
      <c r="V55">
        <v>0.28000000000000003</v>
      </c>
      <c r="W55" t="s">
        <v>1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 t="s">
        <v>3</v>
      </c>
      <c r="AF55" t="s">
        <v>1</v>
      </c>
      <c r="AG55">
        <v>1</v>
      </c>
      <c r="AH55" t="s">
        <v>3</v>
      </c>
    </row>
    <row r="56" spans="2:34" x14ac:dyDescent="0.35">
      <c r="B56" t="s">
        <v>0</v>
      </c>
      <c r="C56">
        <v>3</v>
      </c>
      <c r="D56">
        <v>24.576961000000001</v>
      </c>
      <c r="E56" t="s">
        <v>1</v>
      </c>
      <c r="F56" t="s">
        <v>0</v>
      </c>
      <c r="G56" t="s">
        <v>2</v>
      </c>
      <c r="H56">
        <v>7</v>
      </c>
      <c r="I56">
        <v>1</v>
      </c>
      <c r="J56">
        <v>0</v>
      </c>
      <c r="K56" t="s">
        <v>3</v>
      </c>
      <c r="L56" t="s">
        <v>1</v>
      </c>
      <c r="M56" t="s">
        <v>0</v>
      </c>
      <c r="N56" t="s">
        <v>2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 t="s">
        <v>3</v>
      </c>
      <c r="V56">
        <v>0.45</v>
      </c>
      <c r="W56" t="s">
        <v>1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 t="s">
        <v>3</v>
      </c>
      <c r="AF56" t="s">
        <v>1</v>
      </c>
      <c r="AG56">
        <v>1</v>
      </c>
      <c r="AH56" t="s">
        <v>3</v>
      </c>
    </row>
    <row r="57" spans="2:34" x14ac:dyDescent="0.35">
      <c r="B57" t="s">
        <v>0</v>
      </c>
      <c r="C57">
        <v>4</v>
      </c>
      <c r="D57">
        <v>31.226626</v>
      </c>
      <c r="E57" t="s">
        <v>1</v>
      </c>
      <c r="F57" t="s">
        <v>0</v>
      </c>
      <c r="G57" t="s">
        <v>2</v>
      </c>
      <c r="H57">
        <v>7</v>
      </c>
      <c r="I57">
        <v>5</v>
      </c>
      <c r="J57">
        <v>0</v>
      </c>
      <c r="K57" t="s">
        <v>3</v>
      </c>
      <c r="L57" t="s">
        <v>1</v>
      </c>
      <c r="M57" t="s">
        <v>0</v>
      </c>
      <c r="N57" t="s">
        <v>2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 t="s">
        <v>3</v>
      </c>
      <c r="V57">
        <v>0.21</v>
      </c>
      <c r="W57" t="s">
        <v>1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 t="s">
        <v>3</v>
      </c>
      <c r="AF57" t="s">
        <v>1</v>
      </c>
      <c r="AG57">
        <v>1</v>
      </c>
      <c r="AH57" t="s">
        <v>3</v>
      </c>
    </row>
    <row r="58" spans="2:34" x14ac:dyDescent="0.35">
      <c r="B58" t="s">
        <v>4</v>
      </c>
      <c r="C58">
        <v>5</v>
      </c>
      <c r="D58">
        <v>31.226631000000001</v>
      </c>
      <c r="E58" t="s">
        <v>1</v>
      </c>
      <c r="F58" t="s">
        <v>4</v>
      </c>
      <c r="G58" t="s">
        <v>2</v>
      </c>
      <c r="H58">
        <v>7</v>
      </c>
      <c r="I58">
        <v>2</v>
      </c>
      <c r="J58">
        <v>1</v>
      </c>
      <c r="K58" t="s">
        <v>3</v>
      </c>
      <c r="L58" t="s">
        <v>1</v>
      </c>
      <c r="M58" t="s">
        <v>0</v>
      </c>
      <c r="N58" t="s">
        <v>2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 t="s">
        <v>3</v>
      </c>
      <c r="V58">
        <v>0.25</v>
      </c>
      <c r="W58" t="s">
        <v>1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 t="s">
        <v>3</v>
      </c>
      <c r="AF58" t="s">
        <v>1</v>
      </c>
      <c r="AG58">
        <v>1</v>
      </c>
      <c r="AH58" t="s">
        <v>3</v>
      </c>
    </row>
    <row r="59" spans="2:34" x14ac:dyDescent="0.35">
      <c r="B59" t="s">
        <v>0</v>
      </c>
      <c r="C59">
        <v>5</v>
      </c>
      <c r="D59">
        <v>39.781514000000001</v>
      </c>
      <c r="E59" t="s">
        <v>1</v>
      </c>
      <c r="F59" t="s">
        <v>0</v>
      </c>
      <c r="G59" t="s">
        <v>2</v>
      </c>
      <c r="H59">
        <v>7</v>
      </c>
      <c r="I59">
        <v>6</v>
      </c>
      <c r="J59">
        <v>0</v>
      </c>
      <c r="K59" t="s">
        <v>3</v>
      </c>
      <c r="L59" t="s">
        <v>1</v>
      </c>
      <c r="M59" t="s">
        <v>0</v>
      </c>
      <c r="N59" t="s">
        <v>2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 t="s">
        <v>3</v>
      </c>
      <c r="V59">
        <v>0.31</v>
      </c>
      <c r="W59" t="s">
        <v>1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 t="s">
        <v>3</v>
      </c>
      <c r="AF59" t="s">
        <v>1</v>
      </c>
      <c r="AG59">
        <v>1</v>
      </c>
      <c r="AH59" t="s">
        <v>3</v>
      </c>
    </row>
    <row r="60" spans="2:34" x14ac:dyDescent="0.35">
      <c r="B60" t="s">
        <v>4</v>
      </c>
      <c r="C60">
        <v>6</v>
      </c>
      <c r="D60">
        <v>39.781514999999999</v>
      </c>
      <c r="E60" t="s">
        <v>1</v>
      </c>
      <c r="F60" t="s">
        <v>4</v>
      </c>
      <c r="G60" t="s">
        <v>2</v>
      </c>
      <c r="H60">
        <v>7</v>
      </c>
      <c r="I60">
        <v>6</v>
      </c>
      <c r="J60">
        <v>1</v>
      </c>
      <c r="K60" t="s">
        <v>3</v>
      </c>
      <c r="L60" t="s">
        <v>1</v>
      </c>
      <c r="M60" t="s">
        <v>0</v>
      </c>
      <c r="N60" t="s">
        <v>2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 t="s">
        <v>3</v>
      </c>
      <c r="V60">
        <v>0.31</v>
      </c>
      <c r="W60" t="s">
        <v>1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 t="s">
        <v>3</v>
      </c>
      <c r="AF60" t="s">
        <v>1</v>
      </c>
      <c r="AG60">
        <v>1</v>
      </c>
      <c r="AH60" t="s">
        <v>3</v>
      </c>
    </row>
    <row r="61" spans="2:34" x14ac:dyDescent="0.35">
      <c r="B61" t="s">
        <v>0</v>
      </c>
      <c r="C61">
        <v>6</v>
      </c>
      <c r="D61">
        <v>50.233435999999998</v>
      </c>
      <c r="E61" t="s">
        <v>1</v>
      </c>
      <c r="F61" t="s">
        <v>0</v>
      </c>
      <c r="G61" t="s">
        <v>2</v>
      </c>
      <c r="H61">
        <v>7</v>
      </c>
      <c r="I61">
        <v>7</v>
      </c>
      <c r="J61">
        <v>0</v>
      </c>
      <c r="K61" t="s">
        <v>3</v>
      </c>
      <c r="L61" t="s">
        <v>1</v>
      </c>
      <c r="M61" t="s">
        <v>0</v>
      </c>
      <c r="N61" t="s">
        <v>2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 t="s">
        <v>3</v>
      </c>
      <c r="V61">
        <v>0.36</v>
      </c>
      <c r="W61" t="s">
        <v>1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 t="s">
        <v>3</v>
      </c>
      <c r="AF61" t="s">
        <v>1</v>
      </c>
      <c r="AG61">
        <v>1</v>
      </c>
      <c r="AH61" t="s">
        <v>3</v>
      </c>
    </row>
    <row r="62" spans="2:34" x14ac:dyDescent="0.35">
      <c r="B62" t="s">
        <v>4</v>
      </c>
      <c r="C62">
        <v>7</v>
      </c>
      <c r="D62">
        <v>50.233435999999998</v>
      </c>
      <c r="E62" t="s">
        <v>1</v>
      </c>
      <c r="F62" t="s">
        <v>4</v>
      </c>
      <c r="G62" t="s">
        <v>2</v>
      </c>
      <c r="H62">
        <v>7</v>
      </c>
      <c r="I62">
        <v>7</v>
      </c>
      <c r="J62">
        <v>1</v>
      </c>
      <c r="K62" t="s">
        <v>3</v>
      </c>
      <c r="L62" t="s">
        <v>1</v>
      </c>
      <c r="M62" t="s">
        <v>0</v>
      </c>
      <c r="N62" t="s">
        <v>2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 t="s">
        <v>3</v>
      </c>
      <c r="V62">
        <v>0.36</v>
      </c>
      <c r="W62" t="s">
        <v>1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 t="s">
        <v>3</v>
      </c>
      <c r="AF62" t="s">
        <v>1</v>
      </c>
      <c r="AG62">
        <v>1</v>
      </c>
      <c r="AH62" t="s">
        <v>3</v>
      </c>
    </row>
    <row r="63" spans="2:34" x14ac:dyDescent="0.35">
      <c r="B63" t="s">
        <v>0</v>
      </c>
      <c r="C63">
        <v>7</v>
      </c>
      <c r="D63">
        <v>62.577288000000003</v>
      </c>
      <c r="E63" t="s">
        <v>1</v>
      </c>
      <c r="F63" t="s">
        <v>0</v>
      </c>
      <c r="G63" t="s">
        <v>2</v>
      </c>
      <c r="H63">
        <v>7</v>
      </c>
      <c r="I63">
        <v>7</v>
      </c>
      <c r="J63">
        <v>0</v>
      </c>
      <c r="K63" t="s">
        <v>3</v>
      </c>
      <c r="L63" t="s">
        <v>1</v>
      </c>
      <c r="M63" t="s">
        <v>0</v>
      </c>
      <c r="N63" t="s">
        <v>2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 t="s">
        <v>3</v>
      </c>
      <c r="V63">
        <v>0.47</v>
      </c>
      <c r="W63" t="s">
        <v>1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 t="s">
        <v>3</v>
      </c>
      <c r="AF63" t="s">
        <v>1</v>
      </c>
      <c r="AG63">
        <v>1</v>
      </c>
      <c r="AH63" t="s">
        <v>3</v>
      </c>
    </row>
    <row r="64" spans="2:34" x14ac:dyDescent="0.35">
      <c r="B64" t="s">
        <v>4</v>
      </c>
      <c r="C64">
        <v>8</v>
      </c>
      <c r="D64">
        <v>62.577288000000003</v>
      </c>
      <c r="E64" t="s">
        <v>1</v>
      </c>
      <c r="F64" t="s">
        <v>4</v>
      </c>
      <c r="G64" t="s">
        <v>2</v>
      </c>
      <c r="H64">
        <v>7</v>
      </c>
      <c r="I64">
        <v>7</v>
      </c>
      <c r="J64">
        <v>1</v>
      </c>
      <c r="K64" t="s">
        <v>3</v>
      </c>
      <c r="L64" t="s">
        <v>1</v>
      </c>
      <c r="M64" t="s">
        <v>0</v>
      </c>
      <c r="N64" t="s">
        <v>2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 t="s">
        <v>3</v>
      </c>
      <c r="V64">
        <v>0.47</v>
      </c>
      <c r="W64" t="s">
        <v>1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 t="s">
        <v>3</v>
      </c>
      <c r="AF64" t="s">
        <v>1</v>
      </c>
      <c r="AG64">
        <v>1</v>
      </c>
      <c r="AH64" t="s">
        <v>3</v>
      </c>
    </row>
    <row r="65" spans="2:34" x14ac:dyDescent="0.35">
      <c r="B65" t="s">
        <v>0</v>
      </c>
      <c r="C65">
        <v>1</v>
      </c>
      <c r="D65">
        <v>20.303227</v>
      </c>
      <c r="E65" t="s">
        <v>1</v>
      </c>
      <c r="F65" t="s">
        <v>0</v>
      </c>
      <c r="G65" t="s">
        <v>2</v>
      </c>
      <c r="H65">
        <v>8</v>
      </c>
      <c r="I65">
        <v>2</v>
      </c>
      <c r="J65">
        <v>0</v>
      </c>
      <c r="K65" t="s">
        <v>3</v>
      </c>
      <c r="L65" t="s">
        <v>1</v>
      </c>
      <c r="M65" t="s">
        <v>0</v>
      </c>
      <c r="N65" t="s">
        <v>2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 t="s">
        <v>3</v>
      </c>
      <c r="V65">
        <v>0.35</v>
      </c>
      <c r="W65" t="s">
        <v>1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 t="s">
        <v>3</v>
      </c>
      <c r="AF65" t="s">
        <v>1</v>
      </c>
      <c r="AG65">
        <v>1</v>
      </c>
      <c r="AH65" t="s">
        <v>3</v>
      </c>
    </row>
    <row r="66" spans="2:34" x14ac:dyDescent="0.35">
      <c r="B66" t="s">
        <v>0</v>
      </c>
      <c r="C66">
        <v>2</v>
      </c>
      <c r="D66">
        <v>20.740525999999999</v>
      </c>
      <c r="E66" t="s">
        <v>1</v>
      </c>
      <c r="F66" t="s">
        <v>0</v>
      </c>
      <c r="G66" t="s">
        <v>2</v>
      </c>
      <c r="H66">
        <v>8</v>
      </c>
      <c r="I66">
        <v>1</v>
      </c>
      <c r="J66">
        <v>0</v>
      </c>
      <c r="K66" t="s">
        <v>3</v>
      </c>
      <c r="L66" t="s">
        <v>1</v>
      </c>
      <c r="M66" t="s">
        <v>0</v>
      </c>
      <c r="N66" t="s">
        <v>2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 t="s">
        <v>3</v>
      </c>
      <c r="V66">
        <v>0.65</v>
      </c>
      <c r="W66" t="s">
        <v>1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 t="s">
        <v>3</v>
      </c>
      <c r="AF66" t="s">
        <v>1</v>
      </c>
      <c r="AG66">
        <v>1</v>
      </c>
      <c r="AH66" t="s">
        <v>3</v>
      </c>
    </row>
    <row r="67" spans="2:34" x14ac:dyDescent="0.35">
      <c r="B67" t="s">
        <v>4</v>
      </c>
      <c r="C67">
        <v>1</v>
      </c>
      <c r="D67">
        <v>22.130071000000001</v>
      </c>
      <c r="E67" t="s">
        <v>1</v>
      </c>
      <c r="F67" t="s">
        <v>4</v>
      </c>
      <c r="G67" t="s">
        <v>2</v>
      </c>
      <c r="H67">
        <v>8</v>
      </c>
      <c r="I67">
        <v>3</v>
      </c>
      <c r="J67">
        <v>1</v>
      </c>
      <c r="K67" t="s">
        <v>3</v>
      </c>
      <c r="L67" t="s">
        <v>1</v>
      </c>
      <c r="M67" t="s">
        <v>0</v>
      </c>
      <c r="N67" t="s">
        <v>2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 t="s">
        <v>3</v>
      </c>
      <c r="V67">
        <v>0.5</v>
      </c>
      <c r="W67" t="s">
        <v>1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 t="s">
        <v>3</v>
      </c>
      <c r="AF67" t="s">
        <v>1</v>
      </c>
      <c r="AG67">
        <v>1</v>
      </c>
      <c r="AH67" t="s">
        <v>3</v>
      </c>
    </row>
    <row r="68" spans="2:34" x14ac:dyDescent="0.35">
      <c r="B68" t="s">
        <v>4</v>
      </c>
      <c r="C68">
        <v>2</v>
      </c>
      <c r="D68">
        <v>24.325092999999999</v>
      </c>
      <c r="E68" t="s">
        <v>1</v>
      </c>
      <c r="F68" t="s">
        <v>4</v>
      </c>
      <c r="G68" t="s">
        <v>2</v>
      </c>
      <c r="H68">
        <v>8</v>
      </c>
      <c r="I68">
        <v>2</v>
      </c>
      <c r="J68">
        <v>1</v>
      </c>
      <c r="K68" t="s">
        <v>3</v>
      </c>
      <c r="L68" t="s">
        <v>1</v>
      </c>
      <c r="M68" t="s">
        <v>0</v>
      </c>
      <c r="N68" t="s">
        <v>2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 t="s">
        <v>3</v>
      </c>
      <c r="V68">
        <v>0.47</v>
      </c>
      <c r="W68" t="s">
        <v>1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 t="s">
        <v>3</v>
      </c>
      <c r="AF68" t="s">
        <v>1</v>
      </c>
      <c r="AG68">
        <v>1</v>
      </c>
      <c r="AH68" t="s">
        <v>3</v>
      </c>
    </row>
    <row r="69" spans="2:34" x14ac:dyDescent="0.35">
      <c r="B69" t="s">
        <v>0</v>
      </c>
      <c r="C69">
        <v>3</v>
      </c>
      <c r="D69">
        <v>24.546216000000001</v>
      </c>
      <c r="E69" t="s">
        <v>1</v>
      </c>
      <c r="F69" t="s">
        <v>0</v>
      </c>
      <c r="G69" t="s">
        <v>2</v>
      </c>
      <c r="H69">
        <v>8</v>
      </c>
      <c r="I69">
        <v>4</v>
      </c>
      <c r="J69">
        <v>0</v>
      </c>
      <c r="K69" t="s">
        <v>3</v>
      </c>
      <c r="L69" t="s">
        <v>1</v>
      </c>
      <c r="M69" t="s">
        <v>0</v>
      </c>
      <c r="N69" t="s">
        <v>2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 t="s">
        <v>3</v>
      </c>
      <c r="V69">
        <v>0.33</v>
      </c>
      <c r="W69" t="s">
        <v>1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 t="s">
        <v>3</v>
      </c>
      <c r="AF69" t="s">
        <v>1</v>
      </c>
      <c r="AG69">
        <v>1</v>
      </c>
      <c r="AH69" t="s">
        <v>3</v>
      </c>
    </row>
    <row r="70" spans="2:34" x14ac:dyDescent="0.35">
      <c r="B70" t="s">
        <v>0</v>
      </c>
      <c r="C70">
        <v>4</v>
      </c>
      <c r="D70">
        <v>29.145571</v>
      </c>
      <c r="E70" t="s">
        <v>1</v>
      </c>
      <c r="F70" t="s">
        <v>0</v>
      </c>
      <c r="G70" t="s">
        <v>2</v>
      </c>
      <c r="H70">
        <v>8</v>
      </c>
      <c r="I70">
        <v>0</v>
      </c>
      <c r="J70">
        <v>0</v>
      </c>
      <c r="K70" t="s">
        <v>3</v>
      </c>
      <c r="L70" t="s">
        <v>1</v>
      </c>
      <c r="M70" t="s">
        <v>0</v>
      </c>
      <c r="N70" t="s">
        <v>2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 t="s">
        <v>3</v>
      </c>
      <c r="V70">
        <v>0.35</v>
      </c>
      <c r="W70" t="s">
        <v>1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 t="s">
        <v>3</v>
      </c>
      <c r="AF70" t="s">
        <v>1</v>
      </c>
      <c r="AG70">
        <v>1</v>
      </c>
      <c r="AH70" t="s">
        <v>3</v>
      </c>
    </row>
    <row r="71" spans="2:34" x14ac:dyDescent="0.35">
      <c r="B71" t="s">
        <v>4</v>
      </c>
      <c r="C71">
        <v>3</v>
      </c>
      <c r="D71">
        <v>29.152892000000001</v>
      </c>
      <c r="E71" t="s">
        <v>1</v>
      </c>
      <c r="F71" t="s">
        <v>4</v>
      </c>
      <c r="G71" t="s">
        <v>2</v>
      </c>
      <c r="H71">
        <v>8</v>
      </c>
      <c r="I71">
        <v>1</v>
      </c>
      <c r="J71">
        <v>1</v>
      </c>
      <c r="K71" t="s">
        <v>3</v>
      </c>
      <c r="L71" t="s">
        <v>1</v>
      </c>
      <c r="M71" t="s">
        <v>0</v>
      </c>
      <c r="N71" t="s">
        <v>2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 t="s">
        <v>3</v>
      </c>
      <c r="V71">
        <v>0.44</v>
      </c>
      <c r="W71" t="s">
        <v>1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 t="s">
        <v>3</v>
      </c>
      <c r="AF71" t="s">
        <v>1</v>
      </c>
      <c r="AG71">
        <v>1</v>
      </c>
      <c r="AH71" t="s">
        <v>3</v>
      </c>
    </row>
    <row r="72" spans="2:34" x14ac:dyDescent="0.35">
      <c r="B72" t="s">
        <v>4</v>
      </c>
      <c r="C72">
        <v>4</v>
      </c>
      <c r="D72">
        <v>35.796632000000002</v>
      </c>
      <c r="E72" t="s">
        <v>1</v>
      </c>
      <c r="F72" t="s">
        <v>4</v>
      </c>
      <c r="G72" t="s">
        <v>2</v>
      </c>
      <c r="H72">
        <v>8</v>
      </c>
      <c r="I72">
        <v>1</v>
      </c>
      <c r="J72">
        <v>1</v>
      </c>
      <c r="K72" t="s">
        <v>3</v>
      </c>
      <c r="L72" t="s">
        <v>1</v>
      </c>
      <c r="M72" t="s">
        <v>0</v>
      </c>
      <c r="N72" t="s">
        <v>2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 t="s">
        <v>3</v>
      </c>
      <c r="V72">
        <v>0.28999999999999998</v>
      </c>
      <c r="W72" t="s">
        <v>1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 t="s">
        <v>3</v>
      </c>
      <c r="AF72" t="s">
        <v>1</v>
      </c>
      <c r="AG72">
        <v>1</v>
      </c>
      <c r="AH72" t="s">
        <v>3</v>
      </c>
    </row>
    <row r="73" spans="2:34" x14ac:dyDescent="0.35">
      <c r="B73" t="s">
        <v>0</v>
      </c>
      <c r="C73">
        <v>5</v>
      </c>
      <c r="D73">
        <v>35.796655000000001</v>
      </c>
      <c r="E73" t="s">
        <v>1</v>
      </c>
      <c r="F73" t="s">
        <v>0</v>
      </c>
      <c r="G73" t="s">
        <v>2</v>
      </c>
      <c r="H73">
        <v>8</v>
      </c>
      <c r="I73">
        <v>6</v>
      </c>
      <c r="J73">
        <v>0</v>
      </c>
      <c r="K73" t="s">
        <v>3</v>
      </c>
      <c r="L73" t="s">
        <v>1</v>
      </c>
      <c r="M73" t="s">
        <v>0</v>
      </c>
      <c r="N73" t="s">
        <v>2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 t="s">
        <v>3</v>
      </c>
      <c r="V73">
        <v>0.26</v>
      </c>
      <c r="W73" t="s">
        <v>1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 t="s">
        <v>3</v>
      </c>
      <c r="AF73" t="s">
        <v>1</v>
      </c>
      <c r="AG73">
        <v>1</v>
      </c>
      <c r="AH73" t="s">
        <v>3</v>
      </c>
    </row>
    <row r="74" spans="2:34" x14ac:dyDescent="0.35">
      <c r="B74" t="s">
        <v>4</v>
      </c>
      <c r="C74">
        <v>5</v>
      </c>
      <c r="D74">
        <v>44.351933000000002</v>
      </c>
      <c r="E74" t="s">
        <v>1</v>
      </c>
      <c r="F74" t="s">
        <v>4</v>
      </c>
      <c r="G74" t="s">
        <v>2</v>
      </c>
      <c r="H74">
        <v>8</v>
      </c>
      <c r="I74">
        <v>7</v>
      </c>
      <c r="J74">
        <v>1</v>
      </c>
      <c r="K74" t="s">
        <v>3</v>
      </c>
      <c r="L74" t="s">
        <v>1</v>
      </c>
      <c r="M74" t="s">
        <v>0</v>
      </c>
      <c r="N74" t="s">
        <v>2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 t="s">
        <v>3</v>
      </c>
      <c r="V74">
        <v>0.23</v>
      </c>
      <c r="W74" t="s">
        <v>1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 t="s">
        <v>3</v>
      </c>
      <c r="AF74" t="s">
        <v>1</v>
      </c>
      <c r="AG74">
        <v>1</v>
      </c>
      <c r="AH74" t="s">
        <v>3</v>
      </c>
    </row>
    <row r="75" spans="2:34" x14ac:dyDescent="0.35">
      <c r="B75" t="s">
        <v>0</v>
      </c>
      <c r="C75">
        <v>6</v>
      </c>
      <c r="D75">
        <v>44.351934999999997</v>
      </c>
      <c r="E75" t="s">
        <v>1</v>
      </c>
      <c r="F75" t="s">
        <v>0</v>
      </c>
      <c r="G75" t="s">
        <v>2</v>
      </c>
      <c r="H75">
        <v>8</v>
      </c>
      <c r="I75">
        <v>7</v>
      </c>
      <c r="J75">
        <v>0</v>
      </c>
      <c r="K75" t="s">
        <v>3</v>
      </c>
      <c r="L75" t="s">
        <v>1</v>
      </c>
      <c r="M75" t="s">
        <v>0</v>
      </c>
      <c r="N75" t="s">
        <v>2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 t="s">
        <v>3</v>
      </c>
      <c r="V75">
        <v>0.23</v>
      </c>
      <c r="W75" t="s">
        <v>1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 t="s">
        <v>3</v>
      </c>
      <c r="AF75" t="s">
        <v>1</v>
      </c>
      <c r="AG75">
        <v>1</v>
      </c>
      <c r="AH75" t="s">
        <v>3</v>
      </c>
    </row>
    <row r="76" spans="2:34" x14ac:dyDescent="0.35">
      <c r="B76" t="s">
        <v>0</v>
      </c>
      <c r="C76">
        <v>7</v>
      </c>
      <c r="D76">
        <v>54.806289999999997</v>
      </c>
      <c r="E76" t="s">
        <v>1</v>
      </c>
      <c r="F76" t="s">
        <v>0</v>
      </c>
      <c r="G76" t="s">
        <v>2</v>
      </c>
      <c r="H76">
        <v>8</v>
      </c>
      <c r="I76">
        <v>7</v>
      </c>
      <c r="J76">
        <v>0</v>
      </c>
      <c r="K76" t="s">
        <v>3</v>
      </c>
      <c r="L76" t="s">
        <v>1</v>
      </c>
      <c r="M76" t="s">
        <v>0</v>
      </c>
      <c r="N76" t="s">
        <v>2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 t="s">
        <v>3</v>
      </c>
      <c r="V76">
        <v>0.28000000000000003</v>
      </c>
      <c r="W76" t="s">
        <v>1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 t="s">
        <v>3</v>
      </c>
      <c r="AF76" t="s">
        <v>1</v>
      </c>
      <c r="AG76">
        <v>1</v>
      </c>
      <c r="AH76" t="s">
        <v>3</v>
      </c>
    </row>
    <row r="77" spans="2:34" x14ac:dyDescent="0.35">
      <c r="B77" t="s">
        <v>4</v>
      </c>
      <c r="C77">
        <v>6</v>
      </c>
      <c r="D77">
        <v>54.806289999999997</v>
      </c>
      <c r="E77" t="s">
        <v>1</v>
      </c>
      <c r="F77" t="s">
        <v>4</v>
      </c>
      <c r="G77" t="s">
        <v>2</v>
      </c>
      <c r="H77">
        <v>8</v>
      </c>
      <c r="I77">
        <v>7</v>
      </c>
      <c r="J77">
        <v>1</v>
      </c>
      <c r="K77" t="s">
        <v>3</v>
      </c>
      <c r="L77" t="s">
        <v>1</v>
      </c>
      <c r="M77" t="s">
        <v>0</v>
      </c>
      <c r="N77" t="s">
        <v>2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 t="s">
        <v>3</v>
      </c>
      <c r="V77">
        <v>0.28000000000000003</v>
      </c>
      <c r="W77" t="s">
        <v>1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 t="s">
        <v>3</v>
      </c>
      <c r="AF77" t="s">
        <v>1</v>
      </c>
      <c r="AG77">
        <v>1</v>
      </c>
      <c r="AH77" t="s">
        <v>3</v>
      </c>
    </row>
    <row r="78" spans="2:34" x14ac:dyDescent="0.35">
      <c r="B78" t="s">
        <v>0</v>
      </c>
      <c r="C78">
        <v>8</v>
      </c>
      <c r="D78">
        <v>67.153992000000002</v>
      </c>
      <c r="E78" t="s">
        <v>1</v>
      </c>
      <c r="F78" t="s">
        <v>0</v>
      </c>
      <c r="G78" t="s">
        <v>2</v>
      </c>
      <c r="H78">
        <v>8</v>
      </c>
      <c r="I78">
        <v>8</v>
      </c>
      <c r="J78">
        <v>0</v>
      </c>
      <c r="K78" t="s">
        <v>3</v>
      </c>
      <c r="L78" t="s">
        <v>1</v>
      </c>
      <c r="M78" t="s">
        <v>0</v>
      </c>
      <c r="N78" t="s">
        <v>2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 t="s">
        <v>3</v>
      </c>
      <c r="V78">
        <v>0.37</v>
      </c>
      <c r="W78" t="s">
        <v>1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 t="s">
        <v>3</v>
      </c>
      <c r="AF78" t="s">
        <v>1</v>
      </c>
      <c r="AG78">
        <v>1</v>
      </c>
      <c r="AH78" t="s">
        <v>3</v>
      </c>
    </row>
    <row r="79" spans="2:34" x14ac:dyDescent="0.35">
      <c r="B79" t="s">
        <v>4</v>
      </c>
      <c r="C79">
        <v>7</v>
      </c>
      <c r="D79">
        <v>67.153992000000002</v>
      </c>
      <c r="E79" t="s">
        <v>1</v>
      </c>
      <c r="F79" t="s">
        <v>4</v>
      </c>
      <c r="G79" t="s">
        <v>2</v>
      </c>
      <c r="H79">
        <v>8</v>
      </c>
      <c r="I79">
        <v>8</v>
      </c>
      <c r="J79">
        <v>1</v>
      </c>
      <c r="K79" t="s">
        <v>3</v>
      </c>
      <c r="L79" t="s">
        <v>1</v>
      </c>
      <c r="M79" t="s">
        <v>0</v>
      </c>
      <c r="N79" t="s">
        <v>2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 t="s">
        <v>3</v>
      </c>
      <c r="V79">
        <v>0.37</v>
      </c>
      <c r="W79" t="s">
        <v>1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 t="s">
        <v>3</v>
      </c>
      <c r="AF79" t="s">
        <v>1</v>
      </c>
      <c r="AG79">
        <v>1</v>
      </c>
      <c r="AH79" t="s">
        <v>3</v>
      </c>
    </row>
    <row r="80" spans="2:34" x14ac:dyDescent="0.35">
      <c r="B80" t="s">
        <v>0</v>
      </c>
      <c r="C80">
        <v>9</v>
      </c>
      <c r="D80">
        <v>81.389534999999995</v>
      </c>
      <c r="E80" t="s">
        <v>1</v>
      </c>
      <c r="F80" t="s">
        <v>0</v>
      </c>
      <c r="G80" t="s">
        <v>2</v>
      </c>
      <c r="H80">
        <v>8</v>
      </c>
      <c r="I80">
        <v>8</v>
      </c>
      <c r="J80">
        <v>0</v>
      </c>
      <c r="K80" t="s">
        <v>3</v>
      </c>
      <c r="L80" t="s">
        <v>1</v>
      </c>
      <c r="M80" t="s">
        <v>0</v>
      </c>
      <c r="N80" t="s">
        <v>2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 t="s">
        <v>3</v>
      </c>
      <c r="V80">
        <v>0.43</v>
      </c>
      <c r="W80" t="s">
        <v>1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 t="s">
        <v>3</v>
      </c>
      <c r="AF80" t="s">
        <v>1</v>
      </c>
      <c r="AG80">
        <v>1</v>
      </c>
      <c r="AH80" t="s">
        <v>3</v>
      </c>
    </row>
    <row r="81" spans="2:34" x14ac:dyDescent="0.35">
      <c r="B81" t="s">
        <v>4</v>
      </c>
      <c r="C81">
        <v>8</v>
      </c>
      <c r="D81">
        <v>81.389534999999995</v>
      </c>
      <c r="E81" t="s">
        <v>1</v>
      </c>
      <c r="F81" t="s">
        <v>4</v>
      </c>
      <c r="G81" t="s">
        <v>2</v>
      </c>
      <c r="H81">
        <v>8</v>
      </c>
      <c r="I81">
        <v>8</v>
      </c>
      <c r="J81">
        <v>1</v>
      </c>
      <c r="K81" t="s">
        <v>3</v>
      </c>
      <c r="L81" t="s">
        <v>1</v>
      </c>
      <c r="M81" t="s">
        <v>0</v>
      </c>
      <c r="N81" t="s">
        <v>2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 t="s">
        <v>3</v>
      </c>
      <c r="V81">
        <v>0.43</v>
      </c>
      <c r="W81" t="s">
        <v>1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 t="s">
        <v>3</v>
      </c>
      <c r="AF81" t="s">
        <v>1</v>
      </c>
      <c r="AG81">
        <v>1</v>
      </c>
      <c r="AH81" t="s">
        <v>3</v>
      </c>
    </row>
    <row r="82" spans="2:34" x14ac:dyDescent="0.35">
      <c r="B82" t="s">
        <v>4</v>
      </c>
      <c r="C82">
        <v>1</v>
      </c>
      <c r="D82">
        <v>25.291878000000001</v>
      </c>
      <c r="E82" t="s">
        <v>1</v>
      </c>
      <c r="F82" t="s">
        <v>4</v>
      </c>
      <c r="G82" t="s">
        <v>2</v>
      </c>
      <c r="H82">
        <v>9</v>
      </c>
      <c r="I82">
        <v>3</v>
      </c>
      <c r="J82">
        <v>1</v>
      </c>
      <c r="K82" t="s">
        <v>3</v>
      </c>
      <c r="L82" t="s">
        <v>1</v>
      </c>
      <c r="M82" t="s">
        <v>0</v>
      </c>
      <c r="N82" t="s">
        <v>2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 t="s">
        <v>3</v>
      </c>
      <c r="V82">
        <v>0.34</v>
      </c>
      <c r="W82" t="s">
        <v>1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 t="s">
        <v>3</v>
      </c>
      <c r="AF82" t="s">
        <v>1</v>
      </c>
      <c r="AG82">
        <v>1</v>
      </c>
      <c r="AH82" t="s">
        <v>3</v>
      </c>
    </row>
    <row r="83" spans="2:34" x14ac:dyDescent="0.35">
      <c r="B83" t="s">
        <v>4</v>
      </c>
      <c r="C83">
        <v>2</v>
      </c>
      <c r="D83">
        <v>25.646605999999998</v>
      </c>
      <c r="E83" t="s">
        <v>1</v>
      </c>
      <c r="F83" t="s">
        <v>4</v>
      </c>
      <c r="G83" t="s">
        <v>2</v>
      </c>
      <c r="H83">
        <v>9</v>
      </c>
      <c r="I83">
        <v>1</v>
      </c>
      <c r="J83">
        <v>1</v>
      </c>
      <c r="K83" t="s">
        <v>3</v>
      </c>
      <c r="L83" t="s">
        <v>1</v>
      </c>
      <c r="M83" t="s">
        <v>0</v>
      </c>
      <c r="N83" t="s">
        <v>2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 t="s">
        <v>3</v>
      </c>
      <c r="V83">
        <v>0.38</v>
      </c>
      <c r="W83" t="s">
        <v>1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 t="s">
        <v>3</v>
      </c>
      <c r="AF83" t="s">
        <v>1</v>
      </c>
      <c r="AG83">
        <v>1</v>
      </c>
      <c r="AH83" t="s">
        <v>3</v>
      </c>
    </row>
    <row r="84" spans="2:34" x14ac:dyDescent="0.35">
      <c r="B84" t="s">
        <v>0</v>
      </c>
      <c r="C84">
        <v>1</v>
      </c>
      <c r="D84">
        <v>27.394378</v>
      </c>
      <c r="E84" t="s">
        <v>1</v>
      </c>
      <c r="F84" t="s">
        <v>0</v>
      </c>
      <c r="G84" t="s">
        <v>2</v>
      </c>
      <c r="H84">
        <v>9</v>
      </c>
      <c r="I84">
        <v>3</v>
      </c>
      <c r="J84">
        <v>0</v>
      </c>
      <c r="K84" t="s">
        <v>3</v>
      </c>
      <c r="L84" t="s">
        <v>1</v>
      </c>
      <c r="M84" t="s">
        <v>0</v>
      </c>
      <c r="N84" t="s">
        <v>2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 t="s">
        <v>3</v>
      </c>
      <c r="V84">
        <v>0.44</v>
      </c>
      <c r="W84" t="s">
        <v>1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 t="s">
        <v>3</v>
      </c>
      <c r="AF84" t="s">
        <v>1</v>
      </c>
      <c r="AG84">
        <v>1</v>
      </c>
      <c r="AH84" t="s">
        <v>3</v>
      </c>
    </row>
    <row r="85" spans="2:34" x14ac:dyDescent="0.35">
      <c r="B85" t="s">
        <v>0</v>
      </c>
      <c r="C85">
        <v>2</v>
      </c>
      <c r="D85">
        <v>29.428861999999999</v>
      </c>
      <c r="E85" t="s">
        <v>1</v>
      </c>
      <c r="F85" t="s">
        <v>0</v>
      </c>
      <c r="G85" t="s">
        <v>2</v>
      </c>
      <c r="H85">
        <v>9</v>
      </c>
      <c r="I85">
        <v>2</v>
      </c>
      <c r="J85">
        <v>0</v>
      </c>
      <c r="K85" t="s">
        <v>3</v>
      </c>
      <c r="L85" t="s">
        <v>1</v>
      </c>
      <c r="M85" t="s">
        <v>0</v>
      </c>
      <c r="N85" t="s">
        <v>2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 t="s">
        <v>3</v>
      </c>
      <c r="V85">
        <v>0.51</v>
      </c>
      <c r="W85" t="s">
        <v>1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 t="s">
        <v>3</v>
      </c>
      <c r="AF85" t="s">
        <v>1</v>
      </c>
      <c r="AG85">
        <v>1</v>
      </c>
      <c r="AH85" t="s">
        <v>3</v>
      </c>
    </row>
    <row r="86" spans="2:34" x14ac:dyDescent="0.35">
      <c r="B86" t="s">
        <v>4</v>
      </c>
      <c r="C86">
        <v>3</v>
      </c>
      <c r="D86">
        <v>29.774688000000001</v>
      </c>
      <c r="E86" t="s">
        <v>1</v>
      </c>
      <c r="F86" t="s">
        <v>4</v>
      </c>
      <c r="G86" t="s">
        <v>2</v>
      </c>
      <c r="H86">
        <v>9</v>
      </c>
      <c r="I86">
        <v>4</v>
      </c>
      <c r="J86">
        <v>1</v>
      </c>
      <c r="K86" t="s">
        <v>3</v>
      </c>
      <c r="L86" t="s">
        <v>1</v>
      </c>
      <c r="M86" t="s">
        <v>0</v>
      </c>
      <c r="N86" t="s">
        <v>2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 t="s">
        <v>3</v>
      </c>
      <c r="V86">
        <v>0.28999999999999998</v>
      </c>
      <c r="W86" t="s">
        <v>1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 t="s">
        <v>3</v>
      </c>
      <c r="AF86" t="s">
        <v>1</v>
      </c>
      <c r="AG86">
        <v>1</v>
      </c>
      <c r="AH86" t="s">
        <v>3</v>
      </c>
    </row>
    <row r="87" spans="2:34" x14ac:dyDescent="0.35">
      <c r="B87" t="s">
        <v>4</v>
      </c>
      <c r="C87">
        <v>4</v>
      </c>
      <c r="D87">
        <v>34.286619999999999</v>
      </c>
      <c r="E87" t="s">
        <v>1</v>
      </c>
      <c r="F87" t="s">
        <v>4</v>
      </c>
      <c r="G87" t="s">
        <v>2</v>
      </c>
      <c r="H87">
        <v>9</v>
      </c>
      <c r="I87">
        <v>0</v>
      </c>
      <c r="J87">
        <v>1</v>
      </c>
      <c r="K87" t="s">
        <v>3</v>
      </c>
      <c r="L87" t="s">
        <v>1</v>
      </c>
      <c r="M87" t="s">
        <v>0</v>
      </c>
      <c r="N87" t="s">
        <v>2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 t="s">
        <v>3</v>
      </c>
      <c r="V87">
        <v>0.33</v>
      </c>
      <c r="W87" t="s">
        <v>1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 t="s">
        <v>3</v>
      </c>
      <c r="AF87" t="s">
        <v>1</v>
      </c>
      <c r="AG87">
        <v>1</v>
      </c>
      <c r="AH87" t="s">
        <v>3</v>
      </c>
    </row>
    <row r="88" spans="2:34" x14ac:dyDescent="0.35">
      <c r="B88" t="s">
        <v>0</v>
      </c>
      <c r="C88">
        <v>3</v>
      </c>
      <c r="D88">
        <v>34.302000999999997</v>
      </c>
      <c r="E88" t="s">
        <v>1</v>
      </c>
      <c r="F88" t="s">
        <v>0</v>
      </c>
      <c r="G88" t="s">
        <v>2</v>
      </c>
      <c r="H88">
        <v>9</v>
      </c>
      <c r="I88">
        <v>1</v>
      </c>
      <c r="J88">
        <v>0</v>
      </c>
      <c r="K88" t="s">
        <v>3</v>
      </c>
      <c r="L88" t="s">
        <v>1</v>
      </c>
      <c r="M88" t="s">
        <v>0</v>
      </c>
      <c r="N88" t="s">
        <v>2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 t="s">
        <v>3</v>
      </c>
      <c r="V88">
        <v>0.35</v>
      </c>
      <c r="W88" t="s">
        <v>1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 t="s">
        <v>3</v>
      </c>
      <c r="AF88" t="s">
        <v>1</v>
      </c>
      <c r="AG88">
        <v>1</v>
      </c>
      <c r="AH88" t="s">
        <v>3</v>
      </c>
    </row>
    <row r="89" spans="2:34" x14ac:dyDescent="0.35">
      <c r="B89" t="s">
        <v>0</v>
      </c>
      <c r="C89">
        <v>4</v>
      </c>
      <c r="D89">
        <v>40.935102000000001</v>
      </c>
      <c r="E89" t="s">
        <v>1</v>
      </c>
      <c r="F89" t="s">
        <v>0</v>
      </c>
      <c r="G89" t="s">
        <v>2</v>
      </c>
      <c r="H89">
        <v>9</v>
      </c>
      <c r="I89">
        <v>1</v>
      </c>
      <c r="J89">
        <v>0</v>
      </c>
      <c r="K89" t="s">
        <v>3</v>
      </c>
      <c r="L89" t="s">
        <v>1</v>
      </c>
      <c r="M89" t="s">
        <v>0</v>
      </c>
      <c r="N89" t="s">
        <v>2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 t="s">
        <v>3</v>
      </c>
      <c r="V89">
        <v>0.37</v>
      </c>
      <c r="W89" t="s">
        <v>1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 t="s">
        <v>3</v>
      </c>
      <c r="AF89" t="s">
        <v>1</v>
      </c>
      <c r="AG89">
        <v>1</v>
      </c>
      <c r="AH89" t="s">
        <v>3</v>
      </c>
    </row>
    <row r="90" spans="2:34" x14ac:dyDescent="0.35">
      <c r="B90" t="s">
        <v>4</v>
      </c>
      <c r="C90">
        <v>5</v>
      </c>
      <c r="D90">
        <v>40.935187999999997</v>
      </c>
      <c r="E90" t="s">
        <v>1</v>
      </c>
      <c r="F90" t="s">
        <v>4</v>
      </c>
      <c r="G90" t="s">
        <v>2</v>
      </c>
      <c r="H90">
        <v>9</v>
      </c>
      <c r="I90">
        <v>6</v>
      </c>
      <c r="J90">
        <v>1</v>
      </c>
      <c r="K90" t="s">
        <v>3</v>
      </c>
      <c r="L90" t="s">
        <v>1</v>
      </c>
      <c r="M90" t="s">
        <v>0</v>
      </c>
      <c r="N90" t="s">
        <v>2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 t="s">
        <v>3</v>
      </c>
      <c r="V90">
        <v>0.22</v>
      </c>
      <c r="W90" t="s">
        <v>1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 t="s">
        <v>3</v>
      </c>
      <c r="AF90" t="s">
        <v>1</v>
      </c>
      <c r="AG90">
        <v>1</v>
      </c>
      <c r="AH90" t="s">
        <v>3</v>
      </c>
    </row>
    <row r="91" spans="2:34" x14ac:dyDescent="0.35">
      <c r="B91" t="s">
        <v>0</v>
      </c>
      <c r="C91">
        <v>5</v>
      </c>
      <c r="D91">
        <v>49.489806000000002</v>
      </c>
      <c r="E91" t="s">
        <v>1</v>
      </c>
      <c r="F91" t="s">
        <v>0</v>
      </c>
      <c r="G91" t="s">
        <v>2</v>
      </c>
      <c r="H91">
        <v>9</v>
      </c>
      <c r="I91">
        <v>7</v>
      </c>
      <c r="J91">
        <v>0</v>
      </c>
      <c r="K91" t="s">
        <v>3</v>
      </c>
      <c r="L91" t="s">
        <v>1</v>
      </c>
      <c r="M91" t="s">
        <v>0</v>
      </c>
      <c r="N91" t="s">
        <v>2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 t="s">
        <v>3</v>
      </c>
      <c r="V91">
        <v>0.25</v>
      </c>
      <c r="W91" t="s">
        <v>1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 t="s">
        <v>3</v>
      </c>
      <c r="AF91" t="s">
        <v>1</v>
      </c>
      <c r="AG91">
        <v>1</v>
      </c>
      <c r="AH91" t="s">
        <v>3</v>
      </c>
    </row>
    <row r="92" spans="2:34" x14ac:dyDescent="0.35">
      <c r="B92" t="s">
        <v>4</v>
      </c>
      <c r="C92">
        <v>6</v>
      </c>
      <c r="D92">
        <v>49.489811000000003</v>
      </c>
      <c r="E92" t="s">
        <v>1</v>
      </c>
      <c r="F92" t="s">
        <v>4</v>
      </c>
      <c r="G92" t="s">
        <v>2</v>
      </c>
      <c r="H92">
        <v>9</v>
      </c>
      <c r="I92">
        <v>7</v>
      </c>
      <c r="J92">
        <v>1</v>
      </c>
      <c r="K92" t="s">
        <v>3</v>
      </c>
      <c r="L92" t="s">
        <v>1</v>
      </c>
      <c r="M92" t="s">
        <v>0</v>
      </c>
      <c r="N92" t="s">
        <v>2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 t="s">
        <v>3</v>
      </c>
      <c r="V92">
        <v>0.25</v>
      </c>
      <c r="W92" t="s">
        <v>1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 t="s">
        <v>3</v>
      </c>
      <c r="AF92" t="s">
        <v>1</v>
      </c>
      <c r="AG92">
        <v>1</v>
      </c>
      <c r="AH92" t="s">
        <v>3</v>
      </c>
    </row>
    <row r="93" spans="2:34" x14ac:dyDescent="0.35">
      <c r="B93" t="s">
        <v>0</v>
      </c>
      <c r="C93">
        <v>6</v>
      </c>
      <c r="D93">
        <v>59.946188999999997</v>
      </c>
      <c r="E93" t="s">
        <v>1</v>
      </c>
      <c r="F93" t="s">
        <v>0</v>
      </c>
      <c r="G93" t="s">
        <v>2</v>
      </c>
      <c r="H93">
        <v>9</v>
      </c>
      <c r="I93">
        <v>8</v>
      </c>
      <c r="J93">
        <v>0</v>
      </c>
      <c r="K93" t="s">
        <v>3</v>
      </c>
      <c r="L93" t="s">
        <v>1</v>
      </c>
      <c r="M93" t="s">
        <v>0</v>
      </c>
      <c r="N93" t="s">
        <v>2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 t="s">
        <v>3</v>
      </c>
      <c r="V93">
        <v>0.25</v>
      </c>
      <c r="W93" t="s">
        <v>1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 t="s">
        <v>3</v>
      </c>
      <c r="AF93" t="s">
        <v>1</v>
      </c>
      <c r="AG93">
        <v>1</v>
      </c>
      <c r="AH93" t="s">
        <v>3</v>
      </c>
    </row>
    <row r="94" spans="2:34" x14ac:dyDescent="0.35">
      <c r="B94" t="s">
        <v>4</v>
      </c>
      <c r="C94">
        <v>7</v>
      </c>
      <c r="D94">
        <v>59.946188999999997</v>
      </c>
      <c r="E94" t="s">
        <v>1</v>
      </c>
      <c r="F94" t="s">
        <v>4</v>
      </c>
      <c r="G94" t="s">
        <v>2</v>
      </c>
      <c r="H94">
        <v>9</v>
      </c>
      <c r="I94">
        <v>8</v>
      </c>
      <c r="J94">
        <v>1</v>
      </c>
      <c r="K94" t="s">
        <v>3</v>
      </c>
      <c r="L94" t="s">
        <v>1</v>
      </c>
      <c r="M94" t="s">
        <v>0</v>
      </c>
      <c r="N94" t="s">
        <v>2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 t="s">
        <v>3</v>
      </c>
      <c r="V94">
        <v>0.25</v>
      </c>
      <c r="W94" t="s">
        <v>1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 t="s">
        <v>3</v>
      </c>
      <c r="AF94" t="s">
        <v>1</v>
      </c>
      <c r="AG94">
        <v>1</v>
      </c>
      <c r="AH94" t="s">
        <v>3</v>
      </c>
    </row>
    <row r="95" spans="2:34" x14ac:dyDescent="0.35">
      <c r="B95" t="s">
        <v>0</v>
      </c>
      <c r="C95">
        <v>7</v>
      </c>
      <c r="D95">
        <v>72.297647999999995</v>
      </c>
      <c r="E95" t="s">
        <v>1</v>
      </c>
      <c r="F95" t="s">
        <v>0</v>
      </c>
      <c r="G95" t="s">
        <v>2</v>
      </c>
      <c r="H95">
        <v>9</v>
      </c>
      <c r="I95">
        <v>8</v>
      </c>
      <c r="J95">
        <v>0</v>
      </c>
      <c r="K95" t="s">
        <v>3</v>
      </c>
      <c r="L95" t="s">
        <v>1</v>
      </c>
      <c r="M95" t="s">
        <v>0</v>
      </c>
      <c r="N95" t="s">
        <v>2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 t="s">
        <v>3</v>
      </c>
      <c r="V95">
        <v>0.24</v>
      </c>
      <c r="W95" t="s">
        <v>1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 t="s">
        <v>3</v>
      </c>
      <c r="AF95" t="s">
        <v>1</v>
      </c>
      <c r="AG95">
        <v>1</v>
      </c>
      <c r="AH95" t="s">
        <v>3</v>
      </c>
    </row>
    <row r="96" spans="2:34" x14ac:dyDescent="0.35">
      <c r="B96" t="s">
        <v>4</v>
      </c>
      <c r="C96">
        <v>8</v>
      </c>
      <c r="D96">
        <v>72.297647999999995</v>
      </c>
      <c r="E96" t="s">
        <v>1</v>
      </c>
      <c r="F96" t="s">
        <v>4</v>
      </c>
      <c r="G96" t="s">
        <v>2</v>
      </c>
      <c r="H96">
        <v>9</v>
      </c>
      <c r="I96">
        <v>8</v>
      </c>
      <c r="J96">
        <v>1</v>
      </c>
      <c r="K96" t="s">
        <v>3</v>
      </c>
      <c r="L96" t="s">
        <v>1</v>
      </c>
      <c r="M96" t="s">
        <v>0</v>
      </c>
      <c r="N96" t="s">
        <v>2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 t="s">
        <v>3</v>
      </c>
      <c r="V96">
        <v>0.24</v>
      </c>
      <c r="W96" t="s">
        <v>1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 t="s">
        <v>3</v>
      </c>
      <c r="AF96" t="s">
        <v>1</v>
      </c>
      <c r="AG96">
        <v>1</v>
      </c>
      <c r="AH96" t="s">
        <v>3</v>
      </c>
    </row>
    <row r="97" spans="2:34" x14ac:dyDescent="0.35">
      <c r="B97" t="s">
        <v>0</v>
      </c>
      <c r="C97">
        <v>8</v>
      </c>
      <c r="D97">
        <v>86.538379000000006</v>
      </c>
      <c r="E97" t="s">
        <v>1</v>
      </c>
      <c r="F97" t="s">
        <v>0</v>
      </c>
      <c r="G97" t="s">
        <v>2</v>
      </c>
      <c r="H97">
        <v>9</v>
      </c>
      <c r="I97">
        <v>9</v>
      </c>
      <c r="J97">
        <v>0</v>
      </c>
      <c r="K97" t="s">
        <v>3</v>
      </c>
      <c r="L97" t="s">
        <v>1</v>
      </c>
      <c r="M97" t="s">
        <v>0</v>
      </c>
      <c r="N97" t="s">
        <v>2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 t="s">
        <v>3</v>
      </c>
      <c r="V97">
        <v>0.37</v>
      </c>
      <c r="W97" t="s">
        <v>1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 t="s">
        <v>3</v>
      </c>
      <c r="AF97" t="s">
        <v>1</v>
      </c>
      <c r="AG97">
        <v>1</v>
      </c>
      <c r="AH97" t="s">
        <v>3</v>
      </c>
    </row>
    <row r="98" spans="2:34" x14ac:dyDescent="0.35">
      <c r="B98" t="s">
        <v>4</v>
      </c>
      <c r="C98">
        <v>9</v>
      </c>
      <c r="D98">
        <v>86.538379000000006</v>
      </c>
      <c r="E98" t="s">
        <v>1</v>
      </c>
      <c r="F98" t="s">
        <v>4</v>
      </c>
      <c r="G98" t="s">
        <v>2</v>
      </c>
      <c r="H98">
        <v>9</v>
      </c>
      <c r="I98">
        <v>9</v>
      </c>
      <c r="J98">
        <v>1</v>
      </c>
      <c r="K98" t="s">
        <v>3</v>
      </c>
      <c r="L98" t="s">
        <v>1</v>
      </c>
      <c r="M98" t="s">
        <v>0</v>
      </c>
      <c r="N98" t="s">
        <v>2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 t="s">
        <v>3</v>
      </c>
      <c r="V98">
        <v>0.37</v>
      </c>
      <c r="W98" t="s">
        <v>1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 t="s">
        <v>3</v>
      </c>
      <c r="AF98" t="s">
        <v>1</v>
      </c>
      <c r="AG98">
        <v>1</v>
      </c>
      <c r="AH98" t="s">
        <v>3</v>
      </c>
    </row>
    <row r="99" spans="2:34" x14ac:dyDescent="0.35">
      <c r="B99" t="s">
        <v>0</v>
      </c>
      <c r="C99">
        <v>9</v>
      </c>
      <c r="D99">
        <v>102.662316</v>
      </c>
      <c r="E99" t="s">
        <v>1</v>
      </c>
      <c r="F99" t="s">
        <v>0</v>
      </c>
      <c r="G99" t="s">
        <v>2</v>
      </c>
      <c r="H99">
        <v>9</v>
      </c>
      <c r="I99">
        <v>9</v>
      </c>
      <c r="J99">
        <v>0</v>
      </c>
      <c r="K99" t="s">
        <v>3</v>
      </c>
      <c r="L99" t="s">
        <v>1</v>
      </c>
      <c r="M99" t="s">
        <v>0</v>
      </c>
      <c r="N99" t="s">
        <v>2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 t="s">
        <v>3</v>
      </c>
      <c r="V99">
        <v>0.38</v>
      </c>
      <c r="W99" t="s">
        <v>1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 t="s">
        <v>3</v>
      </c>
      <c r="AF99" t="s">
        <v>1</v>
      </c>
      <c r="AG99">
        <v>1</v>
      </c>
      <c r="AH99" t="s">
        <v>3</v>
      </c>
    </row>
    <row r="100" spans="2:34" x14ac:dyDescent="0.35">
      <c r="B100" t="s">
        <v>4</v>
      </c>
      <c r="C100">
        <v>10</v>
      </c>
      <c r="D100">
        <v>102.662316</v>
      </c>
      <c r="E100" t="s">
        <v>1</v>
      </c>
      <c r="F100" t="s">
        <v>4</v>
      </c>
      <c r="G100" t="s">
        <v>2</v>
      </c>
      <c r="H100">
        <v>9</v>
      </c>
      <c r="I100">
        <v>9</v>
      </c>
      <c r="J100">
        <v>1</v>
      </c>
      <c r="K100" t="s">
        <v>3</v>
      </c>
      <c r="L100" t="s">
        <v>1</v>
      </c>
      <c r="M100" t="s">
        <v>0</v>
      </c>
      <c r="N100" t="s">
        <v>2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 t="s">
        <v>3</v>
      </c>
      <c r="V100">
        <v>0.38</v>
      </c>
      <c r="W100" t="s">
        <v>1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 t="s">
        <v>3</v>
      </c>
      <c r="AF100" t="s">
        <v>1</v>
      </c>
      <c r="AG100">
        <v>1</v>
      </c>
      <c r="AH100" t="s">
        <v>3</v>
      </c>
    </row>
  </sheetData>
  <sortState xmlns:xlrd2="http://schemas.microsoft.com/office/spreadsheetml/2017/richdata2" ref="B1:AH100">
    <sortCondition ref="H1:H100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2BFE5D-4CFE-4A2A-A213-8019391CE73E}">
  <dimension ref="A1:S100"/>
  <sheetViews>
    <sheetView topLeftCell="A76" workbookViewId="0">
      <selection activeCell="S11" sqref="S11"/>
    </sheetView>
  </sheetViews>
  <sheetFormatPr defaultRowHeight="14.5" x14ac:dyDescent="0.35"/>
  <cols>
    <col min="1" max="1" width="6.08984375" customWidth="1"/>
    <col min="2" max="2" width="11" customWidth="1"/>
    <col min="3" max="3" width="9.81640625" bestFit="1" customWidth="1"/>
    <col min="4" max="7" width="10.81640625" bestFit="1" customWidth="1"/>
    <col min="10" max="10" width="14.36328125" customWidth="1"/>
    <col min="19" max="19" width="12.453125" bestFit="1" customWidth="1"/>
  </cols>
  <sheetData>
    <row r="1" spans="1:19" x14ac:dyDescent="0.35">
      <c r="A1" t="s">
        <v>6</v>
      </c>
      <c r="B1" t="s">
        <v>7</v>
      </c>
      <c r="C1" t="s">
        <v>5</v>
      </c>
      <c r="D1" t="s">
        <v>9</v>
      </c>
      <c r="E1" t="s">
        <v>8</v>
      </c>
      <c r="F1" t="s">
        <v>11</v>
      </c>
      <c r="G1" t="s">
        <v>10</v>
      </c>
      <c r="J1" t="s">
        <v>12</v>
      </c>
      <c r="K1" t="s">
        <v>13</v>
      </c>
      <c r="L1" t="s">
        <v>14</v>
      </c>
      <c r="O1" t="s">
        <v>18</v>
      </c>
      <c r="S1" t="s">
        <v>19</v>
      </c>
    </row>
    <row r="2" spans="1:19" x14ac:dyDescent="0.35">
      <c r="A2">
        <v>1</v>
      </c>
      <c r="B2">
        <v>0.57210000000000005</v>
      </c>
      <c r="C2">
        <v>0.59790500000000002</v>
      </c>
      <c r="D2">
        <v>0.59745300000000001</v>
      </c>
      <c r="E2">
        <v>0.59835899999999997</v>
      </c>
      <c r="F2">
        <v>0.59759600000000002</v>
      </c>
      <c r="G2">
        <v>0.59821500000000005</v>
      </c>
      <c r="J2">
        <f>B2-C2</f>
        <v>-2.5804999999999967E-2</v>
      </c>
      <c r="K2">
        <f>(D2-E2)/(2*0.001)</f>
        <v>-0.4529999999999812</v>
      </c>
      <c r="L2">
        <f>(F2-G2)/(2*0.001)</f>
        <v>-0.30950000000001809</v>
      </c>
      <c r="O2">
        <f>SUMSQ(K2:K100)</f>
        <v>40353.457502750658</v>
      </c>
      <c r="P2">
        <f>SUMPRODUCT(K2:K100,L2:L100)</f>
        <v>53243.130024999642</v>
      </c>
      <c r="S2">
        <f>SUMPRODUCT(J2:J100,K2:K100)</f>
        <v>1158.2560097515034</v>
      </c>
    </row>
    <row r="3" spans="1:19" x14ac:dyDescent="0.35">
      <c r="A3">
        <v>1</v>
      </c>
      <c r="B3">
        <v>1.4932000000000001</v>
      </c>
      <c r="C3">
        <v>1.52749</v>
      </c>
      <c r="D3">
        <v>1.5267090000000001</v>
      </c>
      <c r="E3">
        <v>1.5282720000000001</v>
      </c>
      <c r="F3">
        <v>1.526424</v>
      </c>
      <c r="G3">
        <v>1.528559</v>
      </c>
      <c r="J3">
        <f t="shared" ref="J3:J66" si="0">B3-C3</f>
        <v>-3.4289999999999932E-2</v>
      </c>
      <c r="K3">
        <f t="shared" ref="K3:K66" si="1">(D3-E3)/(2*0.001)</f>
        <v>-0.78149999999999054</v>
      </c>
      <c r="L3">
        <f t="shared" ref="L3:L66" si="2">(F3-G3)/(2*0.001)</f>
        <v>-1.067499999999999</v>
      </c>
      <c r="O3">
        <f>P2</f>
        <v>53243.130024999642</v>
      </c>
      <c r="P3">
        <f>SUMSQ(L2:L100)</f>
        <v>73680.096298247023</v>
      </c>
      <c r="S3">
        <f>SUMPRODUCT(J2:J100,L2:L100)</f>
        <v>1382.1888438994818</v>
      </c>
    </row>
    <row r="4" spans="1:19" x14ac:dyDescent="0.35">
      <c r="A4">
        <v>1</v>
      </c>
      <c r="B4">
        <v>1.5575000000000001</v>
      </c>
      <c r="C4">
        <v>1.5649420000000001</v>
      </c>
      <c r="D4">
        <v>1.564147</v>
      </c>
      <c r="E4">
        <v>1.565739</v>
      </c>
      <c r="F4">
        <v>1.563831</v>
      </c>
      <c r="G4">
        <v>1.566055</v>
      </c>
      <c r="J4">
        <f t="shared" si="0"/>
        <v>-7.4419999999999487E-3</v>
      </c>
      <c r="K4">
        <f t="shared" si="1"/>
        <v>-0.79600000000001891</v>
      </c>
      <c r="L4">
        <f t="shared" si="2"/>
        <v>-1.1120000000000019</v>
      </c>
    </row>
    <row r="5" spans="1:19" x14ac:dyDescent="0.35">
      <c r="A5">
        <v>2</v>
      </c>
      <c r="B5">
        <v>1.7129000000000001</v>
      </c>
      <c r="C5">
        <v>1.7922549999999999</v>
      </c>
      <c r="D5">
        <v>1.7908980000000001</v>
      </c>
      <c r="E5">
        <v>1.7936129999999999</v>
      </c>
      <c r="F5">
        <v>1.7913269999999999</v>
      </c>
      <c r="G5">
        <v>1.793183</v>
      </c>
      <c r="J5">
        <f t="shared" si="0"/>
        <v>-7.9354999999999842E-2</v>
      </c>
      <c r="K5">
        <f t="shared" si="1"/>
        <v>-1.3574999999999005</v>
      </c>
      <c r="L5">
        <f t="shared" si="2"/>
        <v>-0.9280000000000399</v>
      </c>
    </row>
    <row r="6" spans="1:19" x14ac:dyDescent="0.35">
      <c r="A6">
        <v>2</v>
      </c>
      <c r="B6">
        <v>2.573</v>
      </c>
      <c r="C6">
        <v>2.6854070000000001</v>
      </c>
      <c r="D6">
        <v>2.6837369999999998</v>
      </c>
      <c r="E6">
        <v>2.6870790000000002</v>
      </c>
      <c r="F6">
        <v>2.6837650000000002</v>
      </c>
      <c r="G6">
        <v>2.6870509999999999</v>
      </c>
      <c r="J6">
        <f t="shared" si="0"/>
        <v>-0.11240700000000015</v>
      </c>
      <c r="K6">
        <f t="shared" si="1"/>
        <v>-1.6710000000002001</v>
      </c>
      <c r="L6">
        <f t="shared" si="2"/>
        <v>-1.642999999999839</v>
      </c>
      <c r="O6" cm="1">
        <f t="array" ref="O6:P7">MINVERSE(O2:P3)</f>
        <v>5.3231009960061273E-4</v>
      </c>
      <c r="P6">
        <v>-3.8466095011510231E-4</v>
      </c>
      <c r="S6" cm="1">
        <f t="array" ref="S6:S7">MMULT(_xlfn.ANCHORARRAY(O6),S2:S3)</f>
        <v>8.4877297980961552E-2</v>
      </c>
    </row>
    <row r="7" spans="1:19" x14ac:dyDescent="0.35">
      <c r="A7">
        <v>2</v>
      </c>
      <c r="B7">
        <v>2.7658999999999998</v>
      </c>
      <c r="C7">
        <v>2.7982130000000001</v>
      </c>
      <c r="D7">
        <v>2.796497</v>
      </c>
      <c r="E7">
        <v>2.7999309999999999</v>
      </c>
      <c r="F7">
        <v>2.7964380000000002</v>
      </c>
      <c r="G7">
        <v>2.7999900000000002</v>
      </c>
      <c r="J7">
        <f t="shared" si="0"/>
        <v>-3.2313000000000258E-2</v>
      </c>
      <c r="K7">
        <f t="shared" si="1"/>
        <v>-1.7169999999999686</v>
      </c>
      <c r="L7">
        <f t="shared" si="2"/>
        <v>-1.7759999999999998</v>
      </c>
      <c r="O7">
        <v>-3.8466095011510231E-4</v>
      </c>
      <c r="P7">
        <v>2.9153806878275422E-4</v>
      </c>
      <c r="S7">
        <v>-4.2575190944017849E-2</v>
      </c>
    </row>
    <row r="8" spans="1:19" x14ac:dyDescent="0.35">
      <c r="A8">
        <v>2</v>
      </c>
      <c r="B8">
        <v>5.5289000000000001</v>
      </c>
      <c r="C8">
        <v>5.5867529999999999</v>
      </c>
      <c r="D8">
        <v>5.5840529999999999</v>
      </c>
      <c r="E8">
        <v>5.5894570000000003</v>
      </c>
      <c r="F8">
        <v>5.5827080000000002</v>
      </c>
      <c r="G8">
        <v>5.5908049999999996</v>
      </c>
      <c r="J8">
        <f t="shared" si="0"/>
        <v>-5.785299999999971E-2</v>
      </c>
      <c r="K8">
        <f t="shared" si="1"/>
        <v>-2.7020000000002042</v>
      </c>
      <c r="L8">
        <f t="shared" si="2"/>
        <v>-4.0484999999996774</v>
      </c>
    </row>
    <row r="9" spans="1:19" x14ac:dyDescent="0.35">
      <c r="A9">
        <v>2</v>
      </c>
      <c r="B9">
        <v>5.5320999999999998</v>
      </c>
      <c r="C9">
        <v>5.5877540000000003</v>
      </c>
      <c r="D9">
        <v>5.5850549999999997</v>
      </c>
      <c r="E9">
        <v>5.5904590000000001</v>
      </c>
      <c r="F9">
        <v>5.5837079999999997</v>
      </c>
      <c r="G9">
        <v>5.5918089999999996</v>
      </c>
      <c r="J9">
        <f t="shared" si="0"/>
        <v>-5.5654000000000536E-2</v>
      </c>
      <c r="K9">
        <f t="shared" si="1"/>
        <v>-2.7020000000002042</v>
      </c>
      <c r="L9">
        <f t="shared" si="2"/>
        <v>-4.0504999999999569</v>
      </c>
    </row>
    <row r="10" spans="1:19" x14ac:dyDescent="0.35">
      <c r="A10">
        <v>3</v>
      </c>
      <c r="B10">
        <v>3.4161999999999999</v>
      </c>
      <c r="C10">
        <v>3.5800830000000001</v>
      </c>
      <c r="D10">
        <v>3.577375</v>
      </c>
      <c r="E10">
        <v>3.5827939999999998</v>
      </c>
      <c r="F10">
        <v>3.5782310000000002</v>
      </c>
      <c r="G10">
        <v>3.5819369999999999</v>
      </c>
      <c r="J10">
        <f t="shared" si="0"/>
        <v>-0.16388300000000022</v>
      </c>
      <c r="K10">
        <f t="shared" si="1"/>
        <v>-2.7094999999999203</v>
      </c>
      <c r="L10">
        <f t="shared" si="2"/>
        <v>-1.8529999999998825</v>
      </c>
      <c r="P10" t="s">
        <v>23</v>
      </c>
      <c r="Q10" t="s">
        <v>24</v>
      </c>
      <c r="S10" t="s">
        <v>25</v>
      </c>
    </row>
    <row r="11" spans="1:19" x14ac:dyDescent="0.35">
      <c r="A11">
        <v>3</v>
      </c>
      <c r="B11">
        <v>4.1906999999999996</v>
      </c>
      <c r="C11">
        <v>4.4201860000000002</v>
      </c>
      <c r="D11">
        <v>4.4171870000000002</v>
      </c>
      <c r="E11">
        <v>4.4231889999999998</v>
      </c>
      <c r="F11">
        <v>4.4176799999999998</v>
      </c>
      <c r="G11">
        <v>4.422695</v>
      </c>
      <c r="J11">
        <f t="shared" si="0"/>
        <v>-0.22948600000000052</v>
      </c>
      <c r="K11">
        <f t="shared" si="1"/>
        <v>-3.0009999999998094</v>
      </c>
      <c r="L11">
        <f t="shared" si="2"/>
        <v>-2.5075000000001069</v>
      </c>
      <c r="O11" t="s">
        <v>20</v>
      </c>
      <c r="P11">
        <v>1.6034616900000001</v>
      </c>
      <c r="Q11">
        <f>P11+S6</f>
        <v>1.6883389879809616</v>
      </c>
      <c r="S11">
        <f>SUMSQ(J2:J100)</f>
        <v>41.771410566213021</v>
      </c>
    </row>
    <row r="12" spans="1:19" x14ac:dyDescent="0.35">
      <c r="A12">
        <v>3</v>
      </c>
      <c r="B12">
        <v>4.5765000000000002</v>
      </c>
      <c r="C12">
        <v>4.6471080000000002</v>
      </c>
      <c r="D12">
        <v>4.6440130000000002</v>
      </c>
      <c r="E12">
        <v>4.6502059999999998</v>
      </c>
      <c r="F12">
        <v>4.6443370000000002</v>
      </c>
      <c r="G12">
        <v>4.6498819999999998</v>
      </c>
      <c r="J12">
        <f t="shared" si="0"/>
        <v>-7.0608000000000004E-2</v>
      </c>
      <c r="K12">
        <f t="shared" si="1"/>
        <v>-3.0964999999998355</v>
      </c>
      <c r="L12">
        <f t="shared" si="2"/>
        <v>-2.7724999999998445</v>
      </c>
      <c r="O12" t="s">
        <v>21</v>
      </c>
      <c r="P12">
        <v>1.46783211</v>
      </c>
      <c r="Q12">
        <f t="shared" ref="Q12:Q13" si="3">P12+S7</f>
        <v>1.4252569190559821</v>
      </c>
    </row>
    <row r="13" spans="1:19" x14ac:dyDescent="0.35">
      <c r="A13">
        <v>3</v>
      </c>
      <c r="B13">
        <v>7.2450999999999999</v>
      </c>
      <c r="C13">
        <v>7.3800860000000004</v>
      </c>
      <c r="D13">
        <v>7.3760300000000001</v>
      </c>
      <c r="E13">
        <v>7.3841489999999999</v>
      </c>
      <c r="F13">
        <v>7.3751110000000004</v>
      </c>
      <c r="G13">
        <v>7.3850689999999997</v>
      </c>
      <c r="J13">
        <f t="shared" si="0"/>
        <v>-0.13498600000000049</v>
      </c>
      <c r="K13">
        <f t="shared" si="1"/>
        <v>-4.0594999999998826</v>
      </c>
      <c r="L13">
        <f t="shared" si="2"/>
        <v>-4.9789999999996226</v>
      </c>
    </row>
    <row r="14" spans="1:19" x14ac:dyDescent="0.35">
      <c r="A14">
        <v>3</v>
      </c>
      <c r="B14">
        <v>7.2613000000000003</v>
      </c>
      <c r="C14">
        <v>7.3851639999999996</v>
      </c>
      <c r="D14">
        <v>7.3811059999999999</v>
      </c>
      <c r="E14">
        <v>7.3892280000000001</v>
      </c>
      <c r="F14">
        <v>7.3801800000000002</v>
      </c>
      <c r="G14">
        <v>7.3901560000000002</v>
      </c>
      <c r="J14">
        <f t="shared" si="0"/>
        <v>-0.12386399999999931</v>
      </c>
      <c r="K14">
        <f t="shared" si="1"/>
        <v>-4.0610000000000923</v>
      </c>
      <c r="L14">
        <f t="shared" si="2"/>
        <v>-4.9879999999999924</v>
      </c>
    </row>
    <row r="15" spans="1:19" x14ac:dyDescent="0.35">
      <c r="A15">
        <v>3</v>
      </c>
      <c r="B15">
        <v>12.011699999999999</v>
      </c>
      <c r="C15">
        <v>12.121498000000001</v>
      </c>
      <c r="D15">
        <v>12.115765</v>
      </c>
      <c r="E15">
        <v>12.127243</v>
      </c>
      <c r="F15">
        <v>12.112631</v>
      </c>
      <c r="G15">
        <v>12.130385</v>
      </c>
      <c r="J15">
        <f t="shared" si="0"/>
        <v>-0.10979800000000139</v>
      </c>
      <c r="K15">
        <f t="shared" si="1"/>
        <v>-5.7390000000001606</v>
      </c>
      <c r="L15">
        <f t="shared" si="2"/>
        <v>-8.8770000000000238</v>
      </c>
    </row>
    <row r="16" spans="1:19" x14ac:dyDescent="0.35">
      <c r="A16">
        <v>3</v>
      </c>
      <c r="B16">
        <v>12.011799999999999</v>
      </c>
      <c r="C16">
        <v>12.121509</v>
      </c>
      <c r="D16">
        <v>12.115776</v>
      </c>
      <c r="E16">
        <v>12.127254000000001</v>
      </c>
      <c r="F16">
        <v>12.112641999999999</v>
      </c>
      <c r="G16">
        <v>12.130395999999999</v>
      </c>
      <c r="J16">
        <f t="shared" si="0"/>
        <v>-0.1097090000000005</v>
      </c>
      <c r="K16">
        <f t="shared" si="1"/>
        <v>-5.7390000000001606</v>
      </c>
      <c r="L16">
        <f t="shared" si="2"/>
        <v>-8.8770000000000238</v>
      </c>
    </row>
    <row r="17" spans="1:12" x14ac:dyDescent="0.35">
      <c r="A17">
        <v>4</v>
      </c>
      <c r="B17">
        <v>5.6722999999999999</v>
      </c>
      <c r="C17">
        <v>5.9568649999999996</v>
      </c>
      <c r="D17">
        <v>5.9523619999999999</v>
      </c>
      <c r="E17">
        <v>5.9613719999999999</v>
      </c>
      <c r="F17">
        <v>5.9537849999999999</v>
      </c>
      <c r="G17">
        <v>5.9599450000000003</v>
      </c>
      <c r="J17">
        <f t="shared" si="0"/>
        <v>-0.28456499999999973</v>
      </c>
      <c r="K17">
        <f t="shared" si="1"/>
        <v>-4.5049999999999812</v>
      </c>
      <c r="L17">
        <f t="shared" si="2"/>
        <v>-3.0800000000001937</v>
      </c>
    </row>
    <row r="18" spans="1:12" x14ac:dyDescent="0.35">
      <c r="A18">
        <v>4</v>
      </c>
      <c r="B18">
        <v>6.3440000000000003</v>
      </c>
      <c r="C18">
        <v>6.7293669999999999</v>
      </c>
      <c r="D18">
        <v>6.7246040000000002</v>
      </c>
      <c r="E18">
        <v>6.7341360000000003</v>
      </c>
      <c r="F18">
        <v>6.7257069999999999</v>
      </c>
      <c r="G18">
        <v>6.7330310000000004</v>
      </c>
      <c r="J18">
        <f t="shared" si="0"/>
        <v>-0.38536699999999957</v>
      </c>
      <c r="K18">
        <f t="shared" si="1"/>
        <v>-4.766000000000048</v>
      </c>
      <c r="L18">
        <f t="shared" si="2"/>
        <v>-3.6620000000002761</v>
      </c>
    </row>
    <row r="19" spans="1:12" x14ac:dyDescent="0.35">
      <c r="A19">
        <v>4</v>
      </c>
      <c r="B19">
        <v>6.9866000000000001</v>
      </c>
      <c r="C19">
        <v>7.1103630000000004</v>
      </c>
      <c r="D19">
        <v>7.1054310000000003</v>
      </c>
      <c r="E19">
        <v>7.1152990000000003</v>
      </c>
      <c r="F19">
        <v>7.1062649999999996</v>
      </c>
      <c r="G19">
        <v>7.1144629999999998</v>
      </c>
      <c r="J19">
        <f t="shared" si="0"/>
        <v>-0.12376300000000029</v>
      </c>
      <c r="K19">
        <f t="shared" si="1"/>
        <v>-4.9339999999999939</v>
      </c>
      <c r="L19">
        <f t="shared" si="2"/>
        <v>-4.0990000000000748</v>
      </c>
    </row>
    <row r="20" spans="1:12" x14ac:dyDescent="0.35">
      <c r="A20">
        <v>4</v>
      </c>
      <c r="B20">
        <v>9.5309000000000008</v>
      </c>
      <c r="C20">
        <v>9.7689959999999996</v>
      </c>
      <c r="D20">
        <v>9.7631350000000001</v>
      </c>
      <c r="E20">
        <v>9.7748650000000001</v>
      </c>
      <c r="F20">
        <v>9.7627799999999993</v>
      </c>
      <c r="G20">
        <v>9.7752199999999991</v>
      </c>
      <c r="J20">
        <f t="shared" si="0"/>
        <v>-0.23809599999999875</v>
      </c>
      <c r="K20">
        <f t="shared" si="1"/>
        <v>-5.8650000000000091</v>
      </c>
      <c r="L20">
        <f t="shared" si="2"/>
        <v>-6.2199999999998923</v>
      </c>
    </row>
    <row r="21" spans="1:12" x14ac:dyDescent="0.35">
      <c r="A21">
        <v>4</v>
      </c>
      <c r="B21">
        <v>9.5790000000000006</v>
      </c>
      <c r="C21">
        <v>9.7844770000000008</v>
      </c>
      <c r="D21">
        <v>9.7786120000000007</v>
      </c>
      <c r="E21">
        <v>9.7903500000000001</v>
      </c>
      <c r="F21">
        <v>9.7782339999999994</v>
      </c>
      <c r="G21">
        <v>9.7907279999999997</v>
      </c>
      <c r="J21">
        <f t="shared" si="0"/>
        <v>-0.20547700000000013</v>
      </c>
      <c r="K21">
        <f t="shared" si="1"/>
        <v>-5.86899999999968</v>
      </c>
      <c r="L21">
        <f t="shared" si="2"/>
        <v>-6.2470000000001136</v>
      </c>
    </row>
    <row r="22" spans="1:12" x14ac:dyDescent="0.35">
      <c r="A22">
        <v>4</v>
      </c>
      <c r="B22">
        <v>14.3063</v>
      </c>
      <c r="C22">
        <v>14.514255</v>
      </c>
      <c r="D22">
        <v>14.506714000000001</v>
      </c>
      <c r="E22">
        <v>14.52181</v>
      </c>
      <c r="F22">
        <v>14.504142999999999</v>
      </c>
      <c r="G22">
        <v>14.524387000000001</v>
      </c>
      <c r="J22">
        <f t="shared" si="0"/>
        <v>-0.20795500000000011</v>
      </c>
      <c r="K22">
        <f t="shared" si="1"/>
        <v>-7.5479999999998881</v>
      </c>
      <c r="L22">
        <f t="shared" si="2"/>
        <v>-10.122000000000853</v>
      </c>
    </row>
    <row r="23" spans="1:12" x14ac:dyDescent="0.35">
      <c r="A23">
        <v>4</v>
      </c>
      <c r="B23">
        <v>14.307</v>
      </c>
      <c r="C23">
        <v>14.514336999999999</v>
      </c>
      <c r="D23">
        <v>14.506795</v>
      </c>
      <c r="E23">
        <v>14.521891999999999</v>
      </c>
      <c r="F23">
        <v>14.504224000000001</v>
      </c>
      <c r="G23">
        <v>14.524469</v>
      </c>
      <c r="J23">
        <f t="shared" si="0"/>
        <v>-0.20733699999999899</v>
      </c>
      <c r="K23">
        <f t="shared" si="1"/>
        <v>-7.5484999999995139</v>
      </c>
      <c r="L23">
        <f t="shared" si="2"/>
        <v>-10.12249999999959</v>
      </c>
    </row>
    <row r="24" spans="1:12" x14ac:dyDescent="0.35">
      <c r="A24">
        <v>4</v>
      </c>
      <c r="B24">
        <v>20.968900000000001</v>
      </c>
      <c r="C24">
        <v>21.148340000000001</v>
      </c>
      <c r="D24">
        <v>21.138451</v>
      </c>
      <c r="E24">
        <v>21.158249000000001</v>
      </c>
      <c r="F24">
        <v>21.132784999999998</v>
      </c>
      <c r="G24">
        <v>21.163929</v>
      </c>
      <c r="J24">
        <f t="shared" si="0"/>
        <v>-0.1794399999999996</v>
      </c>
      <c r="K24">
        <f t="shared" si="1"/>
        <v>-9.8990000000007683</v>
      </c>
      <c r="L24">
        <f t="shared" si="2"/>
        <v>-15.572000000000585</v>
      </c>
    </row>
    <row r="25" spans="1:12" x14ac:dyDescent="0.35">
      <c r="A25">
        <v>4</v>
      </c>
      <c r="B25">
        <v>20.968900000000001</v>
      </c>
      <c r="C25">
        <v>21.148340000000001</v>
      </c>
      <c r="D25">
        <v>21.138451</v>
      </c>
      <c r="E25">
        <v>21.158249999999999</v>
      </c>
      <c r="F25">
        <v>21.132784999999998</v>
      </c>
      <c r="G25">
        <v>21.163929</v>
      </c>
      <c r="J25">
        <f t="shared" si="0"/>
        <v>-0.1794399999999996</v>
      </c>
      <c r="K25">
        <f t="shared" si="1"/>
        <v>-9.8994999999995059</v>
      </c>
      <c r="L25">
        <f t="shared" si="2"/>
        <v>-15.572000000000585</v>
      </c>
    </row>
    <row r="26" spans="1:12" x14ac:dyDescent="0.35">
      <c r="A26">
        <v>5</v>
      </c>
      <c r="B26">
        <v>8.4696999999999996</v>
      </c>
      <c r="C26">
        <v>8.9164899999999996</v>
      </c>
      <c r="D26">
        <v>8.9097559999999998</v>
      </c>
      <c r="E26">
        <v>8.9232289999999992</v>
      </c>
      <c r="F26">
        <v>8.9118849999999998</v>
      </c>
      <c r="G26">
        <v>8.9210960000000004</v>
      </c>
      <c r="J26">
        <f t="shared" si="0"/>
        <v>-0.44679000000000002</v>
      </c>
      <c r="K26">
        <f t="shared" si="1"/>
        <v>-6.7364999999997011</v>
      </c>
      <c r="L26">
        <f t="shared" si="2"/>
        <v>-4.6055000000002622</v>
      </c>
    </row>
    <row r="27" spans="1:12" x14ac:dyDescent="0.35">
      <c r="A27">
        <v>5</v>
      </c>
      <c r="B27">
        <v>9.0299999999999994</v>
      </c>
      <c r="C27">
        <v>9.6097699999999993</v>
      </c>
      <c r="D27">
        <v>9.6028149999999997</v>
      </c>
      <c r="E27">
        <v>9.616733</v>
      </c>
      <c r="F27">
        <v>9.6046659999999999</v>
      </c>
      <c r="G27">
        <v>9.6148779999999991</v>
      </c>
      <c r="J27">
        <f t="shared" si="0"/>
        <v>-0.5797699999999999</v>
      </c>
      <c r="K27">
        <f t="shared" si="1"/>
        <v>-6.9590000000001595</v>
      </c>
      <c r="L27">
        <f t="shared" si="2"/>
        <v>-5.1059999999996108</v>
      </c>
    </row>
    <row r="28" spans="1:12" x14ac:dyDescent="0.35">
      <c r="A28">
        <v>5</v>
      </c>
      <c r="B28">
        <v>9.9923000000000002</v>
      </c>
      <c r="C28">
        <v>10.186197999999999</v>
      </c>
      <c r="D28">
        <v>10.178974999999999</v>
      </c>
      <c r="E28">
        <v>10.193428000000001</v>
      </c>
      <c r="F28">
        <v>10.180445000000001</v>
      </c>
      <c r="G28">
        <v>10.191954000000001</v>
      </c>
      <c r="J28">
        <f t="shared" si="0"/>
        <v>-0.19389799999999902</v>
      </c>
      <c r="K28">
        <f t="shared" si="1"/>
        <v>-7.2265000000006907</v>
      </c>
      <c r="L28">
        <f t="shared" si="2"/>
        <v>-5.7545000000001068</v>
      </c>
    </row>
    <row r="29" spans="1:12" x14ac:dyDescent="0.35">
      <c r="A29">
        <v>5</v>
      </c>
      <c r="B29">
        <v>12.383900000000001</v>
      </c>
      <c r="C29">
        <v>12.751601000000001</v>
      </c>
      <c r="D29">
        <v>12.743491000000001</v>
      </c>
      <c r="E29">
        <v>12.759721000000001</v>
      </c>
      <c r="F29">
        <v>12.743834</v>
      </c>
      <c r="G29">
        <v>12.759377000000001</v>
      </c>
      <c r="J29">
        <f t="shared" si="0"/>
        <v>-0.36770100000000028</v>
      </c>
      <c r="K29">
        <f t="shared" si="1"/>
        <v>-8.1150000000000944</v>
      </c>
      <c r="L29">
        <f t="shared" si="2"/>
        <v>-7.7715000000004864</v>
      </c>
    </row>
    <row r="30" spans="1:12" x14ac:dyDescent="0.35">
      <c r="A30">
        <v>5</v>
      </c>
      <c r="B30">
        <v>12.4948</v>
      </c>
      <c r="C30">
        <v>12.788342999999999</v>
      </c>
      <c r="D30">
        <v>12.780220999999999</v>
      </c>
      <c r="E30">
        <v>12.796474999999999</v>
      </c>
      <c r="F30">
        <v>12.780514</v>
      </c>
      <c r="G30">
        <v>12.796182</v>
      </c>
      <c r="J30">
        <f t="shared" si="0"/>
        <v>-0.29354299999999967</v>
      </c>
      <c r="K30">
        <f t="shared" si="1"/>
        <v>-8.1269999999999953</v>
      </c>
      <c r="L30">
        <f t="shared" si="2"/>
        <v>-7.8339999999998966</v>
      </c>
    </row>
    <row r="31" spans="1:12" x14ac:dyDescent="0.35">
      <c r="A31">
        <v>5</v>
      </c>
      <c r="B31">
        <v>17.1769</v>
      </c>
      <c r="C31">
        <v>17.503841999999999</v>
      </c>
      <c r="D31">
        <v>17.494046000000001</v>
      </c>
      <c r="E31">
        <v>17.513653000000001</v>
      </c>
      <c r="F31">
        <v>17.492170000000002</v>
      </c>
      <c r="G31">
        <v>17.515533999999999</v>
      </c>
      <c r="J31">
        <f t="shared" si="0"/>
        <v>-0.32694199999999896</v>
      </c>
      <c r="K31">
        <f t="shared" si="1"/>
        <v>-9.8035000000002981</v>
      </c>
      <c r="L31">
        <f t="shared" si="2"/>
        <v>-11.681999999998638</v>
      </c>
    </row>
    <row r="32" spans="1:12" x14ac:dyDescent="0.35">
      <c r="A32">
        <v>5</v>
      </c>
      <c r="B32">
        <v>17.1797</v>
      </c>
      <c r="C32">
        <v>17.504189</v>
      </c>
      <c r="D32">
        <v>17.494392999999999</v>
      </c>
      <c r="E32">
        <v>17.513999999999999</v>
      </c>
      <c r="F32">
        <v>17.492515000000001</v>
      </c>
      <c r="G32">
        <v>17.515882000000001</v>
      </c>
      <c r="J32">
        <f t="shared" si="0"/>
        <v>-0.32448899999999981</v>
      </c>
      <c r="K32">
        <f t="shared" si="1"/>
        <v>-9.8035000000002981</v>
      </c>
      <c r="L32">
        <f t="shared" si="2"/>
        <v>-11.68350000000018</v>
      </c>
    </row>
    <row r="33" spans="1:12" x14ac:dyDescent="0.35">
      <c r="A33">
        <v>5</v>
      </c>
      <c r="B33">
        <v>23.8367</v>
      </c>
      <c r="C33">
        <v>24.138725999999998</v>
      </c>
      <c r="D33">
        <v>24.126577999999999</v>
      </c>
      <c r="E33">
        <v>24.150897000000001</v>
      </c>
      <c r="F33">
        <v>24.121614999999998</v>
      </c>
      <c r="G33">
        <v>24.155871999999999</v>
      </c>
      <c r="J33">
        <f t="shared" si="0"/>
        <v>-0.30202599999999791</v>
      </c>
      <c r="K33">
        <f t="shared" si="1"/>
        <v>-12.159500000000989</v>
      </c>
      <c r="L33">
        <f t="shared" si="2"/>
        <v>-17.128500000000102</v>
      </c>
    </row>
    <row r="34" spans="1:12" x14ac:dyDescent="0.35">
      <c r="A34">
        <v>5</v>
      </c>
      <c r="B34">
        <v>23.8368</v>
      </c>
      <c r="C34">
        <v>24.138726999999999</v>
      </c>
      <c r="D34">
        <v>24.126579</v>
      </c>
      <c r="E34">
        <v>24.150898000000002</v>
      </c>
      <c r="F34">
        <v>24.121616</v>
      </c>
      <c r="G34">
        <v>24.155873</v>
      </c>
      <c r="J34">
        <f t="shared" si="0"/>
        <v>-0.30192699999999917</v>
      </c>
      <c r="K34">
        <f t="shared" si="1"/>
        <v>-12.159500000000989</v>
      </c>
      <c r="L34">
        <f t="shared" si="2"/>
        <v>-17.128500000000102</v>
      </c>
    </row>
    <row r="35" spans="1:12" x14ac:dyDescent="0.35">
      <c r="A35">
        <v>5</v>
      </c>
      <c r="B35">
        <v>32.3996</v>
      </c>
      <c r="C35">
        <v>32.666231000000003</v>
      </c>
      <c r="D35">
        <v>32.651065000000003</v>
      </c>
      <c r="E35">
        <v>32.681427999999997</v>
      </c>
      <c r="F35">
        <v>32.642125</v>
      </c>
      <c r="G35">
        <v>32.690387999999999</v>
      </c>
      <c r="J35">
        <f t="shared" si="0"/>
        <v>-0.26663100000000384</v>
      </c>
      <c r="K35">
        <f t="shared" si="1"/>
        <v>-15.181499999997072</v>
      </c>
      <c r="L35">
        <f t="shared" si="2"/>
        <v>-24.131499999999306</v>
      </c>
    </row>
    <row r="36" spans="1:12" x14ac:dyDescent="0.35">
      <c r="A36">
        <v>5</v>
      </c>
      <c r="B36">
        <v>32.3996</v>
      </c>
      <c r="C36">
        <v>32.666231000000003</v>
      </c>
      <c r="D36">
        <v>32.651065000000003</v>
      </c>
      <c r="E36">
        <v>32.681427999999997</v>
      </c>
      <c r="F36">
        <v>32.642125</v>
      </c>
      <c r="G36">
        <v>32.690387999999999</v>
      </c>
      <c r="J36">
        <f t="shared" si="0"/>
        <v>-0.26663100000000384</v>
      </c>
      <c r="K36">
        <f t="shared" si="1"/>
        <v>-15.181499999997072</v>
      </c>
      <c r="L36">
        <f t="shared" si="2"/>
        <v>-24.131499999999306</v>
      </c>
    </row>
    <row r="37" spans="1:12" x14ac:dyDescent="0.35">
      <c r="A37">
        <v>6</v>
      </c>
      <c r="B37">
        <v>11.7958</v>
      </c>
      <c r="C37">
        <v>12.451371</v>
      </c>
      <c r="D37">
        <v>12.441981</v>
      </c>
      <c r="E37">
        <v>12.460768</v>
      </c>
      <c r="F37">
        <v>12.444948999999999</v>
      </c>
      <c r="G37">
        <v>12.457795000000001</v>
      </c>
      <c r="J37">
        <f t="shared" si="0"/>
        <v>-0.65557100000000013</v>
      </c>
      <c r="K37">
        <f t="shared" si="1"/>
        <v>-9.3934999999998325</v>
      </c>
      <c r="L37">
        <f t="shared" si="2"/>
        <v>-6.4230000000007337</v>
      </c>
    </row>
    <row r="38" spans="1:12" x14ac:dyDescent="0.35">
      <c r="A38">
        <v>6</v>
      </c>
      <c r="B38">
        <v>12.2454</v>
      </c>
      <c r="C38">
        <v>13.057596</v>
      </c>
      <c r="D38">
        <v>13.048028</v>
      </c>
      <c r="E38">
        <v>13.067173</v>
      </c>
      <c r="F38">
        <v>13.050757000000001</v>
      </c>
      <c r="G38">
        <v>13.064439999999999</v>
      </c>
      <c r="J38">
        <f t="shared" si="0"/>
        <v>-0.81219600000000014</v>
      </c>
      <c r="K38">
        <f t="shared" si="1"/>
        <v>-9.5724999999999838</v>
      </c>
      <c r="L38">
        <f t="shared" si="2"/>
        <v>-6.8414999999992787</v>
      </c>
    </row>
    <row r="39" spans="1:12" x14ac:dyDescent="0.35">
      <c r="A39">
        <v>6</v>
      </c>
      <c r="B39">
        <v>13.588699999999999</v>
      </c>
      <c r="C39">
        <v>13.87224</v>
      </c>
      <c r="D39">
        <v>13.862272000000001</v>
      </c>
      <c r="E39">
        <v>13.882215</v>
      </c>
      <c r="F39">
        <v>13.864504</v>
      </c>
      <c r="G39">
        <v>13.879979000000001</v>
      </c>
      <c r="J39">
        <f t="shared" si="0"/>
        <v>-0.28354000000000035</v>
      </c>
      <c r="K39">
        <f t="shared" si="1"/>
        <v>-9.9714999999998</v>
      </c>
      <c r="L39">
        <f t="shared" si="2"/>
        <v>-7.7375000000001748</v>
      </c>
    </row>
    <row r="40" spans="1:12" x14ac:dyDescent="0.35">
      <c r="A40">
        <v>6</v>
      </c>
      <c r="B40">
        <v>15.801600000000001</v>
      </c>
      <c r="C40">
        <v>16.325562999999999</v>
      </c>
      <c r="D40">
        <v>16.314764</v>
      </c>
      <c r="E40">
        <v>16.336373999999999</v>
      </c>
      <c r="F40">
        <v>16.315933999999999</v>
      </c>
      <c r="G40">
        <v>16.335201999999999</v>
      </c>
      <c r="J40">
        <f t="shared" si="0"/>
        <v>-0.5239629999999984</v>
      </c>
      <c r="K40">
        <f t="shared" si="1"/>
        <v>-10.804999999999509</v>
      </c>
      <c r="L40">
        <f t="shared" si="2"/>
        <v>-9.6340000000001424</v>
      </c>
    </row>
    <row r="41" spans="1:12" x14ac:dyDescent="0.35">
      <c r="A41">
        <v>6</v>
      </c>
      <c r="B41">
        <v>16.0181</v>
      </c>
      <c r="C41">
        <v>16.400230000000001</v>
      </c>
      <c r="D41">
        <v>16.389402</v>
      </c>
      <c r="E41">
        <v>16.411071</v>
      </c>
      <c r="F41">
        <v>16.390481000000001</v>
      </c>
      <c r="G41">
        <v>16.409988999999999</v>
      </c>
      <c r="J41">
        <f t="shared" si="0"/>
        <v>-0.38213000000000008</v>
      </c>
      <c r="K41">
        <f t="shared" si="1"/>
        <v>-10.834499999999636</v>
      </c>
      <c r="L41">
        <f t="shared" si="2"/>
        <v>-9.7539999999991522</v>
      </c>
    </row>
    <row r="42" spans="1:12" x14ac:dyDescent="0.35">
      <c r="A42">
        <v>6</v>
      </c>
      <c r="B42">
        <v>20.624400000000001</v>
      </c>
      <c r="C42">
        <v>21.089511000000002</v>
      </c>
      <c r="D42">
        <v>21.077019</v>
      </c>
      <c r="E42">
        <v>21.102021000000001</v>
      </c>
      <c r="F42">
        <v>21.075962000000001</v>
      </c>
      <c r="G42">
        <v>21.103081</v>
      </c>
      <c r="J42">
        <f t="shared" si="0"/>
        <v>-0.46511100000000027</v>
      </c>
      <c r="K42">
        <f t="shared" si="1"/>
        <v>-12.501000000000317</v>
      </c>
      <c r="L42">
        <f t="shared" si="2"/>
        <v>-13.559499999999503</v>
      </c>
    </row>
    <row r="43" spans="1:12" x14ac:dyDescent="0.35">
      <c r="A43">
        <v>6</v>
      </c>
      <c r="B43">
        <v>20.632999999999999</v>
      </c>
      <c r="C43">
        <v>21.090626</v>
      </c>
      <c r="D43">
        <v>21.078135</v>
      </c>
      <c r="E43">
        <v>21.103135000000002</v>
      </c>
      <c r="F43">
        <v>21.077072000000001</v>
      </c>
      <c r="G43">
        <v>21.104199999999999</v>
      </c>
      <c r="J43">
        <f t="shared" si="0"/>
        <v>-0.4576260000000012</v>
      </c>
      <c r="K43">
        <f t="shared" si="1"/>
        <v>-12.500000000001066</v>
      </c>
      <c r="L43">
        <f t="shared" si="2"/>
        <v>-13.563999999998799</v>
      </c>
    </row>
    <row r="44" spans="1:12" x14ac:dyDescent="0.35">
      <c r="A44">
        <v>6</v>
      </c>
      <c r="B44">
        <v>27.2804</v>
      </c>
      <c r="C44">
        <v>27.724634999999999</v>
      </c>
      <c r="D44">
        <v>27.709786000000001</v>
      </c>
      <c r="E44">
        <v>27.739509000000002</v>
      </c>
      <c r="F44">
        <v>27.705651</v>
      </c>
      <c r="G44">
        <v>27.743653999999999</v>
      </c>
      <c r="J44">
        <f t="shared" si="0"/>
        <v>-0.44423499999999905</v>
      </c>
      <c r="K44">
        <f t="shared" si="1"/>
        <v>-14.861500000000305</v>
      </c>
      <c r="L44">
        <f t="shared" si="2"/>
        <v>-19.001499999999893</v>
      </c>
    </row>
    <row r="45" spans="1:12" x14ac:dyDescent="0.35">
      <c r="A45">
        <v>6</v>
      </c>
      <c r="B45">
        <v>27.2805</v>
      </c>
      <c r="C45">
        <v>27.724639</v>
      </c>
      <c r="D45">
        <v>27.709789000000001</v>
      </c>
      <c r="E45">
        <v>27.739512999999999</v>
      </c>
      <c r="F45">
        <v>27.705655</v>
      </c>
      <c r="G45">
        <v>27.743658</v>
      </c>
      <c r="J45">
        <f t="shared" si="0"/>
        <v>-0.44413899999999984</v>
      </c>
      <c r="K45">
        <f t="shared" si="1"/>
        <v>-14.861999999999043</v>
      </c>
      <c r="L45">
        <f t="shared" si="2"/>
        <v>-19.001499999999893</v>
      </c>
    </row>
    <row r="46" spans="1:12" x14ac:dyDescent="0.35">
      <c r="A46">
        <v>6</v>
      </c>
      <c r="B46">
        <v>35.840699999999998</v>
      </c>
      <c r="C46">
        <v>36.254247999999997</v>
      </c>
      <c r="D46">
        <v>36.236372000000003</v>
      </c>
      <c r="E46">
        <v>36.272157</v>
      </c>
      <c r="F46">
        <v>36.228273999999999</v>
      </c>
      <c r="G46">
        <v>36.280273999999999</v>
      </c>
      <c r="J46">
        <f t="shared" si="0"/>
        <v>-0.41354799999999869</v>
      </c>
      <c r="K46">
        <f t="shared" si="1"/>
        <v>-17.892499999998535</v>
      </c>
      <c r="L46">
        <f t="shared" si="2"/>
        <v>-25.999999999999801</v>
      </c>
    </row>
    <row r="47" spans="1:12" x14ac:dyDescent="0.35">
      <c r="A47">
        <v>6</v>
      </c>
      <c r="B47">
        <v>35.840699999999998</v>
      </c>
      <c r="C47">
        <v>36.254247999999997</v>
      </c>
      <c r="D47">
        <v>36.236373</v>
      </c>
      <c r="E47">
        <v>36.272157</v>
      </c>
      <c r="F47">
        <v>36.228273999999999</v>
      </c>
      <c r="G47">
        <v>36.280273999999999</v>
      </c>
      <c r="J47">
        <f t="shared" si="0"/>
        <v>-0.41354799999999869</v>
      </c>
      <c r="K47">
        <f t="shared" si="1"/>
        <v>-17.891999999999797</v>
      </c>
      <c r="L47">
        <f t="shared" si="2"/>
        <v>-25.999999999999801</v>
      </c>
    </row>
    <row r="48" spans="1:12" x14ac:dyDescent="0.35">
      <c r="A48">
        <v>6</v>
      </c>
      <c r="B48">
        <v>46.301099999999998</v>
      </c>
      <c r="C48">
        <v>46.673228999999999</v>
      </c>
      <c r="D48">
        <v>46.651667000000003</v>
      </c>
      <c r="E48">
        <v>46.694834999999998</v>
      </c>
      <c r="F48">
        <v>46.638713000000003</v>
      </c>
      <c r="G48">
        <v>46.707819999999998</v>
      </c>
      <c r="J48">
        <f t="shared" si="0"/>
        <v>-0.37212900000000104</v>
      </c>
      <c r="K48">
        <f t="shared" si="1"/>
        <v>-21.583999999997161</v>
      </c>
      <c r="L48">
        <f t="shared" si="2"/>
        <v>-34.553499999997683</v>
      </c>
    </row>
    <row r="49" spans="1:12" x14ac:dyDescent="0.35">
      <c r="A49">
        <v>6</v>
      </c>
      <c r="B49">
        <v>46.301099999999998</v>
      </c>
      <c r="C49">
        <v>46.673228999999999</v>
      </c>
      <c r="D49">
        <v>46.651667000000003</v>
      </c>
      <c r="E49">
        <v>46.694834999999998</v>
      </c>
      <c r="F49">
        <v>46.638713000000003</v>
      </c>
      <c r="G49">
        <v>46.707819999999998</v>
      </c>
      <c r="J49">
        <f t="shared" si="0"/>
        <v>-0.37212900000000104</v>
      </c>
      <c r="K49">
        <f t="shared" si="1"/>
        <v>-21.583999999997161</v>
      </c>
      <c r="L49">
        <f t="shared" si="2"/>
        <v>-34.553499999997683</v>
      </c>
    </row>
    <row r="50" spans="1:12" x14ac:dyDescent="0.35">
      <c r="A50">
        <v>7</v>
      </c>
      <c r="B50">
        <v>15.639200000000001</v>
      </c>
      <c r="C50">
        <v>16.552766999999999</v>
      </c>
      <c r="D50">
        <v>16.540306999999999</v>
      </c>
      <c r="E50">
        <v>16.565238000000001</v>
      </c>
      <c r="F50">
        <v>16.544239000000001</v>
      </c>
      <c r="G50">
        <v>16.561299000000002</v>
      </c>
      <c r="J50">
        <f t="shared" si="0"/>
        <v>-0.91356699999999869</v>
      </c>
      <c r="K50">
        <f t="shared" si="1"/>
        <v>-12.465500000001128</v>
      </c>
      <c r="L50">
        <f t="shared" si="2"/>
        <v>-8.5300000000003706</v>
      </c>
    </row>
    <row r="51" spans="1:12" x14ac:dyDescent="0.35">
      <c r="A51">
        <v>7</v>
      </c>
      <c r="B51">
        <v>15.9869</v>
      </c>
      <c r="C51">
        <v>17.068567000000002</v>
      </c>
      <c r="D51">
        <v>17.055975</v>
      </c>
      <c r="E51">
        <v>17.081171999999999</v>
      </c>
      <c r="F51">
        <v>17.059699999999999</v>
      </c>
      <c r="G51">
        <v>17.077439999999999</v>
      </c>
      <c r="J51">
        <f t="shared" si="0"/>
        <v>-1.0816670000000013</v>
      </c>
      <c r="K51">
        <f t="shared" si="1"/>
        <v>-12.598499999999291</v>
      </c>
      <c r="L51">
        <f t="shared" si="2"/>
        <v>-8.8699999999999335</v>
      </c>
    </row>
    <row r="52" spans="1:12" x14ac:dyDescent="0.35">
      <c r="A52">
        <v>7</v>
      </c>
      <c r="B52">
        <v>17.768999999999998</v>
      </c>
      <c r="C52">
        <v>18.165409</v>
      </c>
      <c r="D52">
        <v>18.152249000000001</v>
      </c>
      <c r="E52">
        <v>18.178578999999999</v>
      </c>
      <c r="F52">
        <v>18.155366000000001</v>
      </c>
      <c r="G52">
        <v>18.175456000000001</v>
      </c>
      <c r="J52">
        <f t="shared" si="0"/>
        <v>-0.39640900000000201</v>
      </c>
      <c r="K52">
        <f t="shared" si="1"/>
        <v>-13.164999999998983</v>
      </c>
      <c r="L52">
        <f t="shared" si="2"/>
        <v>-10.04499999999986</v>
      </c>
    </row>
    <row r="53" spans="1:12" x14ac:dyDescent="0.35">
      <c r="A53">
        <v>7</v>
      </c>
      <c r="B53">
        <v>19.7805</v>
      </c>
      <c r="C53">
        <v>20.488099999999999</v>
      </c>
      <c r="D53">
        <v>20.474177999999998</v>
      </c>
      <c r="E53">
        <v>20.502037000000001</v>
      </c>
      <c r="F53">
        <v>20.476299000000001</v>
      </c>
      <c r="G53">
        <v>20.499911999999998</v>
      </c>
      <c r="J53">
        <f t="shared" si="0"/>
        <v>-0.70759999999999934</v>
      </c>
      <c r="K53">
        <f t="shared" si="1"/>
        <v>-13.929500000001482</v>
      </c>
      <c r="L53">
        <f t="shared" si="2"/>
        <v>-11.806499999998721</v>
      </c>
    </row>
    <row r="54" spans="1:12" x14ac:dyDescent="0.35">
      <c r="A54">
        <v>7</v>
      </c>
      <c r="B54">
        <v>20.157</v>
      </c>
      <c r="C54">
        <v>20.624227999999999</v>
      </c>
      <c r="D54">
        <v>20.610242</v>
      </c>
      <c r="E54">
        <v>20.638228000000002</v>
      </c>
      <c r="F54">
        <v>20.612217000000001</v>
      </c>
      <c r="G54">
        <v>20.636248999999999</v>
      </c>
      <c r="J54">
        <f t="shared" si="0"/>
        <v>-0.46722799999999864</v>
      </c>
      <c r="K54">
        <f t="shared" si="1"/>
        <v>-13.993000000001032</v>
      </c>
      <c r="L54">
        <f t="shared" si="2"/>
        <v>-12.015999999999138</v>
      </c>
    </row>
    <row r="55" spans="1:12" x14ac:dyDescent="0.35">
      <c r="A55">
        <v>7</v>
      </c>
      <c r="B55">
        <v>24.649799999999999</v>
      </c>
      <c r="C55">
        <v>25.270486999999999</v>
      </c>
      <c r="D55">
        <v>25.254857999999999</v>
      </c>
      <c r="E55">
        <v>25.286135999999999</v>
      </c>
      <c r="F55">
        <v>25.254740999999999</v>
      </c>
      <c r="G55">
        <v>25.286254</v>
      </c>
      <c r="J55">
        <f t="shared" si="0"/>
        <v>-0.62068700000000021</v>
      </c>
      <c r="K55">
        <f t="shared" si="1"/>
        <v>-15.639000000000181</v>
      </c>
      <c r="L55">
        <f t="shared" si="2"/>
        <v>-15.756500000000173</v>
      </c>
    </row>
    <row r="56" spans="1:12" x14ac:dyDescent="0.35">
      <c r="A56">
        <v>7</v>
      </c>
      <c r="B56">
        <v>24.670999999999999</v>
      </c>
      <c r="C56">
        <v>25.273484</v>
      </c>
      <c r="D56">
        <v>25.257857000000001</v>
      </c>
      <c r="E56">
        <v>25.28913</v>
      </c>
      <c r="F56">
        <v>25.257726999999999</v>
      </c>
      <c r="G56">
        <v>25.289261</v>
      </c>
      <c r="J56">
        <f t="shared" si="0"/>
        <v>-0.60248400000000046</v>
      </c>
      <c r="K56">
        <f t="shared" si="1"/>
        <v>-15.636499999999387</v>
      </c>
      <c r="L56">
        <f t="shared" si="2"/>
        <v>-15.767000000000309</v>
      </c>
    </row>
    <row r="57" spans="1:12" x14ac:dyDescent="0.35">
      <c r="A57">
        <v>7</v>
      </c>
      <c r="B57">
        <v>31.301100000000002</v>
      </c>
      <c r="C57">
        <v>31.905023</v>
      </c>
      <c r="D57">
        <v>31.887032999999999</v>
      </c>
      <c r="E57">
        <v>31.923038999999999</v>
      </c>
      <c r="F57">
        <v>31.883845999999998</v>
      </c>
      <c r="G57">
        <v>31.926234000000001</v>
      </c>
      <c r="J57">
        <f t="shared" si="0"/>
        <v>-0.60392299999999821</v>
      </c>
      <c r="K57">
        <f t="shared" si="1"/>
        <v>-18.003000000000213</v>
      </c>
      <c r="L57">
        <f t="shared" si="2"/>
        <v>-21.194000000001267</v>
      </c>
    </row>
    <row r="58" spans="1:12" x14ac:dyDescent="0.35">
      <c r="A58">
        <v>7</v>
      </c>
      <c r="B58">
        <v>31.301600000000001</v>
      </c>
      <c r="C58">
        <v>31.905033</v>
      </c>
      <c r="D58">
        <v>31.887043999999999</v>
      </c>
      <c r="E58">
        <v>31.92305</v>
      </c>
      <c r="F58">
        <v>31.883856999999999</v>
      </c>
      <c r="G58">
        <v>31.926245000000002</v>
      </c>
      <c r="J58">
        <f t="shared" si="0"/>
        <v>-0.603432999999999</v>
      </c>
      <c r="K58">
        <f t="shared" si="1"/>
        <v>-18.003000000000213</v>
      </c>
      <c r="L58">
        <f t="shared" si="2"/>
        <v>-21.194000000001267</v>
      </c>
    </row>
    <row r="59" spans="1:12" x14ac:dyDescent="0.35">
      <c r="A59">
        <v>7</v>
      </c>
      <c r="B59">
        <v>39.857300000000002</v>
      </c>
      <c r="C59">
        <v>40.436385999999999</v>
      </c>
      <c r="D59">
        <v>40.415362999999999</v>
      </c>
      <c r="E59">
        <v>40.457445999999997</v>
      </c>
      <c r="F59">
        <v>40.408225999999999</v>
      </c>
      <c r="G59">
        <v>40.464599999999997</v>
      </c>
      <c r="J59">
        <f t="shared" si="0"/>
        <v>-0.57908599999999666</v>
      </c>
      <c r="K59">
        <f t="shared" si="1"/>
        <v>-21.041499999999047</v>
      </c>
      <c r="L59">
        <f t="shared" si="2"/>
        <v>-28.186999999999074</v>
      </c>
    </row>
    <row r="60" spans="1:12" x14ac:dyDescent="0.35">
      <c r="A60">
        <v>7</v>
      </c>
      <c r="B60">
        <v>39.857300000000002</v>
      </c>
      <c r="C60">
        <v>40.436387000000003</v>
      </c>
      <c r="D60">
        <v>40.415362999999999</v>
      </c>
      <c r="E60">
        <v>40.457445999999997</v>
      </c>
      <c r="F60">
        <v>40.408226999999997</v>
      </c>
      <c r="G60">
        <v>40.464599999999997</v>
      </c>
      <c r="J60">
        <f t="shared" si="0"/>
        <v>-0.57908700000000124</v>
      </c>
      <c r="K60">
        <f t="shared" si="1"/>
        <v>-21.041499999999047</v>
      </c>
      <c r="L60">
        <f t="shared" si="2"/>
        <v>-28.186500000000336</v>
      </c>
    </row>
    <row r="61" spans="1:12" x14ac:dyDescent="0.35">
      <c r="A61">
        <v>7</v>
      </c>
      <c r="B61">
        <v>50.3157</v>
      </c>
      <c r="C61">
        <v>50.858919999999998</v>
      </c>
      <c r="D61">
        <v>50.834198999999998</v>
      </c>
      <c r="E61">
        <v>50.883688999999997</v>
      </c>
      <c r="F61">
        <v>50.822223000000001</v>
      </c>
      <c r="G61">
        <v>50.895693000000001</v>
      </c>
      <c r="J61">
        <f t="shared" si="0"/>
        <v>-0.54321999999999804</v>
      </c>
      <c r="K61">
        <f t="shared" si="1"/>
        <v>-24.744999999999351</v>
      </c>
      <c r="L61">
        <f t="shared" si="2"/>
        <v>-36.735000000000184</v>
      </c>
    </row>
    <row r="62" spans="1:12" x14ac:dyDescent="0.35">
      <c r="A62">
        <v>7</v>
      </c>
      <c r="B62">
        <v>50.3157</v>
      </c>
      <c r="C62">
        <v>50.858919999999998</v>
      </c>
      <c r="D62">
        <v>50.834198999999998</v>
      </c>
      <c r="E62">
        <v>50.883688999999997</v>
      </c>
      <c r="F62">
        <v>50.822223000000001</v>
      </c>
      <c r="G62">
        <v>50.895693000000001</v>
      </c>
      <c r="J62">
        <f t="shared" si="0"/>
        <v>-0.54321999999999804</v>
      </c>
      <c r="K62">
        <f t="shared" si="1"/>
        <v>-24.744999999999351</v>
      </c>
      <c r="L62">
        <f t="shared" si="2"/>
        <v>-36.735000000000184</v>
      </c>
    </row>
    <row r="63" spans="1:12" x14ac:dyDescent="0.35">
      <c r="A63">
        <v>7</v>
      </c>
      <c r="B63">
        <v>62.67</v>
      </c>
      <c r="C63">
        <v>63.166961999999998</v>
      </c>
      <c r="D63">
        <v>63.137886999999999</v>
      </c>
      <c r="E63">
        <v>63.196097999999999</v>
      </c>
      <c r="F63">
        <v>63.120178000000003</v>
      </c>
      <c r="G63">
        <v>63.213847999999999</v>
      </c>
      <c r="J63">
        <f t="shared" si="0"/>
        <v>-0.49696199999999635</v>
      </c>
      <c r="K63">
        <f t="shared" si="1"/>
        <v>-29.105500000000006</v>
      </c>
      <c r="L63">
        <f t="shared" si="2"/>
        <v>-46.834999999997962</v>
      </c>
    </row>
    <row r="64" spans="1:12" x14ac:dyDescent="0.35">
      <c r="A64">
        <v>7</v>
      </c>
      <c r="B64">
        <v>62.67</v>
      </c>
      <c r="C64">
        <v>63.166961999999998</v>
      </c>
      <c r="D64">
        <v>63.137886999999999</v>
      </c>
      <c r="E64">
        <v>63.196097999999999</v>
      </c>
      <c r="F64">
        <v>63.120178000000003</v>
      </c>
      <c r="G64">
        <v>63.213847999999999</v>
      </c>
      <c r="J64">
        <f t="shared" si="0"/>
        <v>-0.49696199999999635</v>
      </c>
      <c r="K64">
        <f t="shared" si="1"/>
        <v>-29.105500000000006</v>
      </c>
      <c r="L64">
        <f t="shared" si="2"/>
        <v>-46.834999999997962</v>
      </c>
    </row>
    <row r="65" spans="1:12" x14ac:dyDescent="0.35">
      <c r="A65">
        <v>8</v>
      </c>
      <c r="B65">
        <v>19.991</v>
      </c>
      <c r="C65">
        <v>21.211399</v>
      </c>
      <c r="D65">
        <v>21.195466</v>
      </c>
      <c r="E65">
        <v>21.227347000000002</v>
      </c>
      <c r="F65">
        <v>21.200481</v>
      </c>
      <c r="G65">
        <v>21.222322999999999</v>
      </c>
      <c r="J65">
        <f t="shared" si="0"/>
        <v>-1.2203990000000005</v>
      </c>
      <c r="K65">
        <f t="shared" si="1"/>
        <v>-15.940500000001023</v>
      </c>
      <c r="L65">
        <f t="shared" si="2"/>
        <v>-10.920999999999736</v>
      </c>
    </row>
    <row r="66" spans="1:12" x14ac:dyDescent="0.35">
      <c r="A66">
        <v>8</v>
      </c>
      <c r="B66">
        <v>20.251000000000001</v>
      </c>
      <c r="C66">
        <v>21.638120000000001</v>
      </c>
      <c r="D66">
        <v>21.6221</v>
      </c>
      <c r="E66">
        <v>21.654156</v>
      </c>
      <c r="F66">
        <v>21.626933000000001</v>
      </c>
      <c r="G66">
        <v>21.649314</v>
      </c>
      <c r="J66">
        <f t="shared" si="0"/>
        <v>-1.3871199999999995</v>
      </c>
      <c r="K66">
        <f t="shared" si="1"/>
        <v>-16.028000000000375</v>
      </c>
      <c r="L66">
        <f t="shared" si="2"/>
        <v>-11.190499999999659</v>
      </c>
    </row>
    <row r="67" spans="1:12" x14ac:dyDescent="0.35">
      <c r="A67">
        <v>8</v>
      </c>
      <c r="B67">
        <v>22.5245</v>
      </c>
      <c r="C67">
        <v>23.061790999999999</v>
      </c>
      <c r="D67">
        <v>23.044996000000001</v>
      </c>
      <c r="E67">
        <v>23.078599000000001</v>
      </c>
      <c r="F67">
        <v>23.049118</v>
      </c>
      <c r="G67">
        <v>23.074468</v>
      </c>
      <c r="J67">
        <f t="shared" ref="J67:J100" si="4">B67-C67</f>
        <v>-0.53729099999999974</v>
      </c>
      <c r="K67">
        <f t="shared" ref="K67:K100" si="5">(D67-E67)/(2*0.001)</f>
        <v>-16.801499999999692</v>
      </c>
      <c r="L67">
        <f t="shared" ref="L67:L100" si="6">(F67-G67)/(2*0.001)</f>
        <v>-12.67499999999977</v>
      </c>
    </row>
    <row r="68" spans="1:12" x14ac:dyDescent="0.35">
      <c r="A68">
        <v>8</v>
      </c>
      <c r="B68">
        <v>24.317</v>
      </c>
      <c r="C68">
        <v>25.236018000000001</v>
      </c>
      <c r="D68">
        <v>25.218544000000001</v>
      </c>
      <c r="E68">
        <v>25.253509999999999</v>
      </c>
      <c r="F68">
        <v>25.221734000000001</v>
      </c>
      <c r="G68">
        <v>25.250313999999999</v>
      </c>
      <c r="J68">
        <f t="shared" si="4"/>
        <v>-0.91901800000000122</v>
      </c>
      <c r="K68">
        <f t="shared" si="5"/>
        <v>-17.482999999998583</v>
      </c>
      <c r="L68">
        <f t="shared" si="6"/>
        <v>-14.289999999999026</v>
      </c>
    </row>
    <row r="69" spans="1:12" x14ac:dyDescent="0.35">
      <c r="A69">
        <v>8</v>
      </c>
      <c r="B69">
        <v>24.9162</v>
      </c>
      <c r="C69">
        <v>25.464596</v>
      </c>
      <c r="D69">
        <v>25.446999000000002</v>
      </c>
      <c r="E69">
        <v>25.482209999999998</v>
      </c>
      <c r="F69">
        <v>25.44998</v>
      </c>
      <c r="G69">
        <v>25.479223999999999</v>
      </c>
      <c r="J69">
        <f t="shared" si="4"/>
        <v>-0.54839600000000033</v>
      </c>
      <c r="K69">
        <f t="shared" si="5"/>
        <v>-17.605499999998386</v>
      </c>
      <c r="L69">
        <f t="shared" si="6"/>
        <v>-14.621999999999247</v>
      </c>
    </row>
    <row r="70" spans="1:12" x14ac:dyDescent="0.35">
      <c r="A70">
        <v>8</v>
      </c>
      <c r="B70">
        <v>29.2532</v>
      </c>
      <c r="C70">
        <v>30.045985999999999</v>
      </c>
      <c r="D70">
        <v>30.026785</v>
      </c>
      <c r="E70">
        <v>30.065211000000001</v>
      </c>
      <c r="F70">
        <v>30.027723000000002</v>
      </c>
      <c r="G70">
        <v>30.064271999999999</v>
      </c>
      <c r="J70">
        <f t="shared" si="4"/>
        <v>-0.79278599999999955</v>
      </c>
      <c r="K70">
        <f t="shared" si="5"/>
        <v>-19.213000000000591</v>
      </c>
      <c r="L70">
        <f t="shared" si="6"/>
        <v>-18.274499999998639</v>
      </c>
    </row>
    <row r="71" spans="1:12" x14ac:dyDescent="0.35">
      <c r="A71">
        <v>8</v>
      </c>
      <c r="B71">
        <v>29.299399999999999</v>
      </c>
      <c r="C71">
        <v>30.053082</v>
      </c>
      <c r="D71">
        <v>30.033882999999999</v>
      </c>
      <c r="E71">
        <v>30.072303999999999</v>
      </c>
      <c r="F71">
        <v>30.034797000000001</v>
      </c>
      <c r="G71">
        <v>30.071389</v>
      </c>
      <c r="J71">
        <f t="shared" si="4"/>
        <v>-0.7536820000000013</v>
      </c>
      <c r="K71">
        <f t="shared" si="5"/>
        <v>-19.210499999999797</v>
      </c>
      <c r="L71">
        <f t="shared" si="6"/>
        <v>-18.295999999999424</v>
      </c>
    </row>
    <row r="72" spans="1:12" x14ac:dyDescent="0.35">
      <c r="A72">
        <v>8</v>
      </c>
      <c r="B72">
        <v>35.900199999999998</v>
      </c>
      <c r="C72">
        <v>36.678944000000001</v>
      </c>
      <c r="D72">
        <v>36.657380000000003</v>
      </c>
      <c r="E72">
        <v>36.700538000000002</v>
      </c>
      <c r="F72">
        <v>36.655253999999999</v>
      </c>
      <c r="G72">
        <v>36.702669999999998</v>
      </c>
      <c r="J72">
        <f t="shared" si="4"/>
        <v>-0.77874400000000321</v>
      </c>
      <c r="K72">
        <f t="shared" si="5"/>
        <v>-21.578999999999127</v>
      </c>
      <c r="L72">
        <f t="shared" si="6"/>
        <v>-23.707999999999174</v>
      </c>
    </row>
    <row r="73" spans="1:12" x14ac:dyDescent="0.35">
      <c r="A73">
        <v>8</v>
      </c>
      <c r="B73">
        <v>35.901499999999999</v>
      </c>
      <c r="C73">
        <v>36.678964000000001</v>
      </c>
      <c r="D73">
        <v>36.657400000000003</v>
      </c>
      <c r="E73">
        <v>36.700558000000001</v>
      </c>
      <c r="F73">
        <v>36.655275000000003</v>
      </c>
      <c r="G73">
        <v>36.702688999999999</v>
      </c>
      <c r="J73">
        <f t="shared" si="4"/>
        <v>-0.77746400000000193</v>
      </c>
      <c r="K73">
        <f t="shared" si="5"/>
        <v>-21.578999999999127</v>
      </c>
      <c r="L73">
        <f t="shared" si="6"/>
        <v>-23.706999999998146</v>
      </c>
    </row>
    <row r="74" spans="1:12" x14ac:dyDescent="0.35">
      <c r="A74">
        <v>8</v>
      </c>
      <c r="B74">
        <v>44.450099999999999</v>
      </c>
      <c r="C74">
        <v>45.211345000000001</v>
      </c>
      <c r="D74">
        <v>45.18674</v>
      </c>
      <c r="E74">
        <v>45.235990000000001</v>
      </c>
      <c r="F74">
        <v>45.180678999999998</v>
      </c>
      <c r="G74">
        <v>45.242066000000001</v>
      </c>
      <c r="J74">
        <f t="shared" si="4"/>
        <v>-0.76124500000000239</v>
      </c>
      <c r="K74">
        <f t="shared" si="5"/>
        <v>-24.625000000000341</v>
      </c>
      <c r="L74">
        <f t="shared" si="6"/>
        <v>-30.693500000001706</v>
      </c>
    </row>
    <row r="75" spans="1:12" x14ac:dyDescent="0.35">
      <c r="A75">
        <v>8</v>
      </c>
      <c r="B75">
        <v>44.450099999999999</v>
      </c>
      <c r="C75">
        <v>45.211348000000001</v>
      </c>
      <c r="D75">
        <v>45.186742000000002</v>
      </c>
      <c r="E75">
        <v>45.235992000000003</v>
      </c>
      <c r="F75">
        <v>45.180681</v>
      </c>
      <c r="G75">
        <v>45.242069000000001</v>
      </c>
      <c r="J75">
        <f t="shared" si="4"/>
        <v>-0.76124800000000192</v>
      </c>
      <c r="K75">
        <f t="shared" si="5"/>
        <v>-24.625000000000341</v>
      </c>
      <c r="L75">
        <f t="shared" si="6"/>
        <v>-30.694000000000443</v>
      </c>
    </row>
    <row r="76" spans="1:12" x14ac:dyDescent="0.35">
      <c r="A76">
        <v>8</v>
      </c>
      <c r="B76">
        <v>54.9054</v>
      </c>
      <c r="C76">
        <v>55.637256000000001</v>
      </c>
      <c r="D76">
        <v>55.608939999999997</v>
      </c>
      <c r="E76">
        <v>55.665621000000002</v>
      </c>
      <c r="F76">
        <v>55.598058000000002</v>
      </c>
      <c r="G76">
        <v>55.676529000000002</v>
      </c>
      <c r="J76">
        <f t="shared" si="4"/>
        <v>-0.73185600000000051</v>
      </c>
      <c r="K76">
        <f t="shared" si="5"/>
        <v>-28.340500000002322</v>
      </c>
      <c r="L76">
        <f t="shared" si="6"/>
        <v>-39.235500000000201</v>
      </c>
    </row>
    <row r="77" spans="1:12" x14ac:dyDescent="0.35">
      <c r="A77">
        <v>8</v>
      </c>
      <c r="B77">
        <v>54.9054</v>
      </c>
      <c r="C77">
        <v>55.637256000000001</v>
      </c>
      <c r="D77">
        <v>55.608939999999997</v>
      </c>
      <c r="E77">
        <v>55.665621000000002</v>
      </c>
      <c r="F77">
        <v>55.598058000000002</v>
      </c>
      <c r="G77">
        <v>55.676529000000002</v>
      </c>
      <c r="J77">
        <f t="shared" si="4"/>
        <v>-0.73185600000000051</v>
      </c>
      <c r="K77">
        <f t="shared" si="5"/>
        <v>-28.340500000002322</v>
      </c>
      <c r="L77">
        <f t="shared" si="6"/>
        <v>-39.235500000000201</v>
      </c>
    </row>
    <row r="78" spans="1:12" x14ac:dyDescent="0.35">
      <c r="A78">
        <v>8</v>
      </c>
      <c r="B78">
        <v>67.258099999999999</v>
      </c>
      <c r="C78">
        <v>67.950402999999994</v>
      </c>
      <c r="D78">
        <v>67.917717999999994</v>
      </c>
      <c r="E78">
        <v>67.983152000000004</v>
      </c>
      <c r="F78">
        <v>67.901124999999993</v>
      </c>
      <c r="G78">
        <v>67.999782999999994</v>
      </c>
      <c r="J78">
        <f t="shared" si="4"/>
        <v>-0.69230299999999545</v>
      </c>
      <c r="K78">
        <f t="shared" si="5"/>
        <v>-32.717000000005214</v>
      </c>
      <c r="L78">
        <f t="shared" si="6"/>
        <v>-49.329000000000178</v>
      </c>
    </row>
    <row r="79" spans="1:12" x14ac:dyDescent="0.35">
      <c r="A79">
        <v>8</v>
      </c>
      <c r="B79">
        <v>67.258099999999999</v>
      </c>
      <c r="C79">
        <v>67.950402999999994</v>
      </c>
      <c r="D79">
        <v>67.917717999999994</v>
      </c>
      <c r="E79">
        <v>67.983152000000004</v>
      </c>
      <c r="F79">
        <v>67.901124999999993</v>
      </c>
      <c r="G79">
        <v>67.999782999999994</v>
      </c>
      <c r="J79">
        <f t="shared" si="4"/>
        <v>-0.69230299999999545</v>
      </c>
      <c r="K79">
        <f t="shared" si="5"/>
        <v>-32.717000000005214</v>
      </c>
      <c r="L79">
        <f t="shared" si="6"/>
        <v>-49.329000000000178</v>
      </c>
    </row>
    <row r="80" spans="1:12" x14ac:dyDescent="0.35">
      <c r="A80">
        <v>8</v>
      </c>
      <c r="B80">
        <v>81.501999999999995</v>
      </c>
      <c r="C80">
        <v>82.144633999999996</v>
      </c>
      <c r="D80">
        <v>82.106928999999994</v>
      </c>
      <c r="E80">
        <v>82.182417000000001</v>
      </c>
      <c r="F80">
        <v>82.083729000000005</v>
      </c>
      <c r="G80">
        <v>82.205672000000007</v>
      </c>
      <c r="J80">
        <f t="shared" si="4"/>
        <v>-0.64263400000000104</v>
      </c>
      <c r="K80">
        <f t="shared" si="5"/>
        <v>-37.744000000003552</v>
      </c>
      <c r="L80">
        <f t="shared" si="6"/>
        <v>-60.971500000000844</v>
      </c>
    </row>
    <row r="81" spans="1:12" x14ac:dyDescent="0.35">
      <c r="A81">
        <v>8</v>
      </c>
      <c r="B81">
        <v>81.501999999999995</v>
      </c>
      <c r="C81">
        <v>82.144633999999996</v>
      </c>
      <c r="D81">
        <v>82.106928999999994</v>
      </c>
      <c r="E81">
        <v>82.182417000000001</v>
      </c>
      <c r="F81">
        <v>82.083729000000005</v>
      </c>
      <c r="G81">
        <v>82.205672000000007</v>
      </c>
      <c r="J81">
        <f t="shared" si="4"/>
        <v>-0.64263400000000104</v>
      </c>
      <c r="K81">
        <f t="shared" si="5"/>
        <v>-37.744000000003552</v>
      </c>
      <c r="L81">
        <f t="shared" si="6"/>
        <v>-60.971500000000844</v>
      </c>
    </row>
    <row r="82" spans="1:12" x14ac:dyDescent="0.35">
      <c r="A82">
        <v>9</v>
      </c>
      <c r="B82">
        <v>24.845500000000001</v>
      </c>
      <c r="C82">
        <v>26.418302000000001</v>
      </c>
      <c r="D82">
        <v>26.398503999999999</v>
      </c>
      <c r="E82">
        <v>26.438117999999999</v>
      </c>
      <c r="F82">
        <v>26.404710999999999</v>
      </c>
      <c r="G82">
        <v>26.431899000000001</v>
      </c>
      <c r="J82">
        <f t="shared" si="4"/>
        <v>-1.5728019999999994</v>
      </c>
      <c r="K82">
        <f t="shared" si="5"/>
        <v>-19.80700000000013</v>
      </c>
      <c r="L82">
        <f t="shared" si="6"/>
        <v>-13.594000000001216</v>
      </c>
    </row>
    <row r="83" spans="1:12" x14ac:dyDescent="0.35">
      <c r="A83">
        <v>9</v>
      </c>
      <c r="B83">
        <v>25.034300000000002</v>
      </c>
      <c r="C83">
        <v>26.761642999999999</v>
      </c>
      <c r="D83">
        <v>26.741799</v>
      </c>
      <c r="E83">
        <v>26.781507999999999</v>
      </c>
      <c r="F83">
        <v>26.747844000000001</v>
      </c>
      <c r="G83">
        <v>26.775451</v>
      </c>
      <c r="J83">
        <f t="shared" si="4"/>
        <v>-1.7273429999999976</v>
      </c>
      <c r="K83">
        <f t="shared" si="5"/>
        <v>-19.85449999999922</v>
      </c>
      <c r="L83">
        <f t="shared" si="6"/>
        <v>-13.803499999999858</v>
      </c>
    </row>
    <row r="84" spans="1:12" x14ac:dyDescent="0.35">
      <c r="A84">
        <v>9</v>
      </c>
      <c r="B84">
        <v>27.844799999999999</v>
      </c>
      <c r="C84">
        <v>28.556483</v>
      </c>
      <c r="D84">
        <v>28.535616000000001</v>
      </c>
      <c r="E84">
        <v>28.577368</v>
      </c>
      <c r="F84">
        <v>28.540862000000001</v>
      </c>
      <c r="G84">
        <v>28.572109999999999</v>
      </c>
      <c r="J84">
        <f t="shared" si="4"/>
        <v>-0.71168300000000073</v>
      </c>
      <c r="K84">
        <f t="shared" si="5"/>
        <v>-20.875999999999451</v>
      </c>
      <c r="L84">
        <f t="shared" si="6"/>
        <v>-15.623999999998972</v>
      </c>
    </row>
    <row r="85" spans="1:12" x14ac:dyDescent="0.35">
      <c r="A85">
        <v>9</v>
      </c>
      <c r="B85">
        <v>29.4069</v>
      </c>
      <c r="C85">
        <v>30.565754999999999</v>
      </c>
      <c r="D85">
        <v>30.544305000000001</v>
      </c>
      <c r="E85">
        <v>30.587225</v>
      </c>
      <c r="F85">
        <v>30.548677999999999</v>
      </c>
      <c r="G85">
        <v>30.582844000000001</v>
      </c>
      <c r="J85">
        <f t="shared" si="4"/>
        <v>-1.1588549999999991</v>
      </c>
      <c r="K85">
        <f t="shared" si="5"/>
        <v>-21.459999999999368</v>
      </c>
      <c r="L85">
        <f t="shared" si="6"/>
        <v>-17.083000000001292</v>
      </c>
    </row>
    <row r="86" spans="1:12" x14ac:dyDescent="0.35">
      <c r="A86">
        <v>9</v>
      </c>
      <c r="B86">
        <v>30.296399999999998</v>
      </c>
      <c r="C86">
        <v>30.925091999999999</v>
      </c>
      <c r="D86">
        <v>30.903426</v>
      </c>
      <c r="E86">
        <v>30.946777000000001</v>
      </c>
      <c r="F86">
        <v>30.907522</v>
      </c>
      <c r="G86">
        <v>30.942672999999999</v>
      </c>
      <c r="J86">
        <f t="shared" si="4"/>
        <v>-0.62869200000000092</v>
      </c>
      <c r="K86">
        <f t="shared" si="5"/>
        <v>-21.675500000000625</v>
      </c>
      <c r="L86">
        <f t="shared" si="6"/>
        <v>-17.575499999999522</v>
      </c>
    </row>
    <row r="87" spans="1:12" x14ac:dyDescent="0.35">
      <c r="A87">
        <v>9</v>
      </c>
      <c r="B87">
        <v>34.4345</v>
      </c>
      <c r="C87">
        <v>35.415218000000003</v>
      </c>
      <c r="D87">
        <v>35.392007999999997</v>
      </c>
      <c r="E87">
        <v>35.438453000000003</v>
      </c>
      <c r="F87">
        <v>35.394114999999999</v>
      </c>
      <c r="G87">
        <v>35.436343000000001</v>
      </c>
      <c r="J87">
        <f t="shared" si="4"/>
        <v>-0.98071800000000309</v>
      </c>
      <c r="K87">
        <f t="shared" si="5"/>
        <v>-23.22250000000281</v>
      </c>
      <c r="L87">
        <f t="shared" si="6"/>
        <v>-21.114000000000743</v>
      </c>
    </row>
    <row r="88" spans="1:12" x14ac:dyDescent="0.35">
      <c r="A88">
        <v>9</v>
      </c>
      <c r="B88">
        <v>34.525500000000001</v>
      </c>
      <c r="C88">
        <v>35.430472000000002</v>
      </c>
      <c r="D88">
        <v>35.407265000000002</v>
      </c>
      <c r="E88">
        <v>35.453705999999997</v>
      </c>
      <c r="F88">
        <v>35.409328000000002</v>
      </c>
      <c r="G88">
        <v>35.451639</v>
      </c>
      <c r="J88">
        <f t="shared" si="4"/>
        <v>-0.90497200000000078</v>
      </c>
      <c r="K88">
        <f t="shared" si="5"/>
        <v>-23.220499999997202</v>
      </c>
      <c r="L88">
        <f t="shared" si="6"/>
        <v>-21.155499999998995</v>
      </c>
    </row>
    <row r="89" spans="1:12" x14ac:dyDescent="0.35">
      <c r="A89">
        <v>9</v>
      </c>
      <c r="B89">
        <v>41.079000000000001</v>
      </c>
      <c r="C89">
        <v>42.045667000000002</v>
      </c>
      <c r="D89">
        <v>42.020096000000002</v>
      </c>
      <c r="E89">
        <v>42.071269999999998</v>
      </c>
      <c r="F89">
        <v>42.019140999999998</v>
      </c>
      <c r="G89">
        <v>42.072229</v>
      </c>
      <c r="J89">
        <f t="shared" si="4"/>
        <v>-0.96666700000000105</v>
      </c>
      <c r="K89">
        <f t="shared" si="5"/>
        <v>-25.586999999998028</v>
      </c>
      <c r="L89">
        <f t="shared" si="6"/>
        <v>-26.544000000001233</v>
      </c>
    </row>
    <row r="90" spans="1:12" x14ac:dyDescent="0.35">
      <c r="A90">
        <v>9</v>
      </c>
      <c r="B90">
        <v>41.0824</v>
      </c>
      <c r="C90">
        <v>42.045682999999997</v>
      </c>
      <c r="D90">
        <v>42.020111</v>
      </c>
      <c r="E90">
        <v>42.071286999999998</v>
      </c>
      <c r="F90">
        <v>42.019157999999997</v>
      </c>
      <c r="G90">
        <v>42.072243999999998</v>
      </c>
      <c r="J90">
        <f t="shared" si="4"/>
        <v>-0.963282999999997</v>
      </c>
      <c r="K90">
        <f t="shared" si="5"/>
        <v>-25.587999999999056</v>
      </c>
      <c r="L90">
        <f t="shared" si="6"/>
        <v>-26.543000000000205</v>
      </c>
    </row>
    <row r="91" spans="1:12" x14ac:dyDescent="0.35">
      <c r="A91">
        <v>9</v>
      </c>
      <c r="B91">
        <v>49.620399999999997</v>
      </c>
      <c r="C91">
        <v>50.577962999999997</v>
      </c>
      <c r="D91">
        <v>50.549343999999998</v>
      </c>
      <c r="E91">
        <v>50.606623999999996</v>
      </c>
      <c r="F91">
        <v>50.544468000000002</v>
      </c>
      <c r="G91">
        <v>50.611513000000002</v>
      </c>
      <c r="J91">
        <f t="shared" si="4"/>
        <v>-0.95756300000000039</v>
      </c>
      <c r="K91">
        <f t="shared" si="5"/>
        <v>-28.639999999999333</v>
      </c>
      <c r="L91">
        <f t="shared" si="6"/>
        <v>-33.522500000000122</v>
      </c>
    </row>
    <row r="92" spans="1:12" x14ac:dyDescent="0.35">
      <c r="A92">
        <v>9</v>
      </c>
      <c r="B92">
        <v>49.620399999999997</v>
      </c>
      <c r="C92">
        <v>50.577970999999998</v>
      </c>
      <c r="D92">
        <v>50.549351999999999</v>
      </c>
      <c r="E92">
        <v>50.606631999999998</v>
      </c>
      <c r="F92">
        <v>50.544476000000003</v>
      </c>
      <c r="G92">
        <v>50.611521000000003</v>
      </c>
      <c r="J92">
        <f t="shared" si="4"/>
        <v>-0.9575710000000015</v>
      </c>
      <c r="K92">
        <f t="shared" si="5"/>
        <v>-28.639999999999333</v>
      </c>
      <c r="L92">
        <f t="shared" si="6"/>
        <v>-33.522500000000122</v>
      </c>
    </row>
    <row r="93" spans="1:12" x14ac:dyDescent="0.35">
      <c r="A93">
        <v>9</v>
      </c>
      <c r="B93">
        <v>60.070999999999998</v>
      </c>
      <c r="C93">
        <v>61.006788999999998</v>
      </c>
      <c r="D93">
        <v>60.974449</v>
      </c>
      <c r="E93">
        <v>61.039181999999997</v>
      </c>
      <c r="F93">
        <v>60.964768999999997</v>
      </c>
      <c r="G93">
        <v>61.048884999999999</v>
      </c>
      <c r="J93">
        <f t="shared" si="4"/>
        <v>-0.93578899999999976</v>
      </c>
      <c r="K93">
        <f t="shared" si="5"/>
        <v>-32.36649999999841</v>
      </c>
      <c r="L93">
        <f t="shared" si="6"/>
        <v>-42.058000000000817</v>
      </c>
    </row>
    <row r="94" spans="1:12" x14ac:dyDescent="0.35">
      <c r="A94">
        <v>9</v>
      </c>
      <c r="B94">
        <v>60.070999999999998</v>
      </c>
      <c r="C94">
        <v>61.006788999999998</v>
      </c>
      <c r="D94">
        <v>60.974449</v>
      </c>
      <c r="E94">
        <v>61.039181999999997</v>
      </c>
      <c r="F94">
        <v>60.964768999999997</v>
      </c>
      <c r="G94">
        <v>61.048884999999999</v>
      </c>
      <c r="J94">
        <f t="shared" si="4"/>
        <v>-0.93578899999999976</v>
      </c>
      <c r="K94">
        <f t="shared" si="5"/>
        <v>-32.36649999999841</v>
      </c>
      <c r="L94">
        <f t="shared" si="6"/>
        <v>-42.058000000000817</v>
      </c>
    </row>
    <row r="95" spans="1:12" x14ac:dyDescent="0.35">
      <c r="A95">
        <v>9</v>
      </c>
      <c r="B95">
        <v>72.421300000000002</v>
      </c>
      <c r="C95">
        <v>73.324921000000003</v>
      </c>
      <c r="D95">
        <v>73.288195999999999</v>
      </c>
      <c r="E95">
        <v>73.361712999999995</v>
      </c>
      <c r="F95">
        <v>73.272828000000004</v>
      </c>
      <c r="G95">
        <v>73.377116999999998</v>
      </c>
      <c r="J95">
        <f t="shared" si="4"/>
        <v>-0.90362100000000112</v>
      </c>
      <c r="K95">
        <f t="shared" si="5"/>
        <v>-36.758499999997696</v>
      </c>
      <c r="L95">
        <f t="shared" si="6"/>
        <v>-52.144499999997151</v>
      </c>
    </row>
    <row r="96" spans="1:12" x14ac:dyDescent="0.35">
      <c r="A96">
        <v>9</v>
      </c>
      <c r="B96">
        <v>72.421300000000002</v>
      </c>
      <c r="C96">
        <v>73.324921000000003</v>
      </c>
      <c r="D96">
        <v>73.288195999999999</v>
      </c>
      <c r="E96">
        <v>73.361712999999995</v>
      </c>
      <c r="F96">
        <v>73.272828000000004</v>
      </c>
      <c r="G96">
        <v>73.377116999999998</v>
      </c>
      <c r="J96">
        <f t="shared" si="4"/>
        <v>-0.90362100000000112</v>
      </c>
      <c r="K96">
        <f t="shared" si="5"/>
        <v>-36.758499999997696</v>
      </c>
      <c r="L96">
        <f t="shared" si="6"/>
        <v>-52.144499999997151</v>
      </c>
    </row>
    <row r="97" spans="1:12" x14ac:dyDescent="0.35">
      <c r="A97">
        <v>9</v>
      </c>
      <c r="B97">
        <v>86.664000000000001</v>
      </c>
      <c r="C97">
        <v>87.525937999999996</v>
      </c>
      <c r="D97">
        <v>87.484173999999996</v>
      </c>
      <c r="E97">
        <v>87.567785000000001</v>
      </c>
      <c r="F97">
        <v>87.462226999999999</v>
      </c>
      <c r="G97">
        <v>87.589783999999995</v>
      </c>
      <c r="J97">
        <f t="shared" si="4"/>
        <v>-0.86193799999999499</v>
      </c>
      <c r="K97">
        <f t="shared" si="5"/>
        <v>-41.805500000002382</v>
      </c>
      <c r="L97">
        <f t="shared" si="6"/>
        <v>-63.778499999997962</v>
      </c>
    </row>
    <row r="98" spans="1:12" x14ac:dyDescent="0.35">
      <c r="A98">
        <v>9</v>
      </c>
      <c r="B98">
        <v>86.664000000000001</v>
      </c>
      <c r="C98">
        <v>87.525937999999996</v>
      </c>
      <c r="D98">
        <v>87.484173999999996</v>
      </c>
      <c r="E98">
        <v>87.567785000000001</v>
      </c>
      <c r="F98">
        <v>87.462226999999999</v>
      </c>
      <c r="G98">
        <v>87.589783999999995</v>
      </c>
      <c r="J98">
        <f t="shared" si="4"/>
        <v>-0.86193799999999499</v>
      </c>
      <c r="K98">
        <f t="shared" si="5"/>
        <v>-41.805500000002382</v>
      </c>
      <c r="L98">
        <f t="shared" si="6"/>
        <v>-63.778499999997962</v>
      </c>
    </row>
    <row r="99" spans="1:12" x14ac:dyDescent="0.35">
      <c r="A99">
        <v>9</v>
      </c>
      <c r="B99">
        <v>102.79259999999999</v>
      </c>
      <c r="C99">
        <v>103.60303</v>
      </c>
      <c r="D99">
        <v>103.555583</v>
      </c>
      <c r="E99">
        <v>103.650576</v>
      </c>
      <c r="F99">
        <v>103.526155</v>
      </c>
      <c r="G99">
        <v>103.68007299999999</v>
      </c>
      <c r="J99">
        <f t="shared" si="4"/>
        <v>-0.81043000000001086</v>
      </c>
      <c r="K99">
        <f t="shared" si="5"/>
        <v>-47.496500000001163</v>
      </c>
      <c r="L99">
        <f t="shared" si="6"/>
        <v>-76.958999999995115</v>
      </c>
    </row>
    <row r="100" spans="1:12" x14ac:dyDescent="0.35">
      <c r="A100">
        <v>9</v>
      </c>
      <c r="B100">
        <v>102.79259999999999</v>
      </c>
      <c r="C100">
        <v>103.60303</v>
      </c>
      <c r="D100">
        <v>103.555583</v>
      </c>
      <c r="E100">
        <v>103.650576</v>
      </c>
      <c r="F100">
        <v>103.526155</v>
      </c>
      <c r="G100">
        <v>103.68007299999999</v>
      </c>
      <c r="J100">
        <f t="shared" si="4"/>
        <v>-0.81043000000001086</v>
      </c>
      <c r="K100">
        <f t="shared" si="5"/>
        <v>-47.496500000001163</v>
      </c>
      <c r="L100">
        <f t="shared" si="6"/>
        <v>-76.958999999995115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52F2DD-4ADE-4999-8273-A0EEA28AC2B1}">
  <dimension ref="A1:S100"/>
  <sheetViews>
    <sheetView topLeftCell="B1" workbookViewId="0">
      <selection activeCell="Q10" sqref="Q10:Q11"/>
    </sheetView>
  </sheetViews>
  <sheetFormatPr defaultRowHeight="14.5" x14ac:dyDescent="0.35"/>
  <cols>
    <col min="1" max="1" width="6.08984375" customWidth="1"/>
    <col min="2" max="2" width="11" customWidth="1"/>
    <col min="10" max="10" width="9.81640625" bestFit="1" customWidth="1"/>
  </cols>
  <sheetData>
    <row r="1" spans="1:19" x14ac:dyDescent="0.35">
      <c r="A1" t="s">
        <v>6</v>
      </c>
      <c r="B1" t="s">
        <v>7</v>
      </c>
      <c r="C1" t="s">
        <v>5</v>
      </c>
      <c r="D1" t="s">
        <v>9</v>
      </c>
      <c r="E1" t="s">
        <v>8</v>
      </c>
      <c r="F1" t="s">
        <v>11</v>
      </c>
      <c r="G1" t="s">
        <v>10</v>
      </c>
      <c r="J1" t="s">
        <v>12</v>
      </c>
      <c r="K1" t="s">
        <v>13</v>
      </c>
      <c r="L1" t="s">
        <v>14</v>
      </c>
      <c r="O1" t="s">
        <v>18</v>
      </c>
      <c r="S1" t="s">
        <v>19</v>
      </c>
    </row>
    <row r="2" spans="1:19" x14ac:dyDescent="0.35">
      <c r="A2">
        <v>1</v>
      </c>
      <c r="B2">
        <v>0.57210000000000005</v>
      </c>
      <c r="C2">
        <v>0.57245800000000002</v>
      </c>
      <c r="D2">
        <v>0.57201900000000006</v>
      </c>
      <c r="E2">
        <v>0.57289699999999999</v>
      </c>
      <c r="F2">
        <v>0.57218400000000003</v>
      </c>
      <c r="G2">
        <v>0.57273200000000002</v>
      </c>
      <c r="J2">
        <f>B2-C2</f>
        <v>-3.5799999999996945E-4</v>
      </c>
      <c r="K2">
        <f>(D2-E2)/(2*0.001)</f>
        <v>-0.43899999999996719</v>
      </c>
      <c r="L2">
        <f>(F2-G2)/(2*0.001)</f>
        <v>-0.27399999999999647</v>
      </c>
      <c r="O2">
        <f>SUMSQ(K2:K100)</f>
        <v>30694.13119074914</v>
      </c>
      <c r="P2">
        <f>SUMPRODUCT(K2:K100,L2:L100)</f>
        <v>49472.14386024994</v>
      </c>
      <c r="S2">
        <f>SUMPRODUCT(J2:J100,K2:K100)</f>
        <v>269.9696770719936</v>
      </c>
    </row>
    <row r="3" spans="1:19" x14ac:dyDescent="0.35">
      <c r="A3">
        <v>1</v>
      </c>
      <c r="B3">
        <v>1.4932000000000001</v>
      </c>
      <c r="C3">
        <v>1.5140210000000001</v>
      </c>
      <c r="D3">
        <v>1.5133559999999999</v>
      </c>
      <c r="E3">
        <v>1.514686</v>
      </c>
      <c r="F3">
        <v>1.512845</v>
      </c>
      <c r="G3">
        <v>1.515199</v>
      </c>
      <c r="J3">
        <f>B3-C3</f>
        <v>-2.0820999999999978E-2</v>
      </c>
      <c r="K3">
        <f t="shared" ref="K3:K66" si="0">(D3-E3)/(2*0.001)</f>
        <v>-0.66500000000002668</v>
      </c>
      <c r="L3">
        <f t="shared" ref="L3:L66" si="1">(F3-G3)/(2*0.001)</f>
        <v>-1.1769999999999836</v>
      </c>
      <c r="O3">
        <f>P2</f>
        <v>49472.14386024994</v>
      </c>
      <c r="P3">
        <f>SUMSQ(L2:L100)</f>
        <v>88129.050694503865</v>
      </c>
      <c r="S3">
        <f>SUMPRODUCT(J2:J100,L2:L100)</f>
        <v>519.79218455851435</v>
      </c>
    </row>
    <row r="4" spans="1:19" x14ac:dyDescent="0.35">
      <c r="A4">
        <v>1</v>
      </c>
      <c r="B4">
        <v>1.5575000000000001</v>
      </c>
      <c r="C4">
        <v>1.5512680000000001</v>
      </c>
      <c r="D4">
        <v>1.5505770000000001</v>
      </c>
      <c r="E4">
        <v>1.55196</v>
      </c>
      <c r="F4">
        <v>1.550063</v>
      </c>
      <c r="G4">
        <v>1.552475</v>
      </c>
      <c r="J4">
        <f>B4-C4</f>
        <v>6.2320000000000153E-3</v>
      </c>
      <c r="K4">
        <f t="shared" si="0"/>
        <v>-0.69149999999995604</v>
      </c>
      <c r="L4">
        <f t="shared" si="1"/>
        <v>-1.2060000000000404</v>
      </c>
    </row>
    <row r="5" spans="1:19" x14ac:dyDescent="0.35">
      <c r="A5">
        <v>2</v>
      </c>
      <c r="B5">
        <v>1.7129000000000001</v>
      </c>
      <c r="C5">
        <v>1.7160329999999999</v>
      </c>
      <c r="D5">
        <v>1.71472</v>
      </c>
      <c r="E5">
        <v>1.7173480000000001</v>
      </c>
      <c r="F5">
        <v>1.715212</v>
      </c>
      <c r="G5">
        <v>1.716855</v>
      </c>
      <c r="J5">
        <f>B5-C5</f>
        <v>-3.1329999999998304E-3</v>
      </c>
      <c r="K5">
        <f t="shared" si="0"/>
        <v>-1.3140000000000374</v>
      </c>
      <c r="L5">
        <f t="shared" si="1"/>
        <v>-0.82150000000003054</v>
      </c>
    </row>
    <row r="6" spans="1:19" x14ac:dyDescent="0.35">
      <c r="A6">
        <v>2</v>
      </c>
      <c r="B6">
        <v>2.573</v>
      </c>
      <c r="C6">
        <v>2.6213700000000002</v>
      </c>
      <c r="D6">
        <v>2.619856</v>
      </c>
      <c r="E6">
        <v>2.622887</v>
      </c>
      <c r="F6">
        <v>2.6196760000000001</v>
      </c>
      <c r="G6">
        <v>2.6230669999999998</v>
      </c>
      <c r="J6">
        <f>B6-C6</f>
        <v>-4.8370000000000246E-2</v>
      </c>
      <c r="K6">
        <f t="shared" si="0"/>
        <v>-1.515500000000003</v>
      </c>
      <c r="L6">
        <f t="shared" si="1"/>
        <v>-1.6954999999998499</v>
      </c>
      <c r="O6" cm="1">
        <f t="array" ref="O6:P7">MINVERSE(O2:P3)</f>
        <v>3.4218013762414101E-4</v>
      </c>
      <c r="P6">
        <v>-1.920863195649668E-4</v>
      </c>
      <c r="S6" cm="1">
        <f t="array" ref="S6:S7">MMULT(_xlfn.ANCHORARRAY(O6),S2:S3)</f>
        <v>-7.4667064156393043E-3</v>
      </c>
    </row>
    <row r="7" spans="1:19" x14ac:dyDescent="0.35">
      <c r="A7">
        <v>2</v>
      </c>
      <c r="B7">
        <v>2.7658999999999998</v>
      </c>
      <c r="C7">
        <v>2.733438</v>
      </c>
      <c r="D7">
        <v>2.7318440000000002</v>
      </c>
      <c r="E7">
        <v>2.7350340000000002</v>
      </c>
      <c r="F7">
        <v>2.7316549999999999</v>
      </c>
      <c r="G7">
        <v>2.7352219999999998</v>
      </c>
      <c r="J7">
        <f>B7-C7</f>
        <v>3.2461999999999769E-2</v>
      </c>
      <c r="K7">
        <f t="shared" si="0"/>
        <v>-1.5950000000000131</v>
      </c>
      <c r="L7">
        <f t="shared" si="1"/>
        <v>-1.7834999999999379</v>
      </c>
      <c r="O7">
        <v>-1.9208631956496678E-4</v>
      </c>
      <c r="P7">
        <v>1.1917661602315421E-4</v>
      </c>
      <c r="S7">
        <v>1.0089591928064724E-2</v>
      </c>
    </row>
    <row r="8" spans="1:19" x14ac:dyDescent="0.35">
      <c r="A8">
        <v>2</v>
      </c>
      <c r="B8">
        <v>5.5289000000000001</v>
      </c>
      <c r="C8">
        <v>5.557912</v>
      </c>
      <c r="D8">
        <v>5.5556400000000004</v>
      </c>
      <c r="E8">
        <v>5.5601880000000001</v>
      </c>
      <c r="F8">
        <v>5.5534249999999998</v>
      </c>
      <c r="G8">
        <v>5.5624079999999996</v>
      </c>
      <c r="J8">
        <f>B8-C8</f>
        <v>-2.9011999999999816E-2</v>
      </c>
      <c r="K8">
        <f t="shared" si="0"/>
        <v>-2.2739999999998872</v>
      </c>
      <c r="L8">
        <f t="shared" si="1"/>
        <v>-4.4914999999998706</v>
      </c>
    </row>
    <row r="9" spans="1:19" x14ac:dyDescent="0.35">
      <c r="A9">
        <v>2</v>
      </c>
      <c r="B9">
        <v>5.5320999999999998</v>
      </c>
      <c r="C9">
        <v>5.5589170000000001</v>
      </c>
      <c r="D9">
        <v>5.5566440000000004</v>
      </c>
      <c r="E9">
        <v>5.5611940000000004</v>
      </c>
      <c r="F9">
        <v>5.5544289999999998</v>
      </c>
      <c r="G9">
        <v>5.5634129999999997</v>
      </c>
      <c r="J9">
        <f>B9-C9</f>
        <v>-2.6817000000000313E-2</v>
      </c>
      <c r="K9">
        <f t="shared" si="0"/>
        <v>-2.275000000000027</v>
      </c>
      <c r="L9">
        <f t="shared" si="1"/>
        <v>-4.4919999999999405</v>
      </c>
      <c r="P9" t="s">
        <v>23</v>
      </c>
      <c r="Q9" t="s">
        <v>24</v>
      </c>
    </row>
    <row r="10" spans="1:19" x14ac:dyDescent="0.35">
      <c r="A10">
        <v>3</v>
      </c>
      <c r="B10">
        <v>3.4161999999999999</v>
      </c>
      <c r="C10">
        <v>3.4280140000000001</v>
      </c>
      <c r="D10">
        <v>3.4253930000000001</v>
      </c>
      <c r="E10">
        <v>3.4306380000000001</v>
      </c>
      <c r="F10">
        <v>3.4263729999999999</v>
      </c>
      <c r="G10">
        <v>3.429656</v>
      </c>
      <c r="J10">
        <f>B10-C10</f>
        <v>-1.1814000000000213E-2</v>
      </c>
      <c r="K10">
        <f t="shared" si="0"/>
        <v>-2.6224999999999721</v>
      </c>
      <c r="L10">
        <f t="shared" si="1"/>
        <v>-1.6415000000000735</v>
      </c>
      <c r="O10" t="s">
        <v>20</v>
      </c>
      <c r="P10">
        <v>1.689635321304344</v>
      </c>
      <c r="Q10">
        <f>P10+S6</f>
        <v>1.6821686148887047</v>
      </c>
    </row>
    <row r="11" spans="1:19" x14ac:dyDescent="0.35">
      <c r="A11">
        <v>3</v>
      </c>
      <c r="B11">
        <v>4.1906999999999996</v>
      </c>
      <c r="C11">
        <v>4.2806940000000004</v>
      </c>
      <c r="D11">
        <v>4.277908</v>
      </c>
      <c r="E11">
        <v>4.2834820000000002</v>
      </c>
      <c r="F11">
        <v>4.2782210000000003</v>
      </c>
      <c r="G11">
        <v>4.283169</v>
      </c>
      <c r="J11">
        <f>B11-C11</f>
        <v>-8.9994000000000796E-2</v>
      </c>
      <c r="K11">
        <f t="shared" si="0"/>
        <v>-2.787000000000095</v>
      </c>
      <c r="L11">
        <f t="shared" si="1"/>
        <v>-2.4739999999998652</v>
      </c>
      <c r="O11" t="s">
        <v>21</v>
      </c>
      <c r="P11">
        <v>1.4259045061481199</v>
      </c>
      <c r="Q11">
        <f>P11+S7</f>
        <v>1.4359940980761847</v>
      </c>
    </row>
    <row r="12" spans="1:19" x14ac:dyDescent="0.35">
      <c r="A12">
        <v>3</v>
      </c>
      <c r="B12">
        <v>4.5765000000000002</v>
      </c>
      <c r="C12">
        <v>4.5057799999999997</v>
      </c>
      <c r="D12">
        <v>4.5028319999999997</v>
      </c>
      <c r="E12">
        <v>4.5087299999999999</v>
      </c>
      <c r="F12">
        <v>4.5031309999999998</v>
      </c>
      <c r="G12">
        <v>4.5084299999999997</v>
      </c>
      <c r="J12">
        <f>B12-C12</f>
        <v>7.072000000000056E-2</v>
      </c>
      <c r="K12">
        <f t="shared" si="0"/>
        <v>-2.9490000000000904</v>
      </c>
      <c r="L12">
        <f t="shared" si="1"/>
        <v>-2.6494999999999713</v>
      </c>
    </row>
    <row r="13" spans="1:19" x14ac:dyDescent="0.35">
      <c r="A13">
        <v>3</v>
      </c>
      <c r="B13">
        <v>7.2450999999999999</v>
      </c>
      <c r="C13">
        <v>7.2750199999999996</v>
      </c>
      <c r="D13">
        <v>7.271433</v>
      </c>
      <c r="E13">
        <v>7.2786119999999999</v>
      </c>
      <c r="F13">
        <v>7.269711</v>
      </c>
      <c r="G13">
        <v>7.2803380000000004</v>
      </c>
      <c r="J13">
        <f>B13-C13</f>
        <v>-2.9919999999999725E-2</v>
      </c>
      <c r="K13">
        <f t="shared" si="0"/>
        <v>-3.5894999999999122</v>
      </c>
      <c r="L13">
        <f t="shared" si="1"/>
        <v>-5.3135000000001931</v>
      </c>
    </row>
    <row r="14" spans="1:19" x14ac:dyDescent="0.35">
      <c r="A14">
        <v>3</v>
      </c>
      <c r="B14">
        <v>7.2613000000000003</v>
      </c>
      <c r="C14">
        <v>7.2800909999999996</v>
      </c>
      <c r="D14">
        <v>7.2764990000000003</v>
      </c>
      <c r="E14">
        <v>7.2836879999999997</v>
      </c>
      <c r="F14">
        <v>7.2747780000000004</v>
      </c>
      <c r="G14">
        <v>7.2854130000000001</v>
      </c>
      <c r="J14">
        <f>B14-C14</f>
        <v>-1.8790999999999336E-2</v>
      </c>
      <c r="K14">
        <f t="shared" si="0"/>
        <v>-3.5944999999997229</v>
      </c>
      <c r="L14">
        <f t="shared" si="1"/>
        <v>-5.317499999999864</v>
      </c>
    </row>
    <row r="15" spans="1:19" x14ac:dyDescent="0.35">
      <c r="A15">
        <v>3</v>
      </c>
      <c r="B15">
        <v>12.011699999999999</v>
      </c>
      <c r="C15">
        <v>12.075716999999999</v>
      </c>
      <c r="D15">
        <v>12.070933999999999</v>
      </c>
      <c r="E15">
        <v>12.080508999999999</v>
      </c>
      <c r="F15">
        <v>12.065828</v>
      </c>
      <c r="G15">
        <v>12.085627000000001</v>
      </c>
      <c r="J15">
        <f>B15-C15</f>
        <v>-6.4016999999999769E-2</v>
      </c>
      <c r="K15">
        <f t="shared" si="0"/>
        <v>-4.7874999999999446</v>
      </c>
      <c r="L15">
        <f t="shared" si="1"/>
        <v>-9.8995000000003941</v>
      </c>
    </row>
    <row r="16" spans="1:19" x14ac:dyDescent="0.35">
      <c r="A16">
        <v>3</v>
      </c>
      <c r="B16">
        <v>12.011799999999999</v>
      </c>
      <c r="C16">
        <v>12.07573</v>
      </c>
      <c r="D16">
        <v>12.070947</v>
      </c>
      <c r="E16">
        <v>12.080522</v>
      </c>
      <c r="F16">
        <v>12.065841000000001</v>
      </c>
      <c r="G16">
        <v>12.08564</v>
      </c>
      <c r="J16">
        <f>B16-C16</f>
        <v>-6.3930000000000931E-2</v>
      </c>
      <c r="K16">
        <f t="shared" si="0"/>
        <v>-4.7874999999999446</v>
      </c>
      <c r="L16">
        <f t="shared" si="1"/>
        <v>-9.8994999999995059</v>
      </c>
    </row>
    <row r="17" spans="1:12" x14ac:dyDescent="0.35">
      <c r="A17">
        <v>4</v>
      </c>
      <c r="B17">
        <v>5.6722999999999999</v>
      </c>
      <c r="C17">
        <v>5.7042820000000001</v>
      </c>
      <c r="D17">
        <v>5.6999279999999999</v>
      </c>
      <c r="E17">
        <v>5.7086410000000001</v>
      </c>
      <c r="F17">
        <v>5.7015479999999998</v>
      </c>
      <c r="G17">
        <v>5.7070169999999996</v>
      </c>
      <c r="J17">
        <f>B17-C17</f>
        <v>-3.1982000000000177E-2</v>
      </c>
      <c r="K17">
        <f t="shared" si="0"/>
        <v>-4.3565000000000964</v>
      </c>
      <c r="L17">
        <f t="shared" si="1"/>
        <v>-2.734499999999862</v>
      </c>
    </row>
    <row r="18" spans="1:12" x14ac:dyDescent="0.35">
      <c r="A18">
        <v>4</v>
      </c>
      <c r="B18">
        <v>6.3440000000000003</v>
      </c>
      <c r="C18">
        <v>6.4899899999999997</v>
      </c>
      <c r="D18">
        <v>6.4855179999999999</v>
      </c>
      <c r="E18">
        <v>6.4944680000000004</v>
      </c>
      <c r="F18">
        <v>6.486478</v>
      </c>
      <c r="G18">
        <v>6.4935070000000001</v>
      </c>
      <c r="J18">
        <f>B18-C18</f>
        <v>-0.1459899999999994</v>
      </c>
      <c r="K18">
        <f t="shared" si="0"/>
        <v>-4.4750000000002288</v>
      </c>
      <c r="L18">
        <f t="shared" si="1"/>
        <v>-3.514500000000087</v>
      </c>
    </row>
    <row r="19" spans="1:12" x14ac:dyDescent="0.35">
      <c r="A19">
        <v>4</v>
      </c>
      <c r="B19">
        <v>6.9866000000000001</v>
      </c>
      <c r="C19">
        <v>6.8671519999999999</v>
      </c>
      <c r="D19">
        <v>6.8624020000000003</v>
      </c>
      <c r="E19">
        <v>6.8719060000000001</v>
      </c>
      <c r="F19">
        <v>6.8633490000000004</v>
      </c>
      <c r="G19">
        <v>6.8709569999999998</v>
      </c>
      <c r="J19">
        <f>B19-C19</f>
        <v>0.11944800000000022</v>
      </c>
      <c r="K19">
        <f t="shared" si="0"/>
        <v>-4.7519999999998674</v>
      </c>
      <c r="L19">
        <f t="shared" si="1"/>
        <v>-3.8039999999996965</v>
      </c>
    </row>
    <row r="20" spans="1:12" x14ac:dyDescent="0.35">
      <c r="A20">
        <v>4</v>
      </c>
      <c r="B20">
        <v>9.5309000000000008</v>
      </c>
      <c r="C20">
        <v>9.5626750000000005</v>
      </c>
      <c r="D20">
        <v>9.5573390000000007</v>
      </c>
      <c r="E20">
        <v>9.5680169999999993</v>
      </c>
      <c r="F20">
        <v>9.5562690000000003</v>
      </c>
      <c r="G20">
        <v>9.5690899999999992</v>
      </c>
      <c r="J20">
        <f>B20-C20</f>
        <v>-3.1774999999999665E-2</v>
      </c>
      <c r="K20">
        <f t="shared" si="0"/>
        <v>-5.3389999999993165</v>
      </c>
      <c r="L20">
        <f t="shared" si="1"/>
        <v>-6.4104999999994305</v>
      </c>
    </row>
    <row r="21" spans="1:12" x14ac:dyDescent="0.35">
      <c r="A21">
        <v>4</v>
      </c>
      <c r="B21">
        <v>9.5790000000000006</v>
      </c>
      <c r="C21">
        <v>9.5780510000000003</v>
      </c>
      <c r="D21">
        <v>9.5726990000000001</v>
      </c>
      <c r="E21">
        <v>9.5834100000000007</v>
      </c>
      <c r="F21">
        <v>9.5716339999999995</v>
      </c>
      <c r="G21">
        <v>9.5844780000000007</v>
      </c>
      <c r="J21">
        <f>B21-C21</f>
        <v>9.4900000000031071E-4</v>
      </c>
      <c r="K21">
        <f t="shared" si="0"/>
        <v>-5.3555000000002906</v>
      </c>
      <c r="L21">
        <f t="shared" si="1"/>
        <v>-6.4220000000005939</v>
      </c>
    </row>
    <row r="22" spans="1:12" x14ac:dyDescent="0.35">
      <c r="A22">
        <v>4</v>
      </c>
      <c r="B22">
        <v>14.3063</v>
      </c>
      <c r="C22">
        <v>14.366948000000001</v>
      </c>
      <c r="D22">
        <v>14.360410999999999</v>
      </c>
      <c r="E22">
        <v>14.373495999999999</v>
      </c>
      <c r="F22">
        <v>14.355961000000001</v>
      </c>
      <c r="G22">
        <v>14.377957</v>
      </c>
      <c r="J22">
        <f>B22-C22</f>
        <v>-6.0648000000000479E-2</v>
      </c>
      <c r="K22">
        <f t="shared" si="0"/>
        <v>-6.5425000000001177</v>
      </c>
      <c r="L22">
        <f t="shared" si="1"/>
        <v>-10.997999999999841</v>
      </c>
    </row>
    <row r="23" spans="1:12" x14ac:dyDescent="0.35">
      <c r="A23">
        <v>4</v>
      </c>
      <c r="B23">
        <v>14.307</v>
      </c>
      <c r="C23">
        <v>14.367042</v>
      </c>
      <c r="D23">
        <v>14.360505</v>
      </c>
      <c r="E23">
        <v>14.37359</v>
      </c>
      <c r="F23">
        <v>14.356055</v>
      </c>
      <c r="G23">
        <v>14.378050999999999</v>
      </c>
      <c r="J23">
        <f>B23-C23</f>
        <v>-6.0041999999999263E-2</v>
      </c>
      <c r="K23">
        <f t="shared" si="0"/>
        <v>-6.5425000000001177</v>
      </c>
      <c r="L23">
        <f t="shared" si="1"/>
        <v>-10.997999999999841</v>
      </c>
    </row>
    <row r="24" spans="1:12" x14ac:dyDescent="0.35">
      <c r="A24">
        <v>4</v>
      </c>
      <c r="B24">
        <v>20.968900000000001</v>
      </c>
      <c r="C24">
        <v>21.083935</v>
      </c>
      <c r="D24">
        <v>21.075726</v>
      </c>
      <c r="E24">
        <v>21.09216</v>
      </c>
      <c r="F24">
        <v>21.066541000000001</v>
      </c>
      <c r="G24">
        <v>21.101367</v>
      </c>
      <c r="J24">
        <f>B24-C24</f>
        <v>-0.11503499999999889</v>
      </c>
      <c r="K24">
        <f t="shared" si="0"/>
        <v>-8.2170000000001409</v>
      </c>
      <c r="L24">
        <f t="shared" si="1"/>
        <v>-17.412999999999457</v>
      </c>
    </row>
    <row r="25" spans="1:12" x14ac:dyDescent="0.35">
      <c r="A25">
        <v>4</v>
      </c>
      <c r="B25">
        <v>20.968900000000001</v>
      </c>
      <c r="C25">
        <v>21.083935</v>
      </c>
      <c r="D25">
        <v>21.075726</v>
      </c>
      <c r="E25">
        <v>21.09216</v>
      </c>
      <c r="F25">
        <v>21.066541000000001</v>
      </c>
      <c r="G25">
        <v>21.101367</v>
      </c>
      <c r="J25">
        <f>B25-C25</f>
        <v>-0.11503499999999889</v>
      </c>
      <c r="K25">
        <f t="shared" si="0"/>
        <v>-8.2170000000001409</v>
      </c>
      <c r="L25">
        <f t="shared" si="1"/>
        <v>-17.412999999999457</v>
      </c>
    </row>
    <row r="26" spans="1:12" x14ac:dyDescent="0.35">
      <c r="A26">
        <v>5</v>
      </c>
      <c r="B26">
        <v>8.4696999999999996</v>
      </c>
      <c r="C26">
        <v>8.5393089999999994</v>
      </c>
      <c r="D26">
        <v>8.5328049999999998</v>
      </c>
      <c r="E26">
        <v>8.5458200000000009</v>
      </c>
      <c r="F26">
        <v>8.5352119999999996</v>
      </c>
      <c r="G26">
        <v>8.5434079999999994</v>
      </c>
      <c r="J26">
        <f>B26-C26</f>
        <v>-6.960899999999981E-2</v>
      </c>
      <c r="K26">
        <f t="shared" si="0"/>
        <v>-6.5075000000005545</v>
      </c>
      <c r="L26">
        <f t="shared" si="1"/>
        <v>-4.097999999999935</v>
      </c>
    </row>
    <row r="27" spans="1:12" x14ac:dyDescent="0.35">
      <c r="A27">
        <v>5</v>
      </c>
      <c r="B27">
        <v>9.0299999999999994</v>
      </c>
      <c r="C27">
        <v>9.2466629999999999</v>
      </c>
      <c r="D27">
        <v>9.2400920000000006</v>
      </c>
      <c r="E27">
        <v>9.2532409999999992</v>
      </c>
      <c r="F27">
        <v>9.2418469999999999</v>
      </c>
      <c r="G27">
        <v>9.2514830000000003</v>
      </c>
      <c r="J27">
        <f>B27-C27</f>
        <v>-0.21666300000000049</v>
      </c>
      <c r="K27">
        <f t="shared" si="0"/>
        <v>-6.5744999999992615</v>
      </c>
      <c r="L27">
        <f t="shared" si="1"/>
        <v>-4.818000000000211</v>
      </c>
    </row>
    <row r="28" spans="1:12" x14ac:dyDescent="0.35">
      <c r="A28">
        <v>5</v>
      </c>
      <c r="B28">
        <v>9.9923000000000002</v>
      </c>
      <c r="C28">
        <v>9.8159539999999996</v>
      </c>
      <c r="D28">
        <v>9.8089569999999995</v>
      </c>
      <c r="E28">
        <v>9.8229570000000006</v>
      </c>
      <c r="F28">
        <v>9.8107089999999992</v>
      </c>
      <c r="G28">
        <v>9.8212019999999995</v>
      </c>
      <c r="J28">
        <f>B28-C28</f>
        <v>0.17634600000000056</v>
      </c>
      <c r="K28">
        <f t="shared" si="0"/>
        <v>-7.0000000000005613</v>
      </c>
      <c r="L28">
        <f t="shared" si="1"/>
        <v>-5.2465000000001538</v>
      </c>
    </row>
    <row r="29" spans="1:12" x14ac:dyDescent="0.35">
      <c r="A29">
        <v>5</v>
      </c>
      <c r="B29">
        <v>12.383900000000001</v>
      </c>
      <c r="C29">
        <v>12.419312</v>
      </c>
      <c r="D29">
        <v>12.411796000000001</v>
      </c>
      <c r="E29">
        <v>12.426837000000001</v>
      </c>
      <c r="F29">
        <v>12.411534</v>
      </c>
      <c r="G29">
        <v>12.427099999999999</v>
      </c>
      <c r="J29">
        <f>B29-C29</f>
        <v>-3.5411999999999111E-2</v>
      </c>
      <c r="K29">
        <f t="shared" si="0"/>
        <v>-7.520500000000041</v>
      </c>
      <c r="L29">
        <f t="shared" si="1"/>
        <v>-7.7829999999998734</v>
      </c>
    </row>
    <row r="30" spans="1:12" x14ac:dyDescent="0.35">
      <c r="A30">
        <v>5</v>
      </c>
      <c r="B30">
        <v>12.4948</v>
      </c>
      <c r="C30">
        <v>12.455581</v>
      </c>
      <c r="D30">
        <v>12.448024</v>
      </c>
      <c r="E30">
        <v>12.463146</v>
      </c>
      <c r="F30">
        <v>12.447777</v>
      </c>
      <c r="G30">
        <v>12.463393999999999</v>
      </c>
      <c r="J30">
        <f>B30-C30</f>
        <v>3.9218999999999227E-2</v>
      </c>
      <c r="K30">
        <f t="shared" si="0"/>
        <v>-7.5609999999999289</v>
      </c>
      <c r="L30">
        <f t="shared" si="1"/>
        <v>-7.8084999999994409</v>
      </c>
    </row>
    <row r="31" spans="1:12" x14ac:dyDescent="0.35">
      <c r="A31">
        <v>5</v>
      </c>
      <c r="B31">
        <v>17.1769</v>
      </c>
      <c r="C31">
        <v>17.230204000000001</v>
      </c>
      <c r="D31">
        <v>17.221478000000001</v>
      </c>
      <c r="E31">
        <v>17.238942999999999</v>
      </c>
      <c r="F31">
        <v>17.217842000000001</v>
      </c>
      <c r="G31">
        <v>17.242588000000001</v>
      </c>
      <c r="J31">
        <f>B31-C31</f>
        <v>-5.3304000000000684E-2</v>
      </c>
      <c r="K31">
        <f t="shared" si="0"/>
        <v>-8.7324999999989217</v>
      </c>
      <c r="L31">
        <f t="shared" si="1"/>
        <v>-12.373000000000189</v>
      </c>
    </row>
    <row r="32" spans="1:12" x14ac:dyDescent="0.35">
      <c r="A32">
        <v>5</v>
      </c>
      <c r="B32">
        <v>17.1797</v>
      </c>
      <c r="C32">
        <v>17.230594</v>
      </c>
      <c r="D32">
        <v>17.221868000000001</v>
      </c>
      <c r="E32">
        <v>17.239333999999999</v>
      </c>
      <c r="F32">
        <v>17.218230999999999</v>
      </c>
      <c r="G32">
        <v>17.242978999999998</v>
      </c>
      <c r="J32">
        <f>B32-C32</f>
        <v>-5.0893999999999551E-2</v>
      </c>
      <c r="K32">
        <f t="shared" si="0"/>
        <v>-8.7329999999994357</v>
      </c>
      <c r="L32">
        <f t="shared" si="1"/>
        <v>-12.373999999999441</v>
      </c>
    </row>
    <row r="33" spans="1:12" x14ac:dyDescent="0.35">
      <c r="A33">
        <v>5</v>
      </c>
      <c r="B33">
        <v>23.8367</v>
      </c>
      <c r="C33">
        <v>23.947545000000002</v>
      </c>
      <c r="D33">
        <v>23.937144</v>
      </c>
      <c r="E33">
        <v>23.957962999999999</v>
      </c>
      <c r="F33">
        <v>23.928777</v>
      </c>
      <c r="G33">
        <v>23.966349999999998</v>
      </c>
      <c r="J33">
        <f>B33-C33</f>
        <v>-0.11084500000000119</v>
      </c>
      <c r="K33">
        <f t="shared" si="0"/>
        <v>-10.409499999999738</v>
      </c>
      <c r="L33">
        <f t="shared" si="1"/>
        <v>-18.786499999999151</v>
      </c>
    </row>
    <row r="34" spans="1:12" x14ac:dyDescent="0.35">
      <c r="A34">
        <v>5</v>
      </c>
      <c r="B34">
        <v>23.8368</v>
      </c>
      <c r="C34">
        <v>23.947545000000002</v>
      </c>
      <c r="D34">
        <v>23.937144</v>
      </c>
      <c r="E34">
        <v>23.957962999999999</v>
      </c>
      <c r="F34">
        <v>23.928777</v>
      </c>
      <c r="G34">
        <v>23.966349999999998</v>
      </c>
      <c r="J34">
        <f>B34-C34</f>
        <v>-0.11074500000000143</v>
      </c>
      <c r="K34">
        <f t="shared" si="0"/>
        <v>-10.409499999999738</v>
      </c>
      <c r="L34">
        <f t="shared" si="1"/>
        <v>-18.786499999999151</v>
      </c>
    </row>
    <row r="35" spans="1:12" x14ac:dyDescent="0.35">
      <c r="A35">
        <v>5</v>
      </c>
      <c r="B35">
        <v>32.3996</v>
      </c>
      <c r="C35">
        <v>32.581518000000003</v>
      </c>
      <c r="D35">
        <v>32.568967999999998</v>
      </c>
      <c r="E35">
        <v>32.594092000000003</v>
      </c>
      <c r="F35">
        <v>32.554516</v>
      </c>
      <c r="G35">
        <v>32.608578000000001</v>
      </c>
      <c r="J35">
        <f>B35-C35</f>
        <v>-0.18191800000000313</v>
      </c>
      <c r="K35">
        <f t="shared" si="0"/>
        <v>-12.562000000002627</v>
      </c>
      <c r="L35">
        <f t="shared" si="1"/>
        <v>-27.031000000000915</v>
      </c>
    </row>
    <row r="36" spans="1:12" x14ac:dyDescent="0.35">
      <c r="A36">
        <v>5</v>
      </c>
      <c r="B36">
        <v>32.3996</v>
      </c>
      <c r="C36">
        <v>32.581518000000003</v>
      </c>
      <c r="D36">
        <v>32.568967999999998</v>
      </c>
      <c r="E36">
        <v>32.594092000000003</v>
      </c>
      <c r="F36">
        <v>32.554516</v>
      </c>
      <c r="G36">
        <v>32.608578000000001</v>
      </c>
      <c r="J36">
        <f>B36-C36</f>
        <v>-0.18191800000000313</v>
      </c>
      <c r="K36">
        <f t="shared" si="0"/>
        <v>-12.562000000002627</v>
      </c>
      <c r="L36">
        <f t="shared" si="1"/>
        <v>-27.031000000000915</v>
      </c>
    </row>
    <row r="37" spans="1:12" x14ac:dyDescent="0.35">
      <c r="A37">
        <v>6</v>
      </c>
      <c r="B37">
        <v>11.7958</v>
      </c>
      <c r="C37">
        <v>11.926271</v>
      </c>
      <c r="D37">
        <v>11.917210000000001</v>
      </c>
      <c r="E37">
        <v>11.935340999999999</v>
      </c>
      <c r="F37">
        <v>11.920540000000001</v>
      </c>
      <c r="G37">
        <v>11.932005</v>
      </c>
      <c r="J37">
        <f>B37-C37</f>
        <v>-0.130471</v>
      </c>
      <c r="K37">
        <f t="shared" si="0"/>
        <v>-9.0654999999992825</v>
      </c>
      <c r="L37">
        <f t="shared" si="1"/>
        <v>-5.7324999999996962</v>
      </c>
    </row>
    <row r="38" spans="1:12" x14ac:dyDescent="0.35">
      <c r="A38">
        <v>6</v>
      </c>
      <c r="B38">
        <v>12.2454</v>
      </c>
      <c r="C38">
        <v>12.547589</v>
      </c>
      <c r="D38">
        <v>12.538515</v>
      </c>
      <c r="E38">
        <v>12.556672000000001</v>
      </c>
      <c r="F38">
        <v>12.541205</v>
      </c>
      <c r="G38">
        <v>12.553977</v>
      </c>
      <c r="J38">
        <f>B38-C38</f>
        <v>-0.30218900000000026</v>
      </c>
      <c r="K38">
        <f t="shared" si="0"/>
        <v>-9.0785000000002114</v>
      </c>
      <c r="L38">
        <f t="shared" si="1"/>
        <v>-6.3860000000000028</v>
      </c>
    </row>
    <row r="39" spans="1:12" x14ac:dyDescent="0.35">
      <c r="A39">
        <v>6</v>
      </c>
      <c r="B39">
        <v>13.588699999999999</v>
      </c>
      <c r="C39">
        <v>13.350054</v>
      </c>
      <c r="D39">
        <v>13.340368</v>
      </c>
      <c r="E39">
        <v>13.35975</v>
      </c>
      <c r="F39">
        <v>13.343078999999999</v>
      </c>
      <c r="G39">
        <v>13.357032999999999</v>
      </c>
      <c r="J39">
        <f>B39-C39</f>
        <v>0.23864599999999925</v>
      </c>
      <c r="K39">
        <f t="shared" si="0"/>
        <v>-9.6910000000001162</v>
      </c>
      <c r="L39">
        <f t="shared" si="1"/>
        <v>-6.977000000000011</v>
      </c>
    </row>
    <row r="40" spans="1:12" x14ac:dyDescent="0.35">
      <c r="A40">
        <v>6</v>
      </c>
      <c r="B40">
        <v>15.801600000000001</v>
      </c>
      <c r="C40">
        <v>15.842979</v>
      </c>
      <c r="D40">
        <v>15.832856</v>
      </c>
      <c r="E40">
        <v>15.853113</v>
      </c>
      <c r="F40">
        <v>15.833551999999999</v>
      </c>
      <c r="G40">
        <v>15.852416</v>
      </c>
      <c r="J40">
        <f>B40-C40</f>
        <v>-4.1378999999999166E-2</v>
      </c>
      <c r="K40">
        <f t="shared" si="0"/>
        <v>-10.128500000000429</v>
      </c>
      <c r="L40">
        <f t="shared" si="1"/>
        <v>-9.432000000000329</v>
      </c>
    </row>
    <row r="41" spans="1:12" x14ac:dyDescent="0.35">
      <c r="A41">
        <v>6</v>
      </c>
      <c r="B41">
        <v>16.0181</v>
      </c>
      <c r="C41">
        <v>15.916194000000001</v>
      </c>
      <c r="D41">
        <v>15.905987</v>
      </c>
      <c r="E41">
        <v>15.926411999999999</v>
      </c>
      <c r="F41">
        <v>15.906719000000001</v>
      </c>
      <c r="G41">
        <v>15.925679000000001</v>
      </c>
      <c r="J41">
        <f>B41-C41</f>
        <v>0.10190599999999961</v>
      </c>
      <c r="K41">
        <f t="shared" si="0"/>
        <v>-10.212499999999736</v>
      </c>
      <c r="L41">
        <f t="shared" si="1"/>
        <v>-9.4799999999999329</v>
      </c>
    </row>
    <row r="42" spans="1:12" x14ac:dyDescent="0.35">
      <c r="A42">
        <v>6</v>
      </c>
      <c r="B42">
        <v>20.624400000000001</v>
      </c>
      <c r="C42">
        <v>20.665037000000002</v>
      </c>
      <c r="D42">
        <v>20.653689</v>
      </c>
      <c r="E42">
        <v>20.676400000000001</v>
      </c>
      <c r="F42">
        <v>20.651019999999999</v>
      </c>
      <c r="G42">
        <v>20.679075000000001</v>
      </c>
      <c r="J42">
        <f>B42-C42</f>
        <v>-4.0637000000000256E-2</v>
      </c>
      <c r="K42">
        <f t="shared" si="0"/>
        <v>-11.355500000000518</v>
      </c>
      <c r="L42">
        <f t="shared" si="1"/>
        <v>-14.02750000000097</v>
      </c>
    </row>
    <row r="43" spans="1:12" x14ac:dyDescent="0.35">
      <c r="A43">
        <v>6</v>
      </c>
      <c r="B43">
        <v>20.632999999999999</v>
      </c>
      <c r="C43">
        <v>20.666257000000002</v>
      </c>
      <c r="D43">
        <v>20.654907999999999</v>
      </c>
      <c r="E43">
        <v>20.677620999999998</v>
      </c>
      <c r="F43">
        <v>20.652239000000002</v>
      </c>
      <c r="G43">
        <v>20.680298000000001</v>
      </c>
      <c r="J43">
        <f>B43-C43</f>
        <v>-3.3257000000002535E-2</v>
      </c>
      <c r="K43">
        <f t="shared" si="0"/>
        <v>-11.35649999999977</v>
      </c>
      <c r="L43">
        <f t="shared" si="1"/>
        <v>-14.029499999999473</v>
      </c>
    </row>
    <row r="44" spans="1:12" x14ac:dyDescent="0.35">
      <c r="A44">
        <v>6</v>
      </c>
      <c r="B44">
        <v>27.2804</v>
      </c>
      <c r="C44">
        <v>27.382186000000001</v>
      </c>
      <c r="D44">
        <v>27.369161999999999</v>
      </c>
      <c r="E44">
        <v>27.395230999999999</v>
      </c>
      <c r="F44">
        <v>27.361767</v>
      </c>
      <c r="G44">
        <v>27.402643999999999</v>
      </c>
      <c r="J44">
        <f>B44-C44</f>
        <v>-0.1017860000000006</v>
      </c>
      <c r="K44">
        <f t="shared" si="0"/>
        <v>-13.034499999999838</v>
      </c>
      <c r="L44">
        <f t="shared" si="1"/>
        <v>-20.438499999999138</v>
      </c>
    </row>
    <row r="45" spans="1:12" x14ac:dyDescent="0.35">
      <c r="A45">
        <v>6</v>
      </c>
      <c r="B45">
        <v>27.2805</v>
      </c>
      <c r="C45">
        <v>27.382186999999998</v>
      </c>
      <c r="D45">
        <v>27.369163</v>
      </c>
      <c r="E45">
        <v>27.395232</v>
      </c>
      <c r="F45">
        <v>27.361768000000001</v>
      </c>
      <c r="G45">
        <v>27.402645</v>
      </c>
      <c r="J45">
        <f>B45-C45</f>
        <v>-0.10168699999999831</v>
      </c>
      <c r="K45">
        <f t="shared" si="0"/>
        <v>-13.034499999999838</v>
      </c>
      <c r="L45">
        <f t="shared" si="1"/>
        <v>-20.438499999999138</v>
      </c>
    </row>
    <row r="46" spans="1:12" x14ac:dyDescent="0.35">
      <c r="A46">
        <v>6</v>
      </c>
      <c r="B46">
        <v>35.840699999999998</v>
      </c>
      <c r="C46">
        <v>36.017535000000002</v>
      </c>
      <c r="D46">
        <v>36.002355999999999</v>
      </c>
      <c r="E46">
        <v>36.032739999999997</v>
      </c>
      <c r="F46">
        <v>35.988883999999999</v>
      </c>
      <c r="G46">
        <v>36.046244000000002</v>
      </c>
      <c r="J46">
        <f>B46-C46</f>
        <v>-0.17683500000000407</v>
      </c>
      <c r="K46">
        <f t="shared" si="0"/>
        <v>-15.191999999998984</v>
      </c>
      <c r="L46">
        <f t="shared" si="1"/>
        <v>-28.680000000001371</v>
      </c>
    </row>
    <row r="47" spans="1:12" x14ac:dyDescent="0.35">
      <c r="A47">
        <v>6</v>
      </c>
      <c r="B47">
        <v>35.840699999999998</v>
      </c>
      <c r="C47">
        <v>36.017535000000002</v>
      </c>
      <c r="D47">
        <v>36.002355999999999</v>
      </c>
      <c r="E47">
        <v>36.032739999999997</v>
      </c>
      <c r="F47">
        <v>35.988883999999999</v>
      </c>
      <c r="G47">
        <v>36.046244000000002</v>
      </c>
      <c r="J47">
        <f>B47-C47</f>
        <v>-0.17683500000000407</v>
      </c>
      <c r="K47">
        <f t="shared" si="0"/>
        <v>-15.191999999998984</v>
      </c>
      <c r="L47">
        <f t="shared" si="1"/>
        <v>-28.680000000001371</v>
      </c>
    </row>
    <row r="48" spans="1:12" x14ac:dyDescent="0.35">
      <c r="A48">
        <v>6</v>
      </c>
      <c r="B48">
        <v>46.301099999999998</v>
      </c>
      <c r="C48">
        <v>46.566529000000003</v>
      </c>
      <c r="D48">
        <v>46.548726000000002</v>
      </c>
      <c r="E48">
        <v>46.584367</v>
      </c>
      <c r="F48">
        <v>46.527821000000003</v>
      </c>
      <c r="G48">
        <v>46.605321000000004</v>
      </c>
      <c r="J48">
        <f>B48-C48</f>
        <v>-0.26542900000000458</v>
      </c>
      <c r="K48">
        <f t="shared" si="0"/>
        <v>-17.820499999999129</v>
      </c>
      <c r="L48">
        <f t="shared" si="1"/>
        <v>-38.750000000000284</v>
      </c>
    </row>
    <row r="49" spans="1:12" x14ac:dyDescent="0.35">
      <c r="A49">
        <v>6</v>
      </c>
      <c r="B49">
        <v>46.301099999999998</v>
      </c>
      <c r="C49">
        <v>46.566529000000003</v>
      </c>
      <c r="D49">
        <v>46.548726000000002</v>
      </c>
      <c r="E49">
        <v>46.584367</v>
      </c>
      <c r="F49">
        <v>46.527821000000003</v>
      </c>
      <c r="G49">
        <v>46.605321000000004</v>
      </c>
      <c r="J49">
        <f>B49-C49</f>
        <v>-0.26542900000000458</v>
      </c>
      <c r="K49">
        <f t="shared" si="0"/>
        <v>-17.820499999999129</v>
      </c>
      <c r="L49">
        <f t="shared" si="1"/>
        <v>-38.750000000000284</v>
      </c>
    </row>
    <row r="50" spans="1:12" x14ac:dyDescent="0.35">
      <c r="A50">
        <v>7</v>
      </c>
      <c r="B50">
        <v>15.639200000000001</v>
      </c>
      <c r="C50">
        <v>15.857338</v>
      </c>
      <c r="D50">
        <v>15.845326999999999</v>
      </c>
      <c r="E50">
        <v>15.869361</v>
      </c>
      <c r="F50">
        <v>15.849703</v>
      </c>
      <c r="G50">
        <v>15.864977</v>
      </c>
      <c r="J50">
        <f>B50-C50</f>
        <v>-0.21813799999999972</v>
      </c>
      <c r="K50">
        <f t="shared" si="0"/>
        <v>-12.017000000000166</v>
      </c>
      <c r="L50">
        <f t="shared" si="1"/>
        <v>-7.6369999999998939</v>
      </c>
    </row>
    <row r="51" spans="1:12" x14ac:dyDescent="0.35">
      <c r="A51">
        <v>7</v>
      </c>
      <c r="B51">
        <v>15.9869</v>
      </c>
      <c r="C51">
        <v>16.389216999999999</v>
      </c>
      <c r="D51">
        <v>16.377244000000001</v>
      </c>
      <c r="E51">
        <v>16.401202000000001</v>
      </c>
      <c r="F51">
        <v>16.380998999999999</v>
      </c>
      <c r="G51">
        <v>16.39744</v>
      </c>
      <c r="J51">
        <f>B51-C51</f>
        <v>-0.40231699999999826</v>
      </c>
      <c r="K51">
        <f t="shared" si="0"/>
        <v>-11.979000000000184</v>
      </c>
      <c r="L51">
        <f t="shared" si="1"/>
        <v>-8.220500000000186</v>
      </c>
    </row>
    <row r="52" spans="1:12" x14ac:dyDescent="0.35">
      <c r="A52">
        <v>7</v>
      </c>
      <c r="B52">
        <v>17.768999999999998</v>
      </c>
      <c r="C52">
        <v>17.466698000000001</v>
      </c>
      <c r="D52">
        <v>17.453885</v>
      </c>
      <c r="E52">
        <v>17.479523</v>
      </c>
      <c r="F52">
        <v>17.457705000000001</v>
      </c>
      <c r="G52">
        <v>17.475695000000002</v>
      </c>
      <c r="J52">
        <f>B52-C52</f>
        <v>0.30230199999999741</v>
      </c>
      <c r="K52">
        <f t="shared" si="0"/>
        <v>-12.819000000000358</v>
      </c>
      <c r="L52">
        <f t="shared" si="1"/>
        <v>-8.9950000000005303</v>
      </c>
    </row>
    <row r="53" spans="1:12" x14ac:dyDescent="0.35">
      <c r="A53">
        <v>7</v>
      </c>
      <c r="B53">
        <v>19.7805</v>
      </c>
      <c r="C53">
        <v>19.831337000000001</v>
      </c>
      <c r="D53">
        <v>19.818185</v>
      </c>
      <c r="E53">
        <v>19.844504000000001</v>
      </c>
      <c r="F53">
        <v>19.819984999999999</v>
      </c>
      <c r="G53">
        <v>19.842701000000002</v>
      </c>
      <c r="J53">
        <f>B53-C53</f>
        <v>-5.0837000000001353E-2</v>
      </c>
      <c r="K53">
        <f t="shared" si="0"/>
        <v>-13.159500000000435</v>
      </c>
      <c r="L53">
        <f t="shared" si="1"/>
        <v>-11.358000000001311</v>
      </c>
    </row>
    <row r="54" spans="1:12" x14ac:dyDescent="0.35">
      <c r="A54">
        <v>7</v>
      </c>
      <c r="B54">
        <v>20.157</v>
      </c>
      <c r="C54">
        <v>19.963923999999999</v>
      </c>
      <c r="D54">
        <v>19.950616</v>
      </c>
      <c r="E54">
        <v>19.977246000000001</v>
      </c>
      <c r="F54">
        <v>19.952489</v>
      </c>
      <c r="G54">
        <v>19.975370000000002</v>
      </c>
      <c r="J54">
        <f>B54-C54</f>
        <v>0.19307600000000136</v>
      </c>
      <c r="K54">
        <f t="shared" si="0"/>
        <v>-13.31500000000041</v>
      </c>
      <c r="L54">
        <f t="shared" si="1"/>
        <v>-11.440500000000853</v>
      </c>
    </row>
    <row r="55" spans="1:12" x14ac:dyDescent="0.35">
      <c r="A55">
        <v>7</v>
      </c>
      <c r="B55">
        <v>24.649799999999999</v>
      </c>
      <c r="C55">
        <v>24.670957000000001</v>
      </c>
      <c r="D55">
        <v>24.656556999999999</v>
      </c>
      <c r="E55">
        <v>24.685375000000001</v>
      </c>
      <c r="F55">
        <v>24.655006</v>
      </c>
      <c r="G55">
        <v>24.686931000000001</v>
      </c>
      <c r="J55">
        <f>B55-C55</f>
        <v>-2.1157000000002313E-2</v>
      </c>
      <c r="K55">
        <f t="shared" si="0"/>
        <v>-14.40900000000056</v>
      </c>
      <c r="L55">
        <f t="shared" si="1"/>
        <v>-15.962500000000546</v>
      </c>
    </row>
    <row r="56" spans="1:12" x14ac:dyDescent="0.35">
      <c r="A56">
        <v>7</v>
      </c>
      <c r="B56">
        <v>24.670999999999999</v>
      </c>
      <c r="C56">
        <v>24.674149</v>
      </c>
      <c r="D56">
        <v>24.659745999999998</v>
      </c>
      <c r="E56">
        <v>24.688569999999999</v>
      </c>
      <c r="F56">
        <v>24.658194000000002</v>
      </c>
      <c r="G56">
        <v>24.690125999999999</v>
      </c>
      <c r="J56">
        <f>B56-C56</f>
        <v>-3.1490000000005125E-3</v>
      </c>
      <c r="K56">
        <f t="shared" si="0"/>
        <v>-14.412000000000091</v>
      </c>
      <c r="L56">
        <f t="shared" si="1"/>
        <v>-15.965999999998814</v>
      </c>
    </row>
    <row r="57" spans="1:12" x14ac:dyDescent="0.35">
      <c r="A57">
        <v>7</v>
      </c>
      <c r="B57">
        <v>31.301100000000002</v>
      </c>
      <c r="C57">
        <v>31.387163000000001</v>
      </c>
      <c r="D57">
        <v>31.371085000000001</v>
      </c>
      <c r="E57">
        <v>31.403264</v>
      </c>
      <c r="F57">
        <v>31.364812000000001</v>
      </c>
      <c r="G57">
        <v>31.409552000000001</v>
      </c>
      <c r="J57">
        <f>B57-C57</f>
        <v>-8.6062999999999334E-2</v>
      </c>
      <c r="K57">
        <f t="shared" si="0"/>
        <v>-16.089499999999646</v>
      </c>
      <c r="L57">
        <f t="shared" si="1"/>
        <v>-22.370000000000445</v>
      </c>
    </row>
    <row r="58" spans="1:12" x14ac:dyDescent="0.35">
      <c r="A58">
        <v>7</v>
      </c>
      <c r="B58">
        <v>31.301600000000001</v>
      </c>
      <c r="C58">
        <v>31.387169</v>
      </c>
      <c r="D58">
        <v>31.371092000000001</v>
      </c>
      <c r="E58">
        <v>31.403269999999999</v>
      </c>
      <c r="F58">
        <v>31.364818</v>
      </c>
      <c r="G58">
        <v>31.409559000000002</v>
      </c>
      <c r="J58">
        <f>B58-C58</f>
        <v>-8.5568999999999562E-2</v>
      </c>
      <c r="K58">
        <f t="shared" si="0"/>
        <v>-16.088999999999132</v>
      </c>
      <c r="L58">
        <f t="shared" si="1"/>
        <v>-22.370500000000959</v>
      </c>
    </row>
    <row r="59" spans="1:12" x14ac:dyDescent="0.35">
      <c r="A59">
        <v>7</v>
      </c>
      <c r="B59">
        <v>39.857300000000002</v>
      </c>
      <c r="C59">
        <v>40.023516999999998</v>
      </c>
      <c r="D59">
        <v>40.005279999999999</v>
      </c>
      <c r="E59">
        <v>40.041784</v>
      </c>
      <c r="F59">
        <v>39.992939</v>
      </c>
      <c r="G59">
        <v>40.054155000000002</v>
      </c>
      <c r="J59">
        <f>B59-C59</f>
        <v>-0.16621699999999606</v>
      </c>
      <c r="K59">
        <f t="shared" si="0"/>
        <v>-18.252000000000379</v>
      </c>
      <c r="L59">
        <f t="shared" si="1"/>
        <v>-30.608000000000857</v>
      </c>
    </row>
    <row r="60" spans="1:12" x14ac:dyDescent="0.35">
      <c r="A60">
        <v>7</v>
      </c>
      <c r="B60">
        <v>39.857300000000002</v>
      </c>
      <c r="C60">
        <v>40.023516999999998</v>
      </c>
      <c r="D60">
        <v>40.005280999999997</v>
      </c>
      <c r="E60">
        <v>40.041784</v>
      </c>
      <c r="F60">
        <v>39.992939</v>
      </c>
      <c r="G60">
        <v>40.054155000000002</v>
      </c>
      <c r="J60">
        <f>B60-C60</f>
        <v>-0.16621699999999606</v>
      </c>
      <c r="K60">
        <f t="shared" si="0"/>
        <v>-18.251500000001641</v>
      </c>
      <c r="L60">
        <f t="shared" si="1"/>
        <v>-30.608000000000857</v>
      </c>
    </row>
    <row r="61" spans="1:12" x14ac:dyDescent="0.35">
      <c r="A61">
        <v>7</v>
      </c>
      <c r="B61">
        <v>50.3157</v>
      </c>
      <c r="C61">
        <v>50.575023000000002</v>
      </c>
      <c r="D61">
        <v>50.554153999999997</v>
      </c>
      <c r="E61">
        <v>50.595930000000003</v>
      </c>
      <c r="F61">
        <v>50.534390999999999</v>
      </c>
      <c r="G61">
        <v>50.615740000000002</v>
      </c>
      <c r="J61">
        <f>B61-C61</f>
        <v>-0.25932300000000197</v>
      </c>
      <c r="K61">
        <f t="shared" si="0"/>
        <v>-20.888000000002904</v>
      </c>
      <c r="L61">
        <f t="shared" si="1"/>
        <v>-40.674500000001501</v>
      </c>
    </row>
    <row r="62" spans="1:12" x14ac:dyDescent="0.35">
      <c r="A62">
        <v>7</v>
      </c>
      <c r="B62">
        <v>50.3157</v>
      </c>
      <c r="C62">
        <v>50.575023000000002</v>
      </c>
      <c r="D62">
        <v>50.554153999999997</v>
      </c>
      <c r="E62">
        <v>50.595930000000003</v>
      </c>
      <c r="F62">
        <v>50.534390999999999</v>
      </c>
      <c r="G62">
        <v>50.615740000000002</v>
      </c>
      <c r="J62">
        <f>B62-C62</f>
        <v>-0.25932300000000197</v>
      </c>
      <c r="K62">
        <f t="shared" si="0"/>
        <v>-20.888000000002904</v>
      </c>
      <c r="L62">
        <f t="shared" si="1"/>
        <v>-40.674500000001501</v>
      </c>
    </row>
    <row r="63" spans="1:12" x14ac:dyDescent="0.35">
      <c r="A63">
        <v>7</v>
      </c>
      <c r="B63">
        <v>62.67</v>
      </c>
      <c r="C63">
        <v>63.036597999999998</v>
      </c>
      <c r="D63">
        <v>63.012630000000001</v>
      </c>
      <c r="E63">
        <v>63.060612999999996</v>
      </c>
      <c r="F63">
        <v>62.984088999999997</v>
      </c>
      <c r="G63">
        <v>63.089221999999999</v>
      </c>
      <c r="J63">
        <f>B63-C63</f>
        <v>-0.3665979999999962</v>
      </c>
      <c r="K63">
        <f t="shared" si="0"/>
        <v>-23.991499999997501</v>
      </c>
      <c r="L63">
        <f t="shared" si="1"/>
        <v>-52.566500000001071</v>
      </c>
    </row>
    <row r="64" spans="1:12" x14ac:dyDescent="0.35">
      <c r="A64">
        <v>7</v>
      </c>
      <c r="B64">
        <v>62.67</v>
      </c>
      <c r="C64">
        <v>63.036597999999998</v>
      </c>
      <c r="D64">
        <v>63.012630000000001</v>
      </c>
      <c r="E64">
        <v>63.060612999999996</v>
      </c>
      <c r="F64">
        <v>62.984088999999997</v>
      </c>
      <c r="G64">
        <v>63.089221999999999</v>
      </c>
      <c r="J64">
        <f>B64-C64</f>
        <v>-0.3665979999999962</v>
      </c>
      <c r="K64">
        <f t="shared" si="0"/>
        <v>-23.991499999997501</v>
      </c>
      <c r="L64">
        <f t="shared" si="1"/>
        <v>-52.566500000001071</v>
      </c>
    </row>
    <row r="65" spans="1:12" x14ac:dyDescent="0.35">
      <c r="A65">
        <v>8</v>
      </c>
      <c r="B65">
        <v>19.991</v>
      </c>
      <c r="C65">
        <v>20.324197999999999</v>
      </c>
      <c r="D65">
        <v>20.308855000000001</v>
      </c>
      <c r="E65">
        <v>20.339555000000001</v>
      </c>
      <c r="F65">
        <v>20.314388999999998</v>
      </c>
      <c r="G65">
        <v>20.334009999999999</v>
      </c>
      <c r="J65">
        <f>B65-C65</f>
        <v>-0.33319799999999944</v>
      </c>
      <c r="K65">
        <f t="shared" si="0"/>
        <v>-15.349999999999753</v>
      </c>
      <c r="L65">
        <f t="shared" si="1"/>
        <v>-9.8105000000003884</v>
      </c>
    </row>
    <row r="66" spans="1:12" x14ac:dyDescent="0.35">
      <c r="A66">
        <v>8</v>
      </c>
      <c r="B66">
        <v>20.251000000000001</v>
      </c>
      <c r="C66">
        <v>20.767702</v>
      </c>
      <c r="D66">
        <v>20.752441999999999</v>
      </c>
      <c r="E66">
        <v>20.782978</v>
      </c>
      <c r="F66">
        <v>20.757382</v>
      </c>
      <c r="G66">
        <v>20.778029</v>
      </c>
      <c r="J66">
        <f>B66-C66</f>
        <v>-0.51670199999999866</v>
      </c>
      <c r="K66">
        <f t="shared" si="0"/>
        <v>-15.268000000000725</v>
      </c>
      <c r="L66">
        <f t="shared" si="1"/>
        <v>-10.323500000000152</v>
      </c>
    </row>
    <row r="67" spans="1:12" x14ac:dyDescent="0.35">
      <c r="A67">
        <v>8</v>
      </c>
      <c r="B67">
        <v>22.5245</v>
      </c>
      <c r="C67">
        <v>22.162393999999999</v>
      </c>
      <c r="D67">
        <v>22.146024000000001</v>
      </c>
      <c r="E67">
        <v>22.17878</v>
      </c>
      <c r="F67">
        <v>22.151095000000002</v>
      </c>
      <c r="G67">
        <v>22.173697000000001</v>
      </c>
      <c r="J67">
        <f>B67-C67</f>
        <v>0.36210600000000071</v>
      </c>
      <c r="K67">
        <f t="shared" ref="K67:K100" si="2">(D67-E67)/(2*0.001)</f>
        <v>-16.37799999999956</v>
      </c>
      <c r="L67">
        <f t="shared" ref="L67:L100" si="3">(F67-G67)/(2*0.001)</f>
        <v>-11.300999999999561</v>
      </c>
    </row>
    <row r="68" spans="1:12" x14ac:dyDescent="0.35">
      <c r="A68">
        <v>8</v>
      </c>
      <c r="B68">
        <v>24.317</v>
      </c>
      <c r="C68">
        <v>24.381681</v>
      </c>
      <c r="D68">
        <v>24.365082999999998</v>
      </c>
      <c r="E68">
        <v>24.398295999999998</v>
      </c>
      <c r="F68">
        <v>24.368124000000002</v>
      </c>
      <c r="G68">
        <v>24.395247999999999</v>
      </c>
      <c r="J68">
        <f>B68-C68</f>
        <v>-6.4681000000000211E-2</v>
      </c>
      <c r="K68">
        <f t="shared" si="2"/>
        <v>-16.606499999999969</v>
      </c>
      <c r="L68">
        <f t="shared" si="3"/>
        <v>-13.56199999999852</v>
      </c>
    </row>
    <row r="69" spans="1:12" x14ac:dyDescent="0.35">
      <c r="A69">
        <v>8</v>
      </c>
      <c r="B69">
        <v>24.9162</v>
      </c>
      <c r="C69">
        <v>24.602896000000001</v>
      </c>
      <c r="D69">
        <v>24.586031999999999</v>
      </c>
      <c r="E69">
        <v>24.619776000000002</v>
      </c>
      <c r="F69">
        <v>24.589210000000001</v>
      </c>
      <c r="G69">
        <v>24.616592000000001</v>
      </c>
      <c r="J69">
        <f>B69-C69</f>
        <v>0.31330399999999869</v>
      </c>
      <c r="K69">
        <f t="shared" si="2"/>
        <v>-16.872000000001108</v>
      </c>
      <c r="L69">
        <f t="shared" si="3"/>
        <v>-13.690999999999676</v>
      </c>
    </row>
    <row r="70" spans="1:12" x14ac:dyDescent="0.35">
      <c r="A70">
        <v>8</v>
      </c>
      <c r="B70">
        <v>29.2532</v>
      </c>
      <c r="C70">
        <v>29.247437000000001</v>
      </c>
      <c r="D70">
        <v>29.229557</v>
      </c>
      <c r="E70">
        <v>29.265338</v>
      </c>
      <c r="F70">
        <v>29.22927</v>
      </c>
      <c r="G70">
        <v>29.265626999999999</v>
      </c>
      <c r="J70">
        <f>B70-C70</f>
        <v>5.7629999999981862E-3</v>
      </c>
      <c r="K70">
        <f t="shared" si="2"/>
        <v>-17.890500000000031</v>
      </c>
      <c r="L70">
        <f t="shared" si="3"/>
        <v>-18.178499999999431</v>
      </c>
    </row>
    <row r="71" spans="1:12" x14ac:dyDescent="0.35">
      <c r="A71">
        <v>8</v>
      </c>
      <c r="B71">
        <v>29.299399999999999</v>
      </c>
      <c r="C71">
        <v>29.254795000000001</v>
      </c>
      <c r="D71">
        <v>29.236906000000001</v>
      </c>
      <c r="E71">
        <v>29.272705999999999</v>
      </c>
      <c r="F71">
        <v>29.236621</v>
      </c>
      <c r="G71">
        <v>29.272991999999999</v>
      </c>
      <c r="J71">
        <f>B71-C71</f>
        <v>4.4604999999997119E-2</v>
      </c>
      <c r="K71">
        <f t="shared" si="2"/>
        <v>-17.899999999999139</v>
      </c>
      <c r="L71">
        <f t="shared" si="3"/>
        <v>-18.185499999999521</v>
      </c>
    </row>
    <row r="72" spans="1:12" x14ac:dyDescent="0.35">
      <c r="A72">
        <v>8</v>
      </c>
      <c r="B72">
        <v>35.900199999999998</v>
      </c>
      <c r="C72">
        <v>35.961835999999998</v>
      </c>
      <c r="D72">
        <v>35.942278000000002</v>
      </c>
      <c r="E72">
        <v>35.98142</v>
      </c>
      <c r="F72">
        <v>35.937272</v>
      </c>
      <c r="G72">
        <v>35.986438999999997</v>
      </c>
      <c r="J72">
        <f>B72-C72</f>
        <v>-6.1636000000000024E-2</v>
      </c>
      <c r="K72">
        <f t="shared" si="2"/>
        <v>-19.570999999999117</v>
      </c>
      <c r="L72">
        <f t="shared" si="3"/>
        <v>-24.583499999998537</v>
      </c>
    </row>
    <row r="73" spans="1:12" x14ac:dyDescent="0.35">
      <c r="A73">
        <v>8</v>
      </c>
      <c r="B73">
        <v>35.901499999999999</v>
      </c>
      <c r="C73">
        <v>35.961863000000001</v>
      </c>
      <c r="D73">
        <v>35.942304999999998</v>
      </c>
      <c r="E73">
        <v>35.981448</v>
      </c>
      <c r="F73">
        <v>35.937299000000003</v>
      </c>
      <c r="G73">
        <v>35.986466999999998</v>
      </c>
      <c r="J73">
        <f>B73-C73</f>
        <v>-6.0363000000002387E-2</v>
      </c>
      <c r="K73">
        <f t="shared" si="2"/>
        <v>-19.571500000001407</v>
      </c>
      <c r="L73">
        <f t="shared" si="3"/>
        <v>-24.583999999997275</v>
      </c>
    </row>
    <row r="74" spans="1:12" x14ac:dyDescent="0.35">
      <c r="A74">
        <v>8</v>
      </c>
      <c r="B74">
        <v>44.450099999999999</v>
      </c>
      <c r="C74">
        <v>44.598533000000003</v>
      </c>
      <c r="D74">
        <v>44.576811999999997</v>
      </c>
      <c r="E74">
        <v>44.620286999999998</v>
      </c>
      <c r="F74">
        <v>44.565745</v>
      </c>
      <c r="G74">
        <v>44.631380999999998</v>
      </c>
      <c r="J74">
        <f>B74-C74</f>
        <v>-0.14843300000000426</v>
      </c>
      <c r="K74">
        <f t="shared" si="2"/>
        <v>-21.737500000000409</v>
      </c>
      <c r="L74">
        <f t="shared" si="3"/>
        <v>-32.817999999998904</v>
      </c>
    </row>
    <row r="75" spans="1:12" x14ac:dyDescent="0.35">
      <c r="A75">
        <v>8</v>
      </c>
      <c r="B75">
        <v>44.450099999999999</v>
      </c>
      <c r="C75">
        <v>44.598534999999998</v>
      </c>
      <c r="D75">
        <v>44.576813000000001</v>
      </c>
      <c r="E75">
        <v>44.620289</v>
      </c>
      <c r="F75">
        <v>44.565747000000002</v>
      </c>
      <c r="G75">
        <v>44.631383</v>
      </c>
      <c r="J75">
        <f>B75-C75</f>
        <v>-0.14843499999999921</v>
      </c>
      <c r="K75">
        <f t="shared" si="2"/>
        <v>-21.737999999999147</v>
      </c>
      <c r="L75">
        <f t="shared" si="3"/>
        <v>-32.817999999998904</v>
      </c>
    </row>
    <row r="76" spans="1:12" x14ac:dyDescent="0.35">
      <c r="A76">
        <v>8</v>
      </c>
      <c r="B76">
        <v>54.9054</v>
      </c>
      <c r="C76">
        <v>55.152374000000002</v>
      </c>
      <c r="D76">
        <v>55.128011999999998</v>
      </c>
      <c r="E76">
        <v>55.176775999999997</v>
      </c>
      <c r="F76">
        <v>55.109535999999999</v>
      </c>
      <c r="G76">
        <v>55.195295999999999</v>
      </c>
      <c r="J76">
        <f>B76-C76</f>
        <v>-0.24697400000000158</v>
      </c>
      <c r="K76">
        <f t="shared" si="2"/>
        <v>-24.381999999999238</v>
      </c>
      <c r="L76">
        <f t="shared" si="3"/>
        <v>-42.880000000000251</v>
      </c>
    </row>
    <row r="77" spans="1:12" x14ac:dyDescent="0.35">
      <c r="A77">
        <v>8</v>
      </c>
      <c r="B77">
        <v>54.9054</v>
      </c>
      <c r="C77">
        <v>55.152374000000002</v>
      </c>
      <c r="D77">
        <v>55.128011999999998</v>
      </c>
      <c r="E77">
        <v>55.176775999999997</v>
      </c>
      <c r="F77">
        <v>55.109535999999999</v>
      </c>
      <c r="G77">
        <v>55.195295999999999</v>
      </c>
      <c r="J77">
        <f>B77-C77</f>
        <v>-0.24697400000000158</v>
      </c>
      <c r="K77">
        <f t="shared" si="2"/>
        <v>-24.381999999999238</v>
      </c>
      <c r="L77">
        <f t="shared" si="3"/>
        <v>-42.880000000000251</v>
      </c>
    </row>
    <row r="78" spans="1:12" x14ac:dyDescent="0.35">
      <c r="A78">
        <v>8</v>
      </c>
      <c r="B78">
        <v>67.258099999999999</v>
      </c>
      <c r="C78">
        <v>67.617667999999995</v>
      </c>
      <c r="D78">
        <v>67.590196000000006</v>
      </c>
      <c r="E78">
        <v>67.645189999999999</v>
      </c>
      <c r="F78">
        <v>67.562957999999995</v>
      </c>
      <c r="G78">
        <v>67.672493000000003</v>
      </c>
      <c r="J78">
        <f>B78-C78</f>
        <v>-0.35956799999999589</v>
      </c>
      <c r="K78">
        <f t="shared" si="2"/>
        <v>-27.496999999996774</v>
      </c>
      <c r="L78">
        <f t="shared" si="3"/>
        <v>-54.767500000004077</v>
      </c>
    </row>
    <row r="79" spans="1:12" x14ac:dyDescent="0.35">
      <c r="A79">
        <v>8</v>
      </c>
      <c r="B79">
        <v>67.258099999999999</v>
      </c>
      <c r="C79">
        <v>67.617667999999995</v>
      </c>
      <c r="D79">
        <v>67.590196000000006</v>
      </c>
      <c r="E79">
        <v>67.645189999999999</v>
      </c>
      <c r="F79">
        <v>67.562957999999995</v>
      </c>
      <c r="G79">
        <v>67.672493000000003</v>
      </c>
      <c r="J79">
        <f>B79-C79</f>
        <v>-0.35956799999999589</v>
      </c>
      <c r="K79">
        <f t="shared" si="2"/>
        <v>-27.496999999996774</v>
      </c>
      <c r="L79">
        <f t="shared" si="3"/>
        <v>-54.767500000004077</v>
      </c>
    </row>
    <row r="80" spans="1:12" x14ac:dyDescent="0.35">
      <c r="A80">
        <v>8</v>
      </c>
      <c r="B80">
        <v>81.501999999999995</v>
      </c>
      <c r="C80">
        <v>81.988934</v>
      </c>
      <c r="D80">
        <v>81.957891000000004</v>
      </c>
      <c r="E80">
        <v>82.020037000000002</v>
      </c>
      <c r="F80">
        <v>81.920531999999994</v>
      </c>
      <c r="G80">
        <v>82.057485999999997</v>
      </c>
      <c r="J80">
        <f>B80-C80</f>
        <v>-0.48693400000000508</v>
      </c>
      <c r="K80">
        <f t="shared" si="2"/>
        <v>-31.07299999999924</v>
      </c>
      <c r="L80">
        <f t="shared" si="3"/>
        <v>-68.477000000001453</v>
      </c>
    </row>
    <row r="81" spans="1:12" x14ac:dyDescent="0.35">
      <c r="A81">
        <v>8</v>
      </c>
      <c r="B81">
        <v>81.501999999999995</v>
      </c>
      <c r="C81">
        <v>81.988934</v>
      </c>
      <c r="D81">
        <v>81.957891000000004</v>
      </c>
      <c r="E81">
        <v>82.020037000000002</v>
      </c>
      <c r="F81">
        <v>81.920531999999994</v>
      </c>
      <c r="G81">
        <v>82.057485999999997</v>
      </c>
      <c r="J81">
        <f>B81-C81</f>
        <v>-0.48693400000000508</v>
      </c>
      <c r="K81">
        <f t="shared" si="2"/>
        <v>-31.07299999999924</v>
      </c>
      <c r="L81">
        <f t="shared" si="3"/>
        <v>-68.477000000001453</v>
      </c>
    </row>
    <row r="82" spans="1:12" x14ac:dyDescent="0.35">
      <c r="A82">
        <v>9</v>
      </c>
      <c r="B82">
        <v>24.845500000000001</v>
      </c>
      <c r="C82">
        <v>25.318757999999999</v>
      </c>
      <c r="D82">
        <v>25.299714000000002</v>
      </c>
      <c r="E82">
        <v>25.337820000000001</v>
      </c>
      <c r="F82">
        <v>25.306507</v>
      </c>
      <c r="G82">
        <v>25.331014</v>
      </c>
      <c r="J82">
        <f>B82-C82</f>
        <v>-0.47325799999999774</v>
      </c>
      <c r="K82">
        <f t="shared" si="2"/>
        <v>-19.052999999999543</v>
      </c>
      <c r="L82">
        <f t="shared" si="3"/>
        <v>-12.253499999999917</v>
      </c>
    </row>
    <row r="83" spans="1:12" x14ac:dyDescent="0.35">
      <c r="A83">
        <v>9</v>
      </c>
      <c r="B83">
        <v>25.034300000000002</v>
      </c>
      <c r="C83">
        <v>25.679068999999998</v>
      </c>
      <c r="D83">
        <v>25.660139000000001</v>
      </c>
      <c r="E83">
        <v>25.698018000000001</v>
      </c>
      <c r="F83">
        <v>25.666378000000002</v>
      </c>
      <c r="G83">
        <v>25.691768</v>
      </c>
      <c r="J83">
        <f>B83-C83</f>
        <v>-0.64476899999999659</v>
      </c>
      <c r="K83">
        <f t="shared" si="2"/>
        <v>-18.939500000000109</v>
      </c>
      <c r="L83">
        <f t="shared" si="3"/>
        <v>-12.694999999999013</v>
      </c>
    </row>
    <row r="84" spans="1:12" x14ac:dyDescent="0.35">
      <c r="A84">
        <v>9</v>
      </c>
      <c r="B84">
        <v>27.844799999999999</v>
      </c>
      <c r="C84">
        <v>27.432784000000002</v>
      </c>
      <c r="D84">
        <v>27.412433</v>
      </c>
      <c r="E84">
        <v>27.453154000000001</v>
      </c>
      <c r="F84">
        <v>27.418890999999999</v>
      </c>
      <c r="G84">
        <v>27.446681000000002</v>
      </c>
      <c r="J84">
        <f>B84-C84</f>
        <v>0.41201599999999772</v>
      </c>
      <c r="K84">
        <f t="shared" si="2"/>
        <v>-20.36050000000067</v>
      </c>
      <c r="L84">
        <f t="shared" si="3"/>
        <v>-13.895000000001545</v>
      </c>
    </row>
    <row r="85" spans="1:12" x14ac:dyDescent="0.35">
      <c r="A85">
        <v>9</v>
      </c>
      <c r="B85">
        <v>29.4069</v>
      </c>
      <c r="C85">
        <v>29.490957999999999</v>
      </c>
      <c r="D85">
        <v>29.470503000000001</v>
      </c>
      <c r="E85">
        <v>29.511433</v>
      </c>
      <c r="F85">
        <v>29.474917999999999</v>
      </c>
      <c r="G85">
        <v>29.507009</v>
      </c>
      <c r="J85">
        <f>B85-C85</f>
        <v>-8.4057999999998856E-2</v>
      </c>
      <c r="K85">
        <f t="shared" si="2"/>
        <v>-20.464999999999733</v>
      </c>
      <c r="L85">
        <f t="shared" si="3"/>
        <v>-16.045500000000601</v>
      </c>
    </row>
    <row r="86" spans="1:12" x14ac:dyDescent="0.35">
      <c r="A86">
        <v>9</v>
      </c>
      <c r="B86">
        <v>30.296399999999998</v>
      </c>
      <c r="C86">
        <v>29.836729999999999</v>
      </c>
      <c r="D86">
        <v>29.815854000000002</v>
      </c>
      <c r="E86">
        <v>29.857626</v>
      </c>
      <c r="F86">
        <v>29.820499000000002</v>
      </c>
      <c r="G86">
        <v>29.852969999999999</v>
      </c>
      <c r="J86">
        <f>B86-C86</f>
        <v>0.45966999999999913</v>
      </c>
      <c r="K86">
        <f t="shared" si="2"/>
        <v>-20.885999999999072</v>
      </c>
      <c r="L86">
        <f t="shared" si="3"/>
        <v>-16.235499999998737</v>
      </c>
    </row>
    <row r="87" spans="1:12" x14ac:dyDescent="0.35">
      <c r="A87">
        <v>9</v>
      </c>
      <c r="B87">
        <v>34.4345</v>
      </c>
      <c r="C87">
        <v>34.393895000000001</v>
      </c>
      <c r="D87">
        <v>34.372107</v>
      </c>
      <c r="E87">
        <v>34.415706999999998</v>
      </c>
      <c r="F87">
        <v>34.373229000000002</v>
      </c>
      <c r="G87">
        <v>34.414583999999998</v>
      </c>
      <c r="J87">
        <f>B87-C87</f>
        <v>4.0604999999999336E-2</v>
      </c>
      <c r="K87">
        <f t="shared" si="2"/>
        <v>-21.799999999998931</v>
      </c>
      <c r="L87">
        <f t="shared" si="3"/>
        <v>-20.677499999997906</v>
      </c>
    </row>
    <row r="88" spans="1:12" x14ac:dyDescent="0.35">
      <c r="A88">
        <v>9</v>
      </c>
      <c r="B88">
        <v>34.525500000000001</v>
      </c>
      <c r="C88">
        <v>34.409314000000002</v>
      </c>
      <c r="D88">
        <v>34.387504999999997</v>
      </c>
      <c r="E88">
        <v>34.431147000000003</v>
      </c>
      <c r="F88">
        <v>34.388635999999998</v>
      </c>
      <c r="G88">
        <v>34.430014999999997</v>
      </c>
      <c r="J88">
        <f>B88-C88</f>
        <v>0.11618599999999901</v>
      </c>
      <c r="K88">
        <f t="shared" si="2"/>
        <v>-21.821000000002755</v>
      </c>
      <c r="L88">
        <f t="shared" si="3"/>
        <v>-20.689499999999583</v>
      </c>
    </row>
    <row r="89" spans="1:12" x14ac:dyDescent="0.35">
      <c r="A89">
        <v>9</v>
      </c>
      <c r="B89">
        <v>41.079000000000001</v>
      </c>
      <c r="C89">
        <v>41.105688999999998</v>
      </c>
      <c r="D89">
        <v>41.082223999999997</v>
      </c>
      <c r="E89">
        <v>41.129182999999998</v>
      </c>
      <c r="F89">
        <v>41.078628999999999</v>
      </c>
      <c r="G89">
        <v>41.132789000000002</v>
      </c>
      <c r="J89">
        <f>B89-C89</f>
        <v>-2.668899999999752E-2</v>
      </c>
      <c r="K89">
        <f t="shared" si="2"/>
        <v>-23.479500000000542</v>
      </c>
      <c r="L89">
        <f t="shared" si="3"/>
        <v>-27.080000000001547</v>
      </c>
    </row>
    <row r="90" spans="1:12" x14ac:dyDescent="0.35">
      <c r="A90">
        <v>9</v>
      </c>
      <c r="B90">
        <v>41.0824</v>
      </c>
      <c r="C90">
        <v>41.105784999999997</v>
      </c>
      <c r="D90">
        <v>41.082321</v>
      </c>
      <c r="E90">
        <v>41.129278999999997</v>
      </c>
      <c r="F90">
        <v>41.078724000000001</v>
      </c>
      <c r="G90">
        <v>41.132885999999999</v>
      </c>
      <c r="J90">
        <f>B90-C90</f>
        <v>-2.3384999999997547E-2</v>
      </c>
      <c r="K90">
        <f t="shared" si="2"/>
        <v>-23.478999999998251</v>
      </c>
      <c r="L90">
        <f t="shared" si="3"/>
        <v>-27.080999999999023</v>
      </c>
    </row>
    <row r="91" spans="1:12" x14ac:dyDescent="0.35">
      <c r="A91">
        <v>9</v>
      </c>
      <c r="B91">
        <v>49.620399999999997</v>
      </c>
      <c r="C91">
        <v>49.741728000000002</v>
      </c>
      <c r="D91">
        <v>49.716098000000002</v>
      </c>
      <c r="E91">
        <v>49.767394000000003</v>
      </c>
      <c r="F91">
        <v>49.706448000000002</v>
      </c>
      <c r="G91">
        <v>49.777068</v>
      </c>
      <c r="J91">
        <f>B91-C91</f>
        <v>-0.12132800000000543</v>
      </c>
      <c r="K91">
        <f t="shared" si="2"/>
        <v>-25.648000000000337</v>
      </c>
      <c r="L91">
        <f t="shared" si="3"/>
        <v>-35.309999999999064</v>
      </c>
    </row>
    <row r="92" spans="1:12" x14ac:dyDescent="0.35">
      <c r="A92">
        <v>9</v>
      </c>
      <c r="B92">
        <v>49.620399999999997</v>
      </c>
      <c r="C92">
        <v>49.741731999999999</v>
      </c>
      <c r="D92">
        <v>49.716101999999999</v>
      </c>
      <c r="E92">
        <v>49.767398</v>
      </c>
      <c r="F92">
        <v>49.706451999999999</v>
      </c>
      <c r="G92">
        <v>49.777071999999997</v>
      </c>
      <c r="J92">
        <f>B92-C92</f>
        <v>-0.12133200000000244</v>
      </c>
      <c r="K92">
        <f t="shared" si="2"/>
        <v>-25.648000000000337</v>
      </c>
      <c r="L92">
        <f t="shared" si="3"/>
        <v>-35.309999999999064</v>
      </c>
    </row>
    <row r="93" spans="1:12" x14ac:dyDescent="0.35">
      <c r="A93">
        <v>9</v>
      </c>
      <c r="B93">
        <v>60.070999999999998</v>
      </c>
      <c r="C93">
        <v>60.297497999999997</v>
      </c>
      <c r="D93">
        <v>60.269221000000002</v>
      </c>
      <c r="E93">
        <v>60.32582</v>
      </c>
      <c r="F93">
        <v>60.252172999999999</v>
      </c>
      <c r="G93">
        <v>60.342908999999999</v>
      </c>
      <c r="J93">
        <f>B93-C93</f>
        <v>-0.22649799999999942</v>
      </c>
      <c r="K93">
        <f t="shared" si="2"/>
        <v>-28.299499999999256</v>
      </c>
      <c r="L93">
        <f t="shared" si="3"/>
        <v>-45.367999999999853</v>
      </c>
    </row>
    <row r="94" spans="1:12" x14ac:dyDescent="0.35">
      <c r="A94">
        <v>9</v>
      </c>
      <c r="B94">
        <v>60.070999999999998</v>
      </c>
      <c r="C94">
        <v>60.297497999999997</v>
      </c>
      <c r="D94">
        <v>60.269221000000002</v>
      </c>
      <c r="E94">
        <v>60.32582</v>
      </c>
      <c r="F94">
        <v>60.252172999999999</v>
      </c>
      <c r="G94">
        <v>60.342908999999999</v>
      </c>
      <c r="J94">
        <f>B94-C94</f>
        <v>-0.22649799999999942</v>
      </c>
      <c r="K94">
        <f t="shared" si="2"/>
        <v>-28.299499999999256</v>
      </c>
      <c r="L94">
        <f t="shared" si="3"/>
        <v>-45.367999999999853</v>
      </c>
    </row>
    <row r="95" spans="1:12" x14ac:dyDescent="0.35">
      <c r="A95">
        <v>9</v>
      </c>
      <c r="B95">
        <v>72.421300000000002</v>
      </c>
      <c r="C95">
        <v>72.766419999999997</v>
      </c>
      <c r="D95">
        <v>72.735022000000001</v>
      </c>
      <c r="E95">
        <v>72.797871999999998</v>
      </c>
      <c r="F95">
        <v>72.709227999999996</v>
      </c>
      <c r="G95">
        <v>72.823728000000003</v>
      </c>
      <c r="J95">
        <f>B95-C95</f>
        <v>-0.34511999999999432</v>
      </c>
      <c r="K95">
        <f t="shared" si="2"/>
        <v>-31.424999999998704</v>
      </c>
      <c r="L95">
        <f t="shared" si="3"/>
        <v>-57.250000000003354</v>
      </c>
    </row>
    <row r="96" spans="1:12" x14ac:dyDescent="0.35">
      <c r="A96">
        <v>9</v>
      </c>
      <c r="B96">
        <v>72.421300000000002</v>
      </c>
      <c r="C96">
        <v>72.766419999999997</v>
      </c>
      <c r="D96">
        <v>72.735022000000001</v>
      </c>
      <c r="E96">
        <v>72.797871999999998</v>
      </c>
      <c r="F96">
        <v>72.709227999999996</v>
      </c>
      <c r="G96">
        <v>72.823728000000003</v>
      </c>
      <c r="J96">
        <f>B96-C96</f>
        <v>-0.34511999999999432</v>
      </c>
      <c r="K96">
        <f t="shared" si="2"/>
        <v>-31.424999999998704</v>
      </c>
      <c r="L96">
        <f t="shared" si="3"/>
        <v>-57.250000000003354</v>
      </c>
    </row>
    <row r="97" spans="1:12" x14ac:dyDescent="0.35">
      <c r="A97">
        <v>9</v>
      </c>
      <c r="B97">
        <v>86.664000000000001</v>
      </c>
      <c r="C97">
        <v>87.142708999999996</v>
      </c>
      <c r="D97">
        <v>87.107726</v>
      </c>
      <c r="E97">
        <v>87.177757</v>
      </c>
      <c r="F97">
        <v>87.071831000000003</v>
      </c>
      <c r="G97">
        <v>87.213738000000006</v>
      </c>
      <c r="J97">
        <f>B97-C97</f>
        <v>-0.47870899999999494</v>
      </c>
      <c r="K97">
        <f t="shared" si="2"/>
        <v>-35.015500000000088</v>
      </c>
      <c r="L97">
        <f t="shared" si="3"/>
        <v>-70.953500000001668</v>
      </c>
    </row>
    <row r="98" spans="1:12" x14ac:dyDescent="0.35">
      <c r="A98">
        <v>9</v>
      </c>
      <c r="B98">
        <v>86.664000000000001</v>
      </c>
      <c r="C98">
        <v>87.142708999999996</v>
      </c>
      <c r="D98">
        <v>87.107726</v>
      </c>
      <c r="E98">
        <v>87.177757</v>
      </c>
      <c r="F98">
        <v>87.071831000000003</v>
      </c>
      <c r="G98">
        <v>87.213738000000006</v>
      </c>
      <c r="J98">
        <f>B98-C98</f>
        <v>-0.47870899999999494</v>
      </c>
      <c r="K98">
        <f t="shared" si="2"/>
        <v>-35.015500000000088</v>
      </c>
      <c r="L98">
        <f t="shared" si="3"/>
        <v>-70.953500000001668</v>
      </c>
    </row>
    <row r="99" spans="1:12" x14ac:dyDescent="0.35">
      <c r="A99">
        <v>9</v>
      </c>
      <c r="B99">
        <v>102.79259999999999</v>
      </c>
      <c r="C99">
        <v>103.420328</v>
      </c>
      <c r="D99">
        <v>103.381304</v>
      </c>
      <c r="E99">
        <v>103.45943</v>
      </c>
      <c r="F99">
        <v>103.333946</v>
      </c>
      <c r="G99">
        <v>103.506899</v>
      </c>
      <c r="J99">
        <f>B99-C99</f>
        <v>-0.62772800000000473</v>
      </c>
      <c r="K99">
        <f t="shared" si="2"/>
        <v>-39.062999999998738</v>
      </c>
      <c r="L99">
        <f t="shared" si="3"/>
        <v>-86.476500000003398</v>
      </c>
    </row>
    <row r="100" spans="1:12" x14ac:dyDescent="0.35">
      <c r="A100">
        <v>9</v>
      </c>
      <c r="B100">
        <v>102.79259999999999</v>
      </c>
      <c r="C100">
        <v>103.420328</v>
      </c>
      <c r="D100">
        <v>103.381304</v>
      </c>
      <c r="E100">
        <v>103.45943</v>
      </c>
      <c r="F100">
        <v>103.333946</v>
      </c>
      <c r="G100">
        <v>103.506899</v>
      </c>
      <c r="J100">
        <f>B100-C100</f>
        <v>-0.62772800000000473</v>
      </c>
      <c r="K100">
        <f t="shared" si="2"/>
        <v>-39.062999999998738</v>
      </c>
      <c r="L100">
        <f t="shared" si="3"/>
        <v>-86.476500000003398</v>
      </c>
    </row>
  </sheetData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D50CC-FAA9-46C0-81A6-ECD289B6B95E}">
  <dimension ref="A1:S100"/>
  <sheetViews>
    <sheetView tabSelected="1" workbookViewId="0">
      <selection activeCell="N6" sqref="N6"/>
    </sheetView>
  </sheetViews>
  <sheetFormatPr defaultRowHeight="14.5" x14ac:dyDescent="0.35"/>
  <cols>
    <col min="1" max="1" width="6.08984375" customWidth="1"/>
    <col min="2" max="2" width="8.81640625" bestFit="1" customWidth="1"/>
    <col min="3" max="3" width="10.81640625" bestFit="1" customWidth="1"/>
    <col min="10" max="10" width="9.81640625" bestFit="1" customWidth="1"/>
  </cols>
  <sheetData>
    <row r="1" spans="1:19" x14ac:dyDescent="0.35">
      <c r="A1" t="s">
        <v>6</v>
      </c>
      <c r="B1" t="s">
        <v>7</v>
      </c>
      <c r="C1" t="s">
        <v>5</v>
      </c>
      <c r="D1" t="s">
        <v>9</v>
      </c>
      <c r="E1" t="s">
        <v>8</v>
      </c>
      <c r="F1" t="s">
        <v>11</v>
      </c>
      <c r="G1" t="s">
        <v>10</v>
      </c>
      <c r="J1" t="s">
        <v>12</v>
      </c>
      <c r="K1" t="s">
        <v>13</v>
      </c>
      <c r="L1" t="s">
        <v>14</v>
      </c>
      <c r="O1" t="s">
        <v>18</v>
      </c>
      <c r="S1" t="s">
        <v>19</v>
      </c>
    </row>
    <row r="2" spans="1:19" x14ac:dyDescent="0.35">
      <c r="A2">
        <v>1</v>
      </c>
      <c r="B2">
        <v>0.57210000000000005</v>
      </c>
      <c r="C2">
        <v>0.57220599999999999</v>
      </c>
      <c r="D2">
        <v>0.57177</v>
      </c>
      <c r="E2">
        <v>0.57264300000000001</v>
      </c>
      <c r="F2">
        <v>0.57193000000000005</v>
      </c>
      <c r="G2">
        <v>0.57248200000000005</v>
      </c>
      <c r="J2">
        <f>B2-C2</f>
        <v>-1.0599999999993948E-4</v>
      </c>
      <c r="K2">
        <f>(D2-E2)/(2*0.001)</f>
        <v>-0.43650000000000633</v>
      </c>
      <c r="L2">
        <f>(F2-G2)/(2*0.001)</f>
        <v>-0.27599999999999847</v>
      </c>
      <c r="O2">
        <f>SUMSQ(K2:K100)</f>
        <v>31263.976569749972</v>
      </c>
      <c r="P2">
        <f>SUMPRODUCT(K2:K100,L2:L100)</f>
        <v>49054.448049500075</v>
      </c>
      <c r="S2">
        <f>SUMPRODUCT(J2:J100,K2:K100)</f>
        <v>-66.183892307498155</v>
      </c>
    </row>
    <row r="3" spans="1:19" x14ac:dyDescent="0.35">
      <c r="A3">
        <v>1</v>
      </c>
      <c r="B3">
        <v>1.4932000000000001</v>
      </c>
      <c r="C3">
        <v>1.5056609999999999</v>
      </c>
      <c r="D3">
        <v>1.504988</v>
      </c>
      <c r="E3">
        <v>1.506335</v>
      </c>
      <c r="F3">
        <v>1.5045120000000001</v>
      </c>
      <c r="G3">
        <v>1.506812</v>
      </c>
      <c r="J3">
        <f t="shared" ref="J3:J66" si="0">B3-C3</f>
        <v>-1.2460999999999833E-2</v>
      </c>
      <c r="K3">
        <f t="shared" ref="K3:K66" si="1">(D3-E3)/(2*0.001)</f>
        <v>-0.67349999999999355</v>
      </c>
      <c r="L3">
        <f t="shared" ref="L3:L66" si="2">(F3-G3)/(2*0.001)</f>
        <v>-1.1499999999999844</v>
      </c>
      <c r="O3">
        <f>SUMPRODUCT(K2:K100,L2:L100)</f>
        <v>49054.448049500075</v>
      </c>
      <c r="P3">
        <f>SUMSQ(L2:L100)</f>
        <v>84368.536421000201</v>
      </c>
      <c r="S3">
        <f>SUMPRODUCT(J2:J100,L2:L100)</f>
        <v>-107.08854099949737</v>
      </c>
    </row>
    <row r="4" spans="1:19" x14ac:dyDescent="0.35">
      <c r="A4">
        <v>1</v>
      </c>
      <c r="B4">
        <v>1.5575000000000001</v>
      </c>
      <c r="C4">
        <v>1.542737</v>
      </c>
      <c r="D4">
        <v>1.5420400000000001</v>
      </c>
      <c r="E4">
        <v>1.543436</v>
      </c>
      <c r="F4">
        <v>1.5415570000000001</v>
      </c>
      <c r="G4">
        <v>1.54392</v>
      </c>
      <c r="J4">
        <f t="shared" si="0"/>
        <v>1.4763000000000082E-2</v>
      </c>
      <c r="K4">
        <f t="shared" si="1"/>
        <v>-0.69799999999997642</v>
      </c>
      <c r="L4">
        <f t="shared" si="2"/>
        <v>-1.1814999999999465</v>
      </c>
    </row>
    <row r="5" spans="1:19" x14ac:dyDescent="0.35">
      <c r="A5">
        <v>2</v>
      </c>
      <c r="B5">
        <v>1.7129000000000001</v>
      </c>
      <c r="C5">
        <v>1.715271</v>
      </c>
      <c r="D5">
        <v>1.7139629999999999</v>
      </c>
      <c r="E5">
        <v>1.7165790000000001</v>
      </c>
      <c r="F5">
        <v>1.7144429999999999</v>
      </c>
      <c r="G5">
        <v>1.7160979999999999</v>
      </c>
      <c r="J5">
        <f t="shared" si="0"/>
        <v>-2.370999999999901E-3</v>
      </c>
      <c r="K5">
        <f t="shared" si="1"/>
        <v>-1.3080000000000869</v>
      </c>
      <c r="L5">
        <f t="shared" si="2"/>
        <v>-0.82749999999998103</v>
      </c>
      <c r="O5" cm="1">
        <f t="array" ref="O5:P6">MINVERSE(O2:P3)</f>
        <v>3.6466806710456275E-4</v>
      </c>
      <c r="P5">
        <v>-2.1202917001935479E-4</v>
      </c>
      <c r="S5" cm="1">
        <f t="array" ref="S5:S6">MMULT(_xlfn.ANCHORARRAY(O5),S2:S3)</f>
        <v>-1.4292576145248197E-3</v>
      </c>
    </row>
    <row r="6" spans="1:19" x14ac:dyDescent="0.35">
      <c r="A6">
        <v>2</v>
      </c>
      <c r="B6">
        <v>2.573</v>
      </c>
      <c r="C6">
        <v>2.6126659999999999</v>
      </c>
      <c r="D6">
        <v>2.6111460000000002</v>
      </c>
      <c r="E6">
        <v>2.614188</v>
      </c>
      <c r="F6">
        <v>2.6109960000000001</v>
      </c>
      <c r="G6">
        <v>2.6143390000000002</v>
      </c>
      <c r="J6">
        <f t="shared" si="0"/>
        <v>-3.9665999999999979E-2</v>
      </c>
      <c r="K6">
        <f t="shared" si="1"/>
        <v>-1.5209999999998836</v>
      </c>
      <c r="L6">
        <f t="shared" si="2"/>
        <v>-1.6715000000000479</v>
      </c>
      <c r="O6">
        <v>-2.1202917001935479E-4</v>
      </c>
      <c r="P6">
        <v>1.3513300561244818E-4</v>
      </c>
      <c r="S6">
        <v>-4.382806573047706E-4</v>
      </c>
    </row>
    <row r="7" spans="1:19" x14ac:dyDescent="0.35">
      <c r="A7">
        <v>2</v>
      </c>
      <c r="B7">
        <v>2.7658999999999998</v>
      </c>
      <c r="C7">
        <v>2.724234</v>
      </c>
      <c r="D7">
        <v>2.722639</v>
      </c>
      <c r="E7">
        <v>2.7258309999999999</v>
      </c>
      <c r="F7">
        <v>2.7224710000000001</v>
      </c>
      <c r="G7">
        <v>2.726</v>
      </c>
      <c r="J7">
        <f t="shared" si="0"/>
        <v>4.1665999999999759E-2</v>
      </c>
      <c r="K7">
        <f t="shared" si="1"/>
        <v>-1.5959999999999308</v>
      </c>
      <c r="L7">
        <f t="shared" si="2"/>
        <v>-1.7644999999999467</v>
      </c>
    </row>
    <row r="8" spans="1:19" x14ac:dyDescent="0.35">
      <c r="A8">
        <v>2</v>
      </c>
      <c r="B8">
        <v>5.5289000000000001</v>
      </c>
      <c r="C8">
        <v>5.5243849999999997</v>
      </c>
      <c r="D8">
        <v>5.5220799999999999</v>
      </c>
      <c r="E8">
        <v>5.526694</v>
      </c>
      <c r="F8">
        <v>5.5200019999999999</v>
      </c>
      <c r="G8">
        <v>5.5287769999999998</v>
      </c>
      <c r="J8">
        <f t="shared" si="0"/>
        <v>4.5150000000004908E-3</v>
      </c>
      <c r="K8">
        <f t="shared" si="1"/>
        <v>-2.307000000000059</v>
      </c>
      <c r="L8">
        <f t="shared" si="2"/>
        <v>-4.3874999999999886</v>
      </c>
      <c r="P8" t="s">
        <v>23</v>
      </c>
      <c r="Q8" t="s">
        <v>24</v>
      </c>
    </row>
    <row r="9" spans="1:19" x14ac:dyDescent="0.35">
      <c r="A9">
        <v>2</v>
      </c>
      <c r="B9">
        <v>5.5320999999999998</v>
      </c>
      <c r="C9">
        <v>5.5253870000000003</v>
      </c>
      <c r="D9">
        <v>5.5230800000000002</v>
      </c>
      <c r="E9">
        <v>5.5276969999999999</v>
      </c>
      <c r="F9">
        <v>5.5210030000000003</v>
      </c>
      <c r="G9">
        <v>5.5297790000000004</v>
      </c>
      <c r="J9">
        <f t="shared" si="0"/>
        <v>6.7129999999995249E-3</v>
      </c>
      <c r="K9">
        <f t="shared" si="1"/>
        <v>-2.3084999999998246</v>
      </c>
      <c r="L9">
        <f t="shared" si="2"/>
        <v>-4.3880000000000585</v>
      </c>
      <c r="O9" t="s">
        <v>20</v>
      </c>
      <c r="P9">
        <v>1.6821686148887047</v>
      </c>
      <c r="Q9">
        <f>P9+S5</f>
        <v>1.68073935727418</v>
      </c>
    </row>
    <row r="10" spans="1:19" x14ac:dyDescent="0.35">
      <c r="A10">
        <v>3</v>
      </c>
      <c r="B10">
        <v>3.4161999999999999</v>
      </c>
      <c r="C10">
        <v>3.4264640000000002</v>
      </c>
      <c r="D10">
        <v>3.4238550000000001</v>
      </c>
      <c r="E10">
        <v>3.429074</v>
      </c>
      <c r="F10">
        <v>3.4248099999999999</v>
      </c>
      <c r="G10">
        <v>3.428118</v>
      </c>
      <c r="J10">
        <f t="shared" si="0"/>
        <v>-1.0264000000000273E-2</v>
      </c>
      <c r="K10">
        <f t="shared" si="1"/>
        <v>-2.6094999999999313</v>
      </c>
      <c r="L10">
        <f t="shared" si="2"/>
        <v>-1.6540000000000443</v>
      </c>
      <c r="O10" t="s">
        <v>21</v>
      </c>
      <c r="P10">
        <v>1.4359940980761847</v>
      </c>
      <c r="Q10">
        <f>P10+S6</f>
        <v>1.4355558174188801</v>
      </c>
    </row>
    <row r="11" spans="1:19" x14ac:dyDescent="0.35">
      <c r="A11">
        <v>3</v>
      </c>
      <c r="B11">
        <v>4.1906999999999996</v>
      </c>
      <c r="C11">
        <v>4.271439</v>
      </c>
      <c r="D11">
        <v>4.2686520000000003</v>
      </c>
      <c r="E11">
        <v>4.2742290000000001</v>
      </c>
      <c r="F11">
        <v>4.2689859999999999</v>
      </c>
      <c r="G11">
        <v>4.2738940000000003</v>
      </c>
      <c r="J11">
        <f t="shared" si="0"/>
        <v>-8.0739000000000338E-2</v>
      </c>
      <c r="K11">
        <f t="shared" si="1"/>
        <v>-2.7884999999998605</v>
      </c>
      <c r="L11">
        <f t="shared" si="2"/>
        <v>-2.4540000000001783</v>
      </c>
    </row>
    <row r="12" spans="1:19" x14ac:dyDescent="0.35">
      <c r="A12">
        <v>3</v>
      </c>
      <c r="B12">
        <v>4.5765000000000002</v>
      </c>
      <c r="C12">
        <v>4.4955590000000001</v>
      </c>
      <c r="D12">
        <v>4.4926190000000004</v>
      </c>
      <c r="E12">
        <v>4.4985020000000002</v>
      </c>
      <c r="F12">
        <v>4.4929209999999999</v>
      </c>
      <c r="G12">
        <v>4.4981999999999998</v>
      </c>
      <c r="J12">
        <f t="shared" si="0"/>
        <v>8.0941000000000152E-2</v>
      </c>
      <c r="K12">
        <f t="shared" si="1"/>
        <v>-2.9414999999999303</v>
      </c>
      <c r="L12">
        <f t="shared" si="2"/>
        <v>-2.6394999999999058</v>
      </c>
    </row>
    <row r="13" spans="1:19" x14ac:dyDescent="0.35">
      <c r="A13">
        <v>3</v>
      </c>
      <c r="B13">
        <v>7.2450999999999999</v>
      </c>
      <c r="C13">
        <v>7.2407269999999997</v>
      </c>
      <c r="D13">
        <v>7.237114</v>
      </c>
      <c r="E13">
        <v>7.2443460000000002</v>
      </c>
      <c r="F13">
        <v>7.2355159999999996</v>
      </c>
      <c r="G13">
        <v>7.2459470000000001</v>
      </c>
      <c r="J13">
        <f t="shared" si="0"/>
        <v>4.3730000000001823E-3</v>
      </c>
      <c r="K13">
        <f t="shared" si="1"/>
        <v>-3.6160000000000636</v>
      </c>
      <c r="L13">
        <f t="shared" si="2"/>
        <v>-5.2155000000002616</v>
      </c>
    </row>
    <row r="14" spans="1:19" x14ac:dyDescent="0.35">
      <c r="A14">
        <v>3</v>
      </c>
      <c r="B14">
        <v>7.2613000000000003</v>
      </c>
      <c r="C14">
        <v>7.2457839999999996</v>
      </c>
      <c r="D14">
        <v>7.2421660000000001</v>
      </c>
      <c r="E14">
        <v>7.2494079999999999</v>
      </c>
      <c r="F14">
        <v>7.2405689999999998</v>
      </c>
      <c r="G14">
        <v>7.2510089999999998</v>
      </c>
      <c r="J14">
        <f t="shared" si="0"/>
        <v>1.5516000000000751E-2</v>
      </c>
      <c r="K14">
        <f t="shared" si="1"/>
        <v>-3.6209999999998743</v>
      </c>
      <c r="L14">
        <f t="shared" si="2"/>
        <v>-5.2200000000000024</v>
      </c>
    </row>
    <row r="15" spans="1:19" x14ac:dyDescent="0.35">
      <c r="A15">
        <v>3</v>
      </c>
      <c r="B15">
        <v>12.011699999999999</v>
      </c>
      <c r="C15">
        <v>12.000475</v>
      </c>
      <c r="D15">
        <v>11.995616</v>
      </c>
      <c r="E15">
        <v>12.005343999999999</v>
      </c>
      <c r="F15">
        <v>11.990822</v>
      </c>
      <c r="G15">
        <v>12.010149</v>
      </c>
      <c r="J15">
        <f t="shared" si="0"/>
        <v>1.1224999999999596E-2</v>
      </c>
      <c r="K15">
        <f t="shared" si="1"/>
        <v>-4.8639999999995354</v>
      </c>
      <c r="L15">
        <f t="shared" si="2"/>
        <v>-9.6635000000002691</v>
      </c>
    </row>
    <row r="16" spans="1:19" x14ac:dyDescent="0.35">
      <c r="A16">
        <v>3</v>
      </c>
      <c r="B16">
        <v>12.011799999999999</v>
      </c>
      <c r="C16">
        <v>12.000488000000001</v>
      </c>
      <c r="D16">
        <v>11.995628</v>
      </c>
      <c r="E16">
        <v>12.005357</v>
      </c>
      <c r="F16">
        <v>11.990835000000001</v>
      </c>
      <c r="G16">
        <v>12.010161999999999</v>
      </c>
      <c r="J16">
        <f t="shared" si="0"/>
        <v>1.1311999999998434E-2</v>
      </c>
      <c r="K16">
        <f t="shared" si="1"/>
        <v>-4.8645000000000493</v>
      </c>
      <c r="L16">
        <f t="shared" si="2"/>
        <v>-9.6634999999993809</v>
      </c>
    </row>
    <row r="17" spans="1:12" x14ac:dyDescent="0.35">
      <c r="A17">
        <v>4</v>
      </c>
      <c r="B17">
        <v>5.6722999999999999</v>
      </c>
      <c r="C17">
        <v>5.701638</v>
      </c>
      <c r="D17">
        <v>5.6973039999999999</v>
      </c>
      <c r="E17">
        <v>5.7059749999999996</v>
      </c>
      <c r="F17">
        <v>5.6988849999999998</v>
      </c>
      <c r="G17">
        <v>5.7043910000000002</v>
      </c>
      <c r="J17">
        <f t="shared" si="0"/>
        <v>-2.9338000000000086E-2</v>
      </c>
      <c r="K17">
        <f t="shared" si="1"/>
        <v>-4.3354999999998256</v>
      </c>
      <c r="L17">
        <f t="shared" si="2"/>
        <v>-2.7530000000002275</v>
      </c>
    </row>
    <row r="18" spans="1:12" x14ac:dyDescent="0.35">
      <c r="A18">
        <v>4</v>
      </c>
      <c r="B18">
        <v>6.3440000000000003</v>
      </c>
      <c r="C18">
        <v>6.4799379999999998</v>
      </c>
      <c r="D18">
        <v>6.4754690000000004</v>
      </c>
      <c r="E18">
        <v>6.4844109999999997</v>
      </c>
      <c r="F18">
        <v>6.4764400000000002</v>
      </c>
      <c r="G18">
        <v>6.4834389999999997</v>
      </c>
      <c r="J18">
        <f t="shared" si="0"/>
        <v>-0.13593799999999945</v>
      </c>
      <c r="K18">
        <f t="shared" si="1"/>
        <v>-4.4709999999996697</v>
      </c>
      <c r="L18">
        <f t="shared" si="2"/>
        <v>-3.4994999999997667</v>
      </c>
    </row>
    <row r="19" spans="1:12" x14ac:dyDescent="0.35">
      <c r="A19">
        <v>4</v>
      </c>
      <c r="B19">
        <v>6.9866000000000001</v>
      </c>
      <c r="C19">
        <v>6.8555619999999999</v>
      </c>
      <c r="D19">
        <v>6.8508319999999996</v>
      </c>
      <c r="E19">
        <v>6.8602959999999999</v>
      </c>
      <c r="F19">
        <v>6.8517580000000002</v>
      </c>
      <c r="G19">
        <v>6.8593679999999999</v>
      </c>
      <c r="J19">
        <f t="shared" si="0"/>
        <v>0.13103800000000021</v>
      </c>
      <c r="K19">
        <f t="shared" si="1"/>
        <v>-4.7320000000001805</v>
      </c>
      <c r="L19">
        <f t="shared" si="2"/>
        <v>-3.8049999999998363</v>
      </c>
    </row>
    <row r="20" spans="1:12" x14ac:dyDescent="0.35">
      <c r="A20">
        <v>4</v>
      </c>
      <c r="B20">
        <v>9.5309000000000008</v>
      </c>
      <c r="C20">
        <v>9.5273280000000007</v>
      </c>
      <c r="D20">
        <v>9.5219749999999994</v>
      </c>
      <c r="E20">
        <v>9.5326889999999995</v>
      </c>
      <c r="F20">
        <v>9.5210120000000007</v>
      </c>
      <c r="G20">
        <v>9.5336540000000003</v>
      </c>
      <c r="J20">
        <f t="shared" si="0"/>
        <v>3.5720000000001306E-3</v>
      </c>
      <c r="K20">
        <f t="shared" si="1"/>
        <v>-5.3570000000000562</v>
      </c>
      <c r="L20">
        <f t="shared" si="2"/>
        <v>-6.320999999999799</v>
      </c>
    </row>
    <row r="21" spans="1:12" x14ac:dyDescent="0.35">
      <c r="A21">
        <v>4</v>
      </c>
      <c r="B21">
        <v>9.5790000000000006</v>
      </c>
      <c r="C21">
        <v>9.5426699999999993</v>
      </c>
      <c r="D21">
        <v>9.5373009999999994</v>
      </c>
      <c r="E21">
        <v>9.5480459999999994</v>
      </c>
      <c r="F21">
        <v>9.5363410000000002</v>
      </c>
      <c r="G21">
        <v>9.5490089999999999</v>
      </c>
      <c r="J21">
        <f t="shared" si="0"/>
        <v>3.6330000000001306E-2</v>
      </c>
      <c r="K21">
        <f t="shared" si="1"/>
        <v>-5.3725000000000023</v>
      </c>
      <c r="L21">
        <f t="shared" si="2"/>
        <v>-6.3339999999998398</v>
      </c>
    </row>
    <row r="22" spans="1:12" x14ac:dyDescent="0.35">
      <c r="A22">
        <v>4</v>
      </c>
      <c r="B22">
        <v>14.3063</v>
      </c>
      <c r="C22">
        <v>14.290668999999999</v>
      </c>
      <c r="D22">
        <v>14.284064000000001</v>
      </c>
      <c r="E22">
        <v>14.297283999999999</v>
      </c>
      <c r="F22">
        <v>14.279909</v>
      </c>
      <c r="G22">
        <v>14.301449</v>
      </c>
      <c r="J22">
        <f t="shared" si="0"/>
        <v>1.5631000000000839E-2</v>
      </c>
      <c r="K22">
        <f t="shared" si="1"/>
        <v>-6.6099999999993386</v>
      </c>
      <c r="L22">
        <f t="shared" si="2"/>
        <v>-10.769999999999946</v>
      </c>
    </row>
    <row r="23" spans="1:12" x14ac:dyDescent="0.35">
      <c r="A23">
        <v>4</v>
      </c>
      <c r="B23">
        <v>14.307</v>
      </c>
      <c r="C23">
        <v>14.290761</v>
      </c>
      <c r="D23">
        <v>14.284157</v>
      </c>
      <c r="E23">
        <v>14.297376999999999</v>
      </c>
      <c r="F23">
        <v>14.280001</v>
      </c>
      <c r="G23">
        <v>14.301542</v>
      </c>
      <c r="J23">
        <f t="shared" si="0"/>
        <v>1.6239000000000559E-2</v>
      </c>
      <c r="K23">
        <f t="shared" si="1"/>
        <v>-6.6099999999993386</v>
      </c>
      <c r="L23">
        <f t="shared" si="2"/>
        <v>-10.770499999999572</v>
      </c>
    </row>
    <row r="24" spans="1:12" x14ac:dyDescent="0.35">
      <c r="A24">
        <v>4</v>
      </c>
      <c r="B24">
        <v>20.968900000000001</v>
      </c>
      <c r="C24">
        <v>20.950361000000001</v>
      </c>
      <c r="D24">
        <v>20.942014</v>
      </c>
      <c r="E24">
        <v>20.958722999999999</v>
      </c>
      <c r="F24">
        <v>20.933387</v>
      </c>
      <c r="G24">
        <v>20.967371</v>
      </c>
      <c r="J24">
        <f t="shared" si="0"/>
        <v>1.8539000000000527E-2</v>
      </c>
      <c r="K24">
        <f t="shared" si="1"/>
        <v>-8.3544999999993763</v>
      </c>
      <c r="L24">
        <f t="shared" si="2"/>
        <v>-16.992000000000118</v>
      </c>
    </row>
    <row r="25" spans="1:12" x14ac:dyDescent="0.35">
      <c r="A25">
        <v>4</v>
      </c>
      <c r="B25">
        <v>20.968900000000001</v>
      </c>
      <c r="C25">
        <v>20.950361000000001</v>
      </c>
      <c r="D25">
        <v>20.942014</v>
      </c>
      <c r="E25">
        <v>20.958722999999999</v>
      </c>
      <c r="F25">
        <v>20.933387</v>
      </c>
      <c r="G25">
        <v>20.967371</v>
      </c>
      <c r="J25">
        <f t="shared" si="0"/>
        <v>1.8539000000000527E-2</v>
      </c>
      <c r="K25">
        <f t="shared" si="1"/>
        <v>-8.3544999999993763</v>
      </c>
      <c r="L25">
        <f t="shared" si="2"/>
        <v>-16.992000000000118</v>
      </c>
    </row>
    <row r="26" spans="1:12" x14ac:dyDescent="0.35">
      <c r="A26">
        <v>5</v>
      </c>
      <c r="B26">
        <v>8.4696999999999996</v>
      </c>
      <c r="C26">
        <v>8.5352230000000002</v>
      </c>
      <c r="D26">
        <v>8.5287489999999995</v>
      </c>
      <c r="E26">
        <v>8.541703</v>
      </c>
      <c r="F26">
        <v>8.5310980000000001</v>
      </c>
      <c r="G26">
        <v>8.5393489999999996</v>
      </c>
      <c r="J26">
        <f t="shared" si="0"/>
        <v>-6.5523000000000664E-2</v>
      </c>
      <c r="K26">
        <f t="shared" si="1"/>
        <v>-6.4770000000002881</v>
      </c>
      <c r="L26">
        <f t="shared" si="2"/>
        <v>-4.1254999999997821</v>
      </c>
    </row>
    <row r="27" spans="1:12" x14ac:dyDescent="0.35">
      <c r="A27">
        <v>5</v>
      </c>
      <c r="B27">
        <v>9.0299999999999994</v>
      </c>
      <c r="C27">
        <v>9.2355140000000002</v>
      </c>
      <c r="D27">
        <v>9.2289549999999991</v>
      </c>
      <c r="E27">
        <v>9.2420810000000007</v>
      </c>
      <c r="F27">
        <v>9.2307070000000007</v>
      </c>
      <c r="G27">
        <v>9.2403250000000003</v>
      </c>
      <c r="J27">
        <f t="shared" si="0"/>
        <v>-0.20551400000000086</v>
      </c>
      <c r="K27">
        <f t="shared" si="1"/>
        <v>-6.5630000000007627</v>
      </c>
      <c r="L27">
        <f t="shared" si="2"/>
        <v>-4.8089999999998412</v>
      </c>
    </row>
    <row r="28" spans="1:12" x14ac:dyDescent="0.35">
      <c r="A28">
        <v>5</v>
      </c>
      <c r="B28">
        <v>9.9923000000000002</v>
      </c>
      <c r="C28">
        <v>9.8026280000000003</v>
      </c>
      <c r="D28">
        <v>9.7956660000000007</v>
      </c>
      <c r="E28">
        <v>9.8095970000000001</v>
      </c>
      <c r="F28">
        <v>9.7973680000000005</v>
      </c>
      <c r="G28">
        <v>9.8078909999999997</v>
      </c>
      <c r="J28">
        <f t="shared" si="0"/>
        <v>0.18967199999999984</v>
      </c>
      <c r="K28">
        <f t="shared" si="1"/>
        <v>-6.9654999999997358</v>
      </c>
      <c r="L28">
        <f t="shared" si="2"/>
        <v>-5.261499999999586</v>
      </c>
    </row>
    <row r="29" spans="1:12" x14ac:dyDescent="0.35">
      <c r="A29">
        <v>5</v>
      </c>
      <c r="B29">
        <v>12.383900000000001</v>
      </c>
      <c r="C29">
        <v>12.382598</v>
      </c>
      <c r="D29">
        <v>12.375075000000001</v>
      </c>
      <c r="E29">
        <v>12.390129</v>
      </c>
      <c r="F29">
        <v>12.374898999999999</v>
      </c>
      <c r="G29">
        <v>12.390306000000001</v>
      </c>
      <c r="J29">
        <f t="shared" si="0"/>
        <v>1.3020000000008025E-3</v>
      </c>
      <c r="K29">
        <f t="shared" si="1"/>
        <v>-7.5269999999996173</v>
      </c>
      <c r="L29">
        <f t="shared" si="2"/>
        <v>-7.7035000000007514</v>
      </c>
    </row>
    <row r="30" spans="1:12" x14ac:dyDescent="0.35">
      <c r="A30">
        <v>5</v>
      </c>
      <c r="B30">
        <v>12.4948</v>
      </c>
      <c r="C30">
        <v>12.418806</v>
      </c>
      <c r="D30">
        <v>12.411246999999999</v>
      </c>
      <c r="E30">
        <v>12.426373999999999</v>
      </c>
      <c r="F30">
        <v>12.411078</v>
      </c>
      <c r="G30">
        <v>12.426544</v>
      </c>
      <c r="J30">
        <f t="shared" si="0"/>
        <v>7.5993999999999673E-2</v>
      </c>
      <c r="K30">
        <f t="shared" si="1"/>
        <v>-7.5634999999998342</v>
      </c>
      <c r="L30">
        <f t="shared" si="2"/>
        <v>-7.7329999999999899</v>
      </c>
    </row>
    <row r="31" spans="1:12" x14ac:dyDescent="0.35">
      <c r="A31">
        <v>5</v>
      </c>
      <c r="B31">
        <v>17.1769</v>
      </c>
      <c r="C31">
        <v>17.152571999999999</v>
      </c>
      <c r="D31">
        <v>17.143789999999999</v>
      </c>
      <c r="E31">
        <v>17.161366999999998</v>
      </c>
      <c r="F31">
        <v>17.140426000000001</v>
      </c>
      <c r="G31">
        <v>17.164739000000001</v>
      </c>
      <c r="J31">
        <f t="shared" si="0"/>
        <v>2.4328000000000571E-2</v>
      </c>
      <c r="K31">
        <f t="shared" si="1"/>
        <v>-8.7884999999996438</v>
      </c>
      <c r="L31">
        <f t="shared" si="2"/>
        <v>-12.156499999999681</v>
      </c>
    </row>
    <row r="32" spans="1:12" x14ac:dyDescent="0.35">
      <c r="A32">
        <v>5</v>
      </c>
      <c r="B32">
        <v>17.1797</v>
      </c>
      <c r="C32">
        <v>17.152958000000002</v>
      </c>
      <c r="D32">
        <v>17.144175000000001</v>
      </c>
      <c r="E32">
        <v>17.161753000000001</v>
      </c>
      <c r="F32">
        <v>17.140810999999999</v>
      </c>
      <c r="G32">
        <v>17.165126000000001</v>
      </c>
      <c r="J32">
        <f t="shared" si="0"/>
        <v>2.6741999999998711E-2</v>
      </c>
      <c r="K32">
        <f t="shared" si="1"/>
        <v>-8.7890000000001578</v>
      </c>
      <c r="L32">
        <f t="shared" si="2"/>
        <v>-12.157500000000709</v>
      </c>
    </row>
    <row r="33" spans="1:12" x14ac:dyDescent="0.35">
      <c r="A33">
        <v>5</v>
      </c>
      <c r="B33">
        <v>23.8367</v>
      </c>
      <c r="C33">
        <v>23.812660999999999</v>
      </c>
      <c r="D33">
        <v>23.802133999999999</v>
      </c>
      <c r="E33">
        <v>23.823205000000002</v>
      </c>
      <c r="F33">
        <v>23.794301999999998</v>
      </c>
      <c r="G33">
        <v>23.831056</v>
      </c>
      <c r="J33">
        <f t="shared" si="0"/>
        <v>2.403900000000192E-2</v>
      </c>
      <c r="K33">
        <f t="shared" si="1"/>
        <v>-10.535500000001363</v>
      </c>
      <c r="L33">
        <f t="shared" si="2"/>
        <v>-18.377000000000976</v>
      </c>
    </row>
    <row r="34" spans="1:12" x14ac:dyDescent="0.35">
      <c r="A34">
        <v>5</v>
      </c>
      <c r="B34">
        <v>23.8368</v>
      </c>
      <c r="C34">
        <v>23.812660999999999</v>
      </c>
      <c r="D34">
        <v>23.802133999999999</v>
      </c>
      <c r="E34">
        <v>23.823205000000002</v>
      </c>
      <c r="F34">
        <v>23.794301999999998</v>
      </c>
      <c r="G34">
        <v>23.831056</v>
      </c>
      <c r="J34">
        <f t="shared" si="0"/>
        <v>2.4139000000001687E-2</v>
      </c>
      <c r="K34">
        <f t="shared" si="1"/>
        <v>-10.535500000001363</v>
      </c>
      <c r="L34">
        <f t="shared" si="2"/>
        <v>-18.377000000000976</v>
      </c>
    </row>
    <row r="35" spans="1:12" x14ac:dyDescent="0.35">
      <c r="A35">
        <v>5</v>
      </c>
      <c r="B35">
        <v>32.3996</v>
      </c>
      <c r="C35">
        <v>32.373010000000001</v>
      </c>
      <c r="D35">
        <v>32.360244000000002</v>
      </c>
      <c r="E35">
        <v>32.385800000000003</v>
      </c>
      <c r="F35">
        <v>32.346665999999999</v>
      </c>
      <c r="G35">
        <v>32.399411000000001</v>
      </c>
      <c r="J35">
        <f t="shared" si="0"/>
        <v>2.6589999999998781E-2</v>
      </c>
      <c r="K35">
        <f t="shared" si="1"/>
        <v>-12.778000000000844</v>
      </c>
      <c r="L35">
        <f t="shared" si="2"/>
        <v>-26.372500000000798</v>
      </c>
    </row>
    <row r="36" spans="1:12" x14ac:dyDescent="0.35">
      <c r="A36">
        <v>5</v>
      </c>
      <c r="B36">
        <v>32.3996</v>
      </c>
      <c r="C36">
        <v>32.373010000000001</v>
      </c>
      <c r="D36">
        <v>32.360244000000002</v>
      </c>
      <c r="E36">
        <v>32.385800000000003</v>
      </c>
      <c r="F36">
        <v>32.346665999999999</v>
      </c>
      <c r="G36">
        <v>32.399411000000001</v>
      </c>
      <c r="J36">
        <f t="shared" si="0"/>
        <v>2.6589999999998781E-2</v>
      </c>
      <c r="K36">
        <f t="shared" si="1"/>
        <v>-12.778000000000844</v>
      </c>
      <c r="L36">
        <f t="shared" si="2"/>
        <v>-26.372500000000798</v>
      </c>
    </row>
    <row r="37" spans="1:12" x14ac:dyDescent="0.35">
      <c r="A37">
        <v>6</v>
      </c>
      <c r="B37">
        <v>11.7958</v>
      </c>
      <c r="C37">
        <v>11.920337999999999</v>
      </c>
      <c r="D37">
        <v>11.911318</v>
      </c>
      <c r="E37">
        <v>11.929366999999999</v>
      </c>
      <c r="F37">
        <v>11.914571</v>
      </c>
      <c r="G37">
        <v>11.926107</v>
      </c>
      <c r="J37">
        <f t="shared" si="0"/>
        <v>-0.12453799999999937</v>
      </c>
      <c r="K37">
        <f t="shared" si="1"/>
        <v>-9.0244999999997688</v>
      </c>
      <c r="L37">
        <f t="shared" si="2"/>
        <v>-5.7679999999997733</v>
      </c>
    </row>
    <row r="38" spans="1:12" x14ac:dyDescent="0.35">
      <c r="A38">
        <v>6</v>
      </c>
      <c r="B38">
        <v>12.2454</v>
      </c>
      <c r="C38">
        <v>12.534986</v>
      </c>
      <c r="D38">
        <v>12.525933</v>
      </c>
      <c r="E38">
        <v>12.544048</v>
      </c>
      <c r="F38">
        <v>12.528604</v>
      </c>
      <c r="G38">
        <v>12.541372000000001</v>
      </c>
      <c r="J38">
        <f t="shared" si="0"/>
        <v>-0.2895859999999999</v>
      </c>
      <c r="K38">
        <f t="shared" si="1"/>
        <v>-9.0574999999999406</v>
      </c>
      <c r="L38">
        <f t="shared" si="2"/>
        <v>-6.3840000000006114</v>
      </c>
    </row>
    <row r="39" spans="1:12" x14ac:dyDescent="0.35">
      <c r="A39">
        <v>6</v>
      </c>
      <c r="B39">
        <v>13.588699999999999</v>
      </c>
      <c r="C39">
        <v>13.334607999999999</v>
      </c>
      <c r="D39">
        <v>13.324973999999999</v>
      </c>
      <c r="E39">
        <v>13.344251999999999</v>
      </c>
      <c r="F39">
        <v>13.327601</v>
      </c>
      <c r="G39">
        <v>13.341618</v>
      </c>
      <c r="J39">
        <f t="shared" si="0"/>
        <v>0.25409199999999998</v>
      </c>
      <c r="K39">
        <f t="shared" si="1"/>
        <v>-9.6389999999999532</v>
      </c>
      <c r="L39">
        <f t="shared" si="2"/>
        <v>-7.0085000000004172</v>
      </c>
    </row>
    <row r="40" spans="1:12" x14ac:dyDescent="0.35">
      <c r="A40">
        <v>6</v>
      </c>
      <c r="B40">
        <v>15.801600000000001</v>
      </c>
      <c r="C40">
        <v>15.804546999999999</v>
      </c>
      <c r="D40">
        <v>15.794430999999999</v>
      </c>
      <c r="E40">
        <v>15.814674999999999</v>
      </c>
      <c r="F40">
        <v>15.795188</v>
      </c>
      <c r="G40">
        <v>15.813917</v>
      </c>
      <c r="J40">
        <f t="shared" si="0"/>
        <v>-2.9469999999989227E-3</v>
      </c>
      <c r="K40">
        <f t="shared" si="1"/>
        <v>-10.121999999999964</v>
      </c>
      <c r="L40">
        <f t="shared" si="2"/>
        <v>-9.3645000000002199</v>
      </c>
    </row>
    <row r="41" spans="1:12" x14ac:dyDescent="0.35">
      <c r="A41">
        <v>6</v>
      </c>
      <c r="B41">
        <v>16.0181</v>
      </c>
      <c r="C41">
        <v>15.877689999999999</v>
      </c>
      <c r="D41">
        <v>15.867497</v>
      </c>
      <c r="E41">
        <v>15.887893999999999</v>
      </c>
      <c r="F41">
        <v>15.868273</v>
      </c>
      <c r="G41">
        <v>15.887117</v>
      </c>
      <c r="J41">
        <f t="shared" si="0"/>
        <v>0.14041000000000103</v>
      </c>
      <c r="K41">
        <f t="shared" si="1"/>
        <v>-10.198499999999555</v>
      </c>
      <c r="L41">
        <f t="shared" si="2"/>
        <v>-9.4219999999998194</v>
      </c>
    </row>
    <row r="42" spans="1:12" x14ac:dyDescent="0.35">
      <c r="A42">
        <v>6</v>
      </c>
      <c r="B42">
        <v>20.624400000000001</v>
      </c>
      <c r="C42">
        <v>20.585708</v>
      </c>
      <c r="D42">
        <v>20.574318000000002</v>
      </c>
      <c r="E42">
        <v>20.597111999999999</v>
      </c>
      <c r="F42">
        <v>20.571894</v>
      </c>
      <c r="G42">
        <v>20.599543000000001</v>
      </c>
      <c r="J42">
        <f t="shared" si="0"/>
        <v>3.8692000000001059E-2</v>
      </c>
      <c r="K42">
        <f t="shared" si="1"/>
        <v>-11.396999999998769</v>
      </c>
      <c r="L42">
        <f t="shared" si="2"/>
        <v>-13.824500000000128</v>
      </c>
    </row>
    <row r="43" spans="1:12" x14ac:dyDescent="0.35">
      <c r="A43">
        <v>6</v>
      </c>
      <c r="B43">
        <v>20.632999999999999</v>
      </c>
      <c r="C43">
        <v>20.586917</v>
      </c>
      <c r="D43">
        <v>20.575527000000001</v>
      </c>
      <c r="E43">
        <v>20.598323000000001</v>
      </c>
      <c r="F43">
        <v>20.573101000000001</v>
      </c>
      <c r="G43">
        <v>20.600753999999998</v>
      </c>
      <c r="J43">
        <f t="shared" si="0"/>
        <v>4.608299999999943E-2</v>
      </c>
      <c r="K43">
        <f t="shared" si="1"/>
        <v>-11.397999999999797</v>
      </c>
      <c r="L43">
        <f t="shared" si="2"/>
        <v>-13.826499999998632</v>
      </c>
    </row>
    <row r="44" spans="1:12" x14ac:dyDescent="0.35">
      <c r="A44">
        <v>6</v>
      </c>
      <c r="B44">
        <v>27.2804</v>
      </c>
      <c r="C44">
        <v>27.245649</v>
      </c>
      <c r="D44">
        <v>27.232512</v>
      </c>
      <c r="E44">
        <v>27.258806</v>
      </c>
      <c r="F44">
        <v>27.225625999999998</v>
      </c>
      <c r="G44">
        <v>27.265709000000001</v>
      </c>
      <c r="J44">
        <f t="shared" si="0"/>
        <v>3.4750999999999976E-2</v>
      </c>
      <c r="K44">
        <f t="shared" si="1"/>
        <v>-13.14700000000002</v>
      </c>
      <c r="L44">
        <f t="shared" si="2"/>
        <v>-20.041500000001378</v>
      </c>
    </row>
    <row r="45" spans="1:12" x14ac:dyDescent="0.35">
      <c r="A45">
        <v>6</v>
      </c>
      <c r="B45">
        <v>27.2805</v>
      </c>
      <c r="C45">
        <v>27.245650000000001</v>
      </c>
      <c r="D45">
        <v>27.232513000000001</v>
      </c>
      <c r="E45">
        <v>27.258807000000001</v>
      </c>
      <c r="F45">
        <v>27.225626999999999</v>
      </c>
      <c r="G45">
        <v>27.265709999999999</v>
      </c>
      <c r="J45">
        <f t="shared" si="0"/>
        <v>3.4849999999998715E-2</v>
      </c>
      <c r="K45">
        <f t="shared" si="1"/>
        <v>-13.14700000000002</v>
      </c>
      <c r="L45">
        <f t="shared" si="2"/>
        <v>-20.041499999999601</v>
      </c>
    </row>
    <row r="46" spans="1:12" x14ac:dyDescent="0.35">
      <c r="A46">
        <v>6</v>
      </c>
      <c r="B46">
        <v>35.840699999999998</v>
      </c>
      <c r="C46">
        <v>35.807440999999997</v>
      </c>
      <c r="D46">
        <v>35.792059999999999</v>
      </c>
      <c r="E46">
        <v>35.822848999999998</v>
      </c>
      <c r="F46">
        <v>35.779434999999999</v>
      </c>
      <c r="G46">
        <v>35.835503000000003</v>
      </c>
      <c r="J46">
        <f t="shared" si="0"/>
        <v>3.3259000000001038E-2</v>
      </c>
      <c r="K46">
        <f t="shared" si="1"/>
        <v>-15.394499999999312</v>
      </c>
      <c r="L46">
        <f t="shared" si="2"/>
        <v>-28.034000000001669</v>
      </c>
    </row>
    <row r="47" spans="1:12" x14ac:dyDescent="0.35">
      <c r="A47">
        <v>6</v>
      </c>
      <c r="B47">
        <v>35.840699999999998</v>
      </c>
      <c r="C47">
        <v>35.807440999999997</v>
      </c>
      <c r="D47">
        <v>35.792059999999999</v>
      </c>
      <c r="E47">
        <v>35.822848999999998</v>
      </c>
      <c r="F47">
        <v>35.779434999999999</v>
      </c>
      <c r="G47">
        <v>35.835503000000003</v>
      </c>
      <c r="J47">
        <f t="shared" si="0"/>
        <v>3.3259000000001038E-2</v>
      </c>
      <c r="K47">
        <f t="shared" si="1"/>
        <v>-15.394499999999312</v>
      </c>
      <c r="L47">
        <f t="shared" si="2"/>
        <v>-28.034000000001669</v>
      </c>
    </row>
    <row r="48" spans="1:12" x14ac:dyDescent="0.35">
      <c r="A48">
        <v>6</v>
      </c>
      <c r="B48">
        <v>46.301099999999998</v>
      </c>
      <c r="C48">
        <v>46.266506</v>
      </c>
      <c r="D48">
        <v>46.248390000000001</v>
      </c>
      <c r="E48">
        <v>46.284657000000003</v>
      </c>
      <c r="F48">
        <v>46.228746999999998</v>
      </c>
      <c r="G48">
        <v>46.304347</v>
      </c>
      <c r="J48">
        <f t="shared" si="0"/>
        <v>3.4593999999998459E-2</v>
      </c>
      <c r="K48">
        <f t="shared" si="1"/>
        <v>-18.133500000001135</v>
      </c>
      <c r="L48">
        <f t="shared" si="2"/>
        <v>-37.800000000000722</v>
      </c>
    </row>
    <row r="49" spans="1:12" x14ac:dyDescent="0.35">
      <c r="A49">
        <v>6</v>
      </c>
      <c r="B49">
        <v>46.301099999999998</v>
      </c>
      <c r="C49">
        <v>46.266506</v>
      </c>
      <c r="D49">
        <v>46.248390000000001</v>
      </c>
      <c r="E49">
        <v>46.284657000000003</v>
      </c>
      <c r="F49">
        <v>46.228746999999998</v>
      </c>
      <c r="G49">
        <v>46.304347</v>
      </c>
      <c r="J49">
        <f t="shared" si="0"/>
        <v>3.4593999999998459E-2</v>
      </c>
      <c r="K49">
        <f t="shared" si="1"/>
        <v>-18.133500000001135</v>
      </c>
      <c r="L49">
        <f t="shared" si="2"/>
        <v>-37.800000000000722</v>
      </c>
    </row>
    <row r="50" spans="1:12" x14ac:dyDescent="0.35">
      <c r="A50">
        <v>7</v>
      </c>
      <c r="B50">
        <v>15.639200000000001</v>
      </c>
      <c r="C50">
        <v>15.849087000000001</v>
      </c>
      <c r="D50">
        <v>15.837128999999999</v>
      </c>
      <c r="E50">
        <v>15.861057000000001</v>
      </c>
      <c r="F50">
        <v>15.841407999999999</v>
      </c>
      <c r="G50">
        <v>15.856769999999999</v>
      </c>
      <c r="J50">
        <f t="shared" si="0"/>
        <v>-0.20988700000000016</v>
      </c>
      <c r="K50">
        <f t="shared" si="1"/>
        <v>-11.964000000000752</v>
      </c>
      <c r="L50">
        <f t="shared" si="2"/>
        <v>-7.6809999999998269</v>
      </c>
    </row>
    <row r="51" spans="1:12" x14ac:dyDescent="0.35">
      <c r="A51">
        <v>7</v>
      </c>
      <c r="B51">
        <v>15.9869</v>
      </c>
      <c r="C51">
        <v>16.374738000000001</v>
      </c>
      <c r="D51">
        <v>16.362795999999999</v>
      </c>
      <c r="E51">
        <v>16.386690999999999</v>
      </c>
      <c r="F51">
        <v>16.366513999999999</v>
      </c>
      <c r="G51">
        <v>16.382966</v>
      </c>
      <c r="J51">
        <f t="shared" si="0"/>
        <v>-0.38783800000000035</v>
      </c>
      <c r="K51">
        <f t="shared" si="1"/>
        <v>-11.947499999999778</v>
      </c>
      <c r="L51">
        <f t="shared" si="2"/>
        <v>-8.2260000000005107</v>
      </c>
    </row>
    <row r="52" spans="1:12" x14ac:dyDescent="0.35">
      <c r="A52">
        <v>7</v>
      </c>
      <c r="B52">
        <v>17.768999999999998</v>
      </c>
      <c r="C52">
        <v>17.448722</v>
      </c>
      <c r="D52">
        <v>17.435980000000001</v>
      </c>
      <c r="E52">
        <v>17.461473999999999</v>
      </c>
      <c r="F52">
        <v>17.439678000000001</v>
      </c>
      <c r="G52">
        <v>17.457768999999999</v>
      </c>
      <c r="J52">
        <f t="shared" si="0"/>
        <v>0.32027799999999829</v>
      </c>
      <c r="K52">
        <f t="shared" si="1"/>
        <v>-12.746999999999176</v>
      </c>
      <c r="L52">
        <f t="shared" si="2"/>
        <v>-9.0454999999991514</v>
      </c>
    </row>
    <row r="53" spans="1:12" x14ac:dyDescent="0.35">
      <c r="A53">
        <v>7</v>
      </c>
      <c r="B53">
        <v>19.7805</v>
      </c>
      <c r="C53">
        <v>19.790801999999999</v>
      </c>
      <c r="D53">
        <v>19.777671999999999</v>
      </c>
      <c r="E53">
        <v>19.803946</v>
      </c>
      <c r="F53">
        <v>19.779502999999998</v>
      </c>
      <c r="G53">
        <v>19.802112000000001</v>
      </c>
      <c r="J53">
        <f t="shared" si="0"/>
        <v>-1.0301999999999367E-2</v>
      </c>
      <c r="K53">
        <f t="shared" si="1"/>
        <v>-13.137000000000398</v>
      </c>
      <c r="L53">
        <f t="shared" si="2"/>
        <v>-11.304500000001383</v>
      </c>
    </row>
    <row r="54" spans="1:12" x14ac:dyDescent="0.35">
      <c r="A54">
        <v>7</v>
      </c>
      <c r="B54">
        <v>20.157</v>
      </c>
      <c r="C54">
        <v>19.923345000000001</v>
      </c>
      <c r="D54">
        <v>19.910070999999999</v>
      </c>
      <c r="E54">
        <v>19.936631999999999</v>
      </c>
      <c r="F54">
        <v>19.911947999999999</v>
      </c>
      <c r="G54">
        <v>19.934752</v>
      </c>
      <c r="J54">
        <f t="shared" si="0"/>
        <v>0.23365499999999884</v>
      </c>
      <c r="K54">
        <f t="shared" si="1"/>
        <v>-13.280500000000472</v>
      </c>
      <c r="L54">
        <f t="shared" si="2"/>
        <v>-11.402000000000356</v>
      </c>
    </row>
    <row r="55" spans="1:12" x14ac:dyDescent="0.35">
      <c r="A55">
        <v>7</v>
      </c>
      <c r="B55">
        <v>24.649799999999999</v>
      </c>
      <c r="C55">
        <v>24.589558</v>
      </c>
      <c r="D55">
        <v>24.575133999999998</v>
      </c>
      <c r="E55">
        <v>24.603999999999999</v>
      </c>
      <c r="F55">
        <v>24.573793999999999</v>
      </c>
      <c r="G55">
        <v>24.605343999999999</v>
      </c>
      <c r="J55">
        <f t="shared" si="0"/>
        <v>6.0241999999998797E-2</v>
      </c>
      <c r="K55">
        <f t="shared" si="1"/>
        <v>-14.433000000000362</v>
      </c>
      <c r="L55">
        <f t="shared" si="2"/>
        <v>-15.77499999999965</v>
      </c>
    </row>
    <row r="56" spans="1:12" x14ac:dyDescent="0.35">
      <c r="A56">
        <v>7</v>
      </c>
      <c r="B56">
        <v>24.670999999999999</v>
      </c>
      <c r="C56">
        <v>24.59273</v>
      </c>
      <c r="D56">
        <v>24.578302999999998</v>
      </c>
      <c r="E56">
        <v>24.607175000000002</v>
      </c>
      <c r="F56">
        <v>24.576961000000001</v>
      </c>
      <c r="G56">
        <v>24.608519999999999</v>
      </c>
      <c r="J56">
        <f t="shared" si="0"/>
        <v>7.826999999999984E-2</v>
      </c>
      <c r="K56">
        <f t="shared" si="1"/>
        <v>-14.43600000000167</v>
      </c>
      <c r="L56">
        <f t="shared" si="2"/>
        <v>-15.779499999998947</v>
      </c>
    </row>
    <row r="57" spans="1:12" x14ac:dyDescent="0.35">
      <c r="A57">
        <v>7</v>
      </c>
      <c r="B57">
        <v>31.301100000000002</v>
      </c>
      <c r="C57">
        <v>31.248595999999999</v>
      </c>
      <c r="D57">
        <v>31.232423000000001</v>
      </c>
      <c r="E57">
        <v>31.264792</v>
      </c>
      <c r="F57">
        <v>31.226626</v>
      </c>
      <c r="G57">
        <v>31.270603999999999</v>
      </c>
      <c r="J57">
        <f t="shared" si="0"/>
        <v>5.2504000000002549E-2</v>
      </c>
      <c r="K57">
        <f t="shared" si="1"/>
        <v>-16.184499999999602</v>
      </c>
      <c r="L57">
        <f t="shared" si="2"/>
        <v>-21.988999999999592</v>
      </c>
    </row>
    <row r="58" spans="1:12" x14ac:dyDescent="0.35">
      <c r="A58">
        <v>7</v>
      </c>
      <c r="B58">
        <v>31.301600000000001</v>
      </c>
      <c r="C58">
        <v>31.248601000000001</v>
      </c>
      <c r="D58">
        <v>31.232427999999999</v>
      </c>
      <c r="E58">
        <v>31.264797000000002</v>
      </c>
      <c r="F58">
        <v>31.226631000000001</v>
      </c>
      <c r="G58">
        <v>31.270609</v>
      </c>
      <c r="J58">
        <f t="shared" si="0"/>
        <v>5.2998999999999796E-2</v>
      </c>
      <c r="K58">
        <f t="shared" si="1"/>
        <v>-16.184500000001378</v>
      </c>
      <c r="L58">
        <f t="shared" si="2"/>
        <v>-21.988999999999592</v>
      </c>
    </row>
    <row r="59" spans="1:12" x14ac:dyDescent="0.35">
      <c r="A59">
        <v>7</v>
      </c>
      <c r="B59">
        <v>39.857300000000002</v>
      </c>
      <c r="C59">
        <v>39.811463000000003</v>
      </c>
      <c r="D59">
        <v>39.793039999999998</v>
      </c>
      <c r="E59">
        <v>39.829915999999997</v>
      </c>
      <c r="F59">
        <v>39.781514000000001</v>
      </c>
      <c r="G59">
        <v>39.841470000000001</v>
      </c>
      <c r="J59">
        <f t="shared" si="0"/>
        <v>4.5836999999998795E-2</v>
      </c>
      <c r="K59">
        <f t="shared" si="1"/>
        <v>-18.437999999999732</v>
      </c>
      <c r="L59">
        <f t="shared" si="2"/>
        <v>-29.977999999999838</v>
      </c>
    </row>
    <row r="60" spans="1:12" x14ac:dyDescent="0.35">
      <c r="A60">
        <v>7</v>
      </c>
      <c r="B60">
        <v>39.857300000000002</v>
      </c>
      <c r="C60">
        <v>39.811463000000003</v>
      </c>
      <c r="D60">
        <v>39.793041000000002</v>
      </c>
      <c r="E60">
        <v>39.829915999999997</v>
      </c>
      <c r="F60">
        <v>39.781514999999999</v>
      </c>
      <c r="G60">
        <v>39.841470000000001</v>
      </c>
      <c r="J60">
        <f t="shared" si="0"/>
        <v>4.5836999999998795E-2</v>
      </c>
      <c r="K60">
        <f t="shared" si="1"/>
        <v>-18.437499999997442</v>
      </c>
      <c r="L60">
        <f t="shared" si="2"/>
        <v>-29.9775000000011</v>
      </c>
    </row>
    <row r="61" spans="1:12" x14ac:dyDescent="0.35">
      <c r="A61">
        <v>7</v>
      </c>
      <c r="B61">
        <v>50.3157</v>
      </c>
      <c r="C61">
        <v>50.273135000000003</v>
      </c>
      <c r="D61">
        <v>50.251969000000003</v>
      </c>
      <c r="E61">
        <v>50.294339000000001</v>
      </c>
      <c r="F61">
        <v>50.233435999999998</v>
      </c>
      <c r="G61">
        <v>50.312916000000001</v>
      </c>
      <c r="J61">
        <f t="shared" si="0"/>
        <v>4.2564999999996189E-2</v>
      </c>
      <c r="K61">
        <f t="shared" si="1"/>
        <v>-21.184999999999121</v>
      </c>
      <c r="L61">
        <f t="shared" si="2"/>
        <v>-39.740000000001885</v>
      </c>
    </row>
    <row r="62" spans="1:12" x14ac:dyDescent="0.35">
      <c r="A62">
        <v>7</v>
      </c>
      <c r="B62">
        <v>50.3157</v>
      </c>
      <c r="C62">
        <v>50.273135000000003</v>
      </c>
      <c r="D62">
        <v>50.251969000000003</v>
      </c>
      <c r="E62">
        <v>50.294339000000001</v>
      </c>
      <c r="F62">
        <v>50.233435999999998</v>
      </c>
      <c r="G62">
        <v>50.312916000000001</v>
      </c>
      <c r="J62">
        <f t="shared" si="0"/>
        <v>4.2564999999996189E-2</v>
      </c>
      <c r="K62">
        <f t="shared" si="1"/>
        <v>-21.184999999999121</v>
      </c>
      <c r="L62">
        <f t="shared" si="2"/>
        <v>-39.740000000001885</v>
      </c>
    </row>
    <row r="63" spans="1:12" x14ac:dyDescent="0.35">
      <c r="A63">
        <v>7</v>
      </c>
      <c r="B63">
        <v>62.67</v>
      </c>
      <c r="C63">
        <v>62.628506000000002</v>
      </c>
      <c r="D63">
        <v>62.604112000000001</v>
      </c>
      <c r="E63">
        <v>62.652949</v>
      </c>
      <c r="F63">
        <v>62.577288000000003</v>
      </c>
      <c r="G63">
        <v>62.679834999999997</v>
      </c>
      <c r="J63">
        <f t="shared" si="0"/>
        <v>4.1494000000000142E-2</v>
      </c>
      <c r="K63">
        <f t="shared" si="1"/>
        <v>-24.418499999999455</v>
      </c>
      <c r="L63">
        <f t="shared" si="2"/>
        <v>-51.273499999997085</v>
      </c>
    </row>
    <row r="64" spans="1:12" x14ac:dyDescent="0.35">
      <c r="A64">
        <v>7</v>
      </c>
      <c r="B64">
        <v>62.67</v>
      </c>
      <c r="C64">
        <v>62.628506000000002</v>
      </c>
      <c r="D64">
        <v>62.604112000000001</v>
      </c>
      <c r="E64">
        <v>62.652949</v>
      </c>
      <c r="F64">
        <v>62.577288000000003</v>
      </c>
      <c r="G64">
        <v>62.679834999999997</v>
      </c>
      <c r="J64">
        <f t="shared" si="0"/>
        <v>4.1494000000000142E-2</v>
      </c>
      <c r="K64">
        <f t="shared" si="1"/>
        <v>-24.418499999999455</v>
      </c>
      <c r="L64">
        <f t="shared" si="2"/>
        <v>-51.273499999997085</v>
      </c>
    </row>
    <row r="65" spans="1:12" x14ac:dyDescent="0.35">
      <c r="A65">
        <v>8</v>
      </c>
      <c r="B65">
        <v>19.991</v>
      </c>
      <c r="C65">
        <v>20.313088</v>
      </c>
      <c r="D65">
        <v>20.297810999999999</v>
      </c>
      <c r="E65">
        <v>20.328379000000002</v>
      </c>
      <c r="F65">
        <v>20.303227</v>
      </c>
      <c r="G65">
        <v>20.322952000000001</v>
      </c>
      <c r="J65">
        <f t="shared" si="0"/>
        <v>-0.32208800000000082</v>
      </c>
      <c r="K65">
        <f t="shared" si="1"/>
        <v>-15.284000000001186</v>
      </c>
      <c r="L65">
        <f t="shared" si="2"/>
        <v>-9.8625000000005514</v>
      </c>
    </row>
    <row r="66" spans="1:12" x14ac:dyDescent="0.35">
      <c r="A66">
        <v>8</v>
      </c>
      <c r="B66">
        <v>20.251000000000001</v>
      </c>
      <c r="C66">
        <v>20.750859999999999</v>
      </c>
      <c r="D66">
        <v>20.735643</v>
      </c>
      <c r="E66">
        <v>20.766092</v>
      </c>
      <c r="F66">
        <v>20.740525999999999</v>
      </c>
      <c r="G66">
        <v>20.761201</v>
      </c>
      <c r="J66">
        <f t="shared" si="0"/>
        <v>-0.49985999999999819</v>
      </c>
      <c r="K66">
        <f t="shared" si="1"/>
        <v>-15.224500000000418</v>
      </c>
      <c r="L66">
        <f t="shared" si="2"/>
        <v>-10.337500000000333</v>
      </c>
    </row>
    <row r="67" spans="1:12" x14ac:dyDescent="0.35">
      <c r="A67">
        <v>8</v>
      </c>
      <c r="B67">
        <v>22.5245</v>
      </c>
      <c r="C67">
        <v>22.141441</v>
      </c>
      <c r="D67">
        <v>22.125164000000002</v>
      </c>
      <c r="E67">
        <v>22.157731999999999</v>
      </c>
      <c r="F67">
        <v>22.130071000000001</v>
      </c>
      <c r="G67">
        <v>22.152813999999999</v>
      </c>
      <c r="J67">
        <f t="shared" ref="J67:J100" si="3">B67-C67</f>
        <v>0.38305899999999937</v>
      </c>
      <c r="K67">
        <f t="shared" ref="K67:K100" si="4">(D67-E67)/(2*0.001)</f>
        <v>-16.283999999998855</v>
      </c>
      <c r="L67">
        <f t="shared" ref="L67:L100" si="5">(F67-G67)/(2*0.001)</f>
        <v>-11.371499999999202</v>
      </c>
    </row>
    <row r="68" spans="1:12" x14ac:dyDescent="0.35">
      <c r="A68">
        <v>8</v>
      </c>
      <c r="B68">
        <v>24.317</v>
      </c>
      <c r="C68">
        <v>24.338611</v>
      </c>
      <c r="D68">
        <v>24.322054000000001</v>
      </c>
      <c r="E68">
        <v>24.355186</v>
      </c>
      <c r="F68">
        <v>24.325092999999999</v>
      </c>
      <c r="G68">
        <v>24.352141</v>
      </c>
      <c r="J68">
        <f t="shared" si="3"/>
        <v>-2.1611000000000047E-2</v>
      </c>
      <c r="K68">
        <f t="shared" si="4"/>
        <v>-16.565999999999192</v>
      </c>
      <c r="L68">
        <f t="shared" si="5"/>
        <v>-13.524000000000314</v>
      </c>
    </row>
    <row r="69" spans="1:12" x14ac:dyDescent="0.35">
      <c r="A69">
        <v>8</v>
      </c>
      <c r="B69">
        <v>24.9162</v>
      </c>
      <c r="C69">
        <v>24.559888999999998</v>
      </c>
      <c r="D69">
        <v>24.543085000000001</v>
      </c>
      <c r="E69">
        <v>24.576711</v>
      </c>
      <c r="F69">
        <v>24.546216000000001</v>
      </c>
      <c r="G69">
        <v>24.573571999999999</v>
      </c>
      <c r="J69">
        <f t="shared" si="3"/>
        <v>0.3563110000000016</v>
      </c>
      <c r="K69">
        <f t="shared" si="4"/>
        <v>-16.812999999999079</v>
      </c>
      <c r="L69">
        <f t="shared" si="5"/>
        <v>-13.677999999998747</v>
      </c>
    </row>
    <row r="70" spans="1:12" x14ac:dyDescent="0.35">
      <c r="A70">
        <v>8</v>
      </c>
      <c r="B70">
        <v>29.2532</v>
      </c>
      <c r="C70">
        <v>29.16357</v>
      </c>
      <c r="D70">
        <v>29.145685</v>
      </c>
      <c r="E70">
        <v>29.181476</v>
      </c>
      <c r="F70">
        <v>29.145571</v>
      </c>
      <c r="G70">
        <v>29.181591000000001</v>
      </c>
      <c r="J70">
        <f t="shared" si="3"/>
        <v>8.9629999999999654E-2</v>
      </c>
      <c r="K70">
        <f t="shared" si="4"/>
        <v>-17.895499999999842</v>
      </c>
      <c r="L70">
        <f t="shared" si="5"/>
        <v>-18.010000000000304</v>
      </c>
    </row>
    <row r="71" spans="1:12" x14ac:dyDescent="0.35">
      <c r="A71">
        <v>8</v>
      </c>
      <c r="B71">
        <v>29.299399999999999</v>
      </c>
      <c r="C71">
        <v>29.170898999999999</v>
      </c>
      <c r="D71">
        <v>29.153006000000001</v>
      </c>
      <c r="E71">
        <v>29.188813</v>
      </c>
      <c r="F71">
        <v>29.152892000000001</v>
      </c>
      <c r="G71">
        <v>29.188928000000001</v>
      </c>
      <c r="J71">
        <f t="shared" si="3"/>
        <v>0.12850099999999998</v>
      </c>
      <c r="K71">
        <f t="shared" si="4"/>
        <v>-17.903499999999184</v>
      </c>
      <c r="L71">
        <f t="shared" si="5"/>
        <v>-18.017999999999645</v>
      </c>
    </row>
    <row r="72" spans="1:12" x14ac:dyDescent="0.35">
      <c r="A72">
        <v>8</v>
      </c>
      <c r="B72">
        <v>35.900199999999998</v>
      </c>
      <c r="C72">
        <v>35.820833</v>
      </c>
      <c r="D72">
        <v>35.801198999999997</v>
      </c>
      <c r="E72">
        <v>35.840494</v>
      </c>
      <c r="F72">
        <v>35.796632000000002</v>
      </c>
      <c r="G72">
        <v>35.845072000000002</v>
      </c>
      <c r="J72">
        <f t="shared" si="3"/>
        <v>7.9366999999997745E-2</v>
      </c>
      <c r="K72">
        <f t="shared" si="4"/>
        <v>-19.647500000001372</v>
      </c>
      <c r="L72">
        <f t="shared" si="5"/>
        <v>-24.219999999999686</v>
      </c>
    </row>
    <row r="73" spans="1:12" x14ac:dyDescent="0.35">
      <c r="A73">
        <v>8</v>
      </c>
      <c r="B73">
        <v>35.901499999999999</v>
      </c>
      <c r="C73">
        <v>35.820855999999999</v>
      </c>
      <c r="D73">
        <v>35.801222000000003</v>
      </c>
      <c r="E73">
        <v>35.840516999999998</v>
      </c>
      <c r="F73">
        <v>35.796655000000001</v>
      </c>
      <c r="G73">
        <v>35.845095999999998</v>
      </c>
      <c r="J73">
        <f t="shared" si="3"/>
        <v>8.0643999999999494E-2</v>
      </c>
      <c r="K73">
        <f t="shared" si="4"/>
        <v>-19.647499999997819</v>
      </c>
      <c r="L73">
        <f t="shared" si="5"/>
        <v>-24.220499999998424</v>
      </c>
    </row>
    <row r="74" spans="1:12" x14ac:dyDescent="0.35">
      <c r="A74">
        <v>8</v>
      </c>
      <c r="B74">
        <v>44.450099999999999</v>
      </c>
      <c r="C74">
        <v>44.38411</v>
      </c>
      <c r="D74">
        <v>44.362220999999998</v>
      </c>
      <c r="E74">
        <v>44.406030999999999</v>
      </c>
      <c r="F74">
        <v>44.351933000000002</v>
      </c>
      <c r="G74">
        <v>44.416344000000002</v>
      </c>
      <c r="J74">
        <f t="shared" si="3"/>
        <v>6.5989999999999327E-2</v>
      </c>
      <c r="K74">
        <f t="shared" si="4"/>
        <v>-21.905000000000285</v>
      </c>
      <c r="L74">
        <f t="shared" si="5"/>
        <v>-32.205499999999887</v>
      </c>
    </row>
    <row r="75" spans="1:12" x14ac:dyDescent="0.35">
      <c r="A75">
        <v>8</v>
      </c>
      <c r="B75">
        <v>44.450099999999999</v>
      </c>
      <c r="C75">
        <v>44.384110999999997</v>
      </c>
      <c r="D75">
        <v>44.362223</v>
      </c>
      <c r="E75">
        <v>44.406032000000003</v>
      </c>
      <c r="F75">
        <v>44.351934999999997</v>
      </c>
      <c r="G75">
        <v>44.416345</v>
      </c>
      <c r="J75">
        <f t="shared" si="3"/>
        <v>6.5989000000001852E-2</v>
      </c>
      <c r="K75">
        <f t="shared" si="4"/>
        <v>-21.904500000001548</v>
      </c>
      <c r="L75">
        <f t="shared" si="5"/>
        <v>-32.205000000001149</v>
      </c>
    </row>
    <row r="76" spans="1:12" x14ac:dyDescent="0.35">
      <c r="A76">
        <v>8</v>
      </c>
      <c r="B76">
        <v>54.9054</v>
      </c>
      <c r="C76">
        <v>54.848210999999999</v>
      </c>
      <c r="D76">
        <v>54.823571999999999</v>
      </c>
      <c r="E76">
        <v>54.872892</v>
      </c>
      <c r="F76">
        <v>54.806289999999997</v>
      </c>
      <c r="G76">
        <v>54.890216000000002</v>
      </c>
      <c r="J76">
        <f t="shared" si="3"/>
        <v>5.7189000000001045E-2</v>
      </c>
      <c r="K76">
        <f t="shared" si="4"/>
        <v>-24.660000000000792</v>
      </c>
      <c r="L76">
        <f t="shared" si="5"/>
        <v>-41.963000000002637</v>
      </c>
    </row>
    <row r="77" spans="1:12" x14ac:dyDescent="0.35">
      <c r="A77">
        <v>8</v>
      </c>
      <c r="B77">
        <v>54.9054</v>
      </c>
      <c r="C77">
        <v>54.848210999999999</v>
      </c>
      <c r="D77">
        <v>54.823571999999999</v>
      </c>
      <c r="E77">
        <v>54.872892</v>
      </c>
      <c r="F77">
        <v>54.806289999999997</v>
      </c>
      <c r="G77">
        <v>54.890216000000002</v>
      </c>
      <c r="J77">
        <f t="shared" si="3"/>
        <v>5.7189000000001045E-2</v>
      </c>
      <c r="K77">
        <f t="shared" si="4"/>
        <v>-24.660000000000792</v>
      </c>
      <c r="L77">
        <f t="shared" si="5"/>
        <v>-41.963000000002637</v>
      </c>
    </row>
    <row r="78" spans="1:12" x14ac:dyDescent="0.35">
      <c r="A78">
        <v>8</v>
      </c>
      <c r="B78">
        <v>67.258099999999999</v>
      </c>
      <c r="C78">
        <v>67.207426999999996</v>
      </c>
      <c r="D78">
        <v>67.179547999999997</v>
      </c>
      <c r="E78">
        <v>67.235359000000003</v>
      </c>
      <c r="F78">
        <v>67.153992000000002</v>
      </c>
      <c r="G78">
        <v>67.260975000000002</v>
      </c>
      <c r="J78">
        <f t="shared" si="3"/>
        <v>5.0673000000003299E-2</v>
      </c>
      <c r="K78">
        <f t="shared" si="4"/>
        <v>-27.905500000002803</v>
      </c>
      <c r="L78">
        <f t="shared" si="5"/>
        <v>-53.491499999999803</v>
      </c>
    </row>
    <row r="79" spans="1:12" x14ac:dyDescent="0.35">
      <c r="A79">
        <v>8</v>
      </c>
      <c r="B79">
        <v>67.258099999999999</v>
      </c>
      <c r="C79">
        <v>67.207426999999996</v>
      </c>
      <c r="D79">
        <v>67.179547999999997</v>
      </c>
      <c r="E79">
        <v>67.235359000000003</v>
      </c>
      <c r="F79">
        <v>67.153992000000002</v>
      </c>
      <c r="G79">
        <v>67.260975000000002</v>
      </c>
      <c r="J79">
        <f t="shared" si="3"/>
        <v>5.0673000000003299E-2</v>
      </c>
      <c r="K79">
        <f t="shared" si="4"/>
        <v>-27.905500000002803</v>
      </c>
      <c r="L79">
        <f t="shared" si="5"/>
        <v>-53.491499999999803</v>
      </c>
    </row>
    <row r="80" spans="1:12" x14ac:dyDescent="0.35">
      <c r="A80">
        <v>8</v>
      </c>
      <c r="B80">
        <v>81.501999999999995</v>
      </c>
      <c r="C80">
        <v>81.456249</v>
      </c>
      <c r="D80">
        <v>81.424648000000005</v>
      </c>
      <c r="E80">
        <v>81.487913000000006</v>
      </c>
      <c r="F80">
        <v>81.389534999999995</v>
      </c>
      <c r="G80">
        <v>81.523109000000005</v>
      </c>
      <c r="J80">
        <f t="shared" si="3"/>
        <v>4.5750999999995656E-2</v>
      </c>
      <c r="K80">
        <f t="shared" si="4"/>
        <v>-31.632500000000618</v>
      </c>
      <c r="L80">
        <f t="shared" si="5"/>
        <v>-66.787000000005037</v>
      </c>
    </row>
    <row r="81" spans="1:12" x14ac:dyDescent="0.35">
      <c r="A81">
        <v>8</v>
      </c>
      <c r="B81">
        <v>81.501999999999995</v>
      </c>
      <c r="C81">
        <v>81.456249</v>
      </c>
      <c r="D81">
        <v>81.424648000000005</v>
      </c>
      <c r="E81">
        <v>81.487913000000006</v>
      </c>
      <c r="F81">
        <v>81.389534999999995</v>
      </c>
      <c r="G81">
        <v>81.523109000000005</v>
      </c>
      <c r="J81">
        <f t="shared" si="3"/>
        <v>4.5750999999995656E-2</v>
      </c>
      <c r="K81">
        <f t="shared" si="4"/>
        <v>-31.632500000000618</v>
      </c>
      <c r="L81">
        <f t="shared" si="5"/>
        <v>-66.787000000005037</v>
      </c>
    </row>
    <row r="82" spans="1:12" x14ac:dyDescent="0.35">
      <c r="A82">
        <v>9</v>
      </c>
      <c r="B82">
        <v>24.845500000000001</v>
      </c>
      <c r="C82">
        <v>25.304189000000001</v>
      </c>
      <c r="D82">
        <v>25.285223999999999</v>
      </c>
      <c r="E82">
        <v>25.323170999999999</v>
      </c>
      <c r="F82">
        <v>25.291878000000001</v>
      </c>
      <c r="G82">
        <v>25.316503999999998</v>
      </c>
      <c r="J82">
        <f t="shared" si="3"/>
        <v>-0.45868899999999968</v>
      </c>
      <c r="K82">
        <f t="shared" si="4"/>
        <v>-18.973499999999532</v>
      </c>
      <c r="L82">
        <f t="shared" si="5"/>
        <v>-12.312999999998908</v>
      </c>
    </row>
    <row r="83" spans="1:12" x14ac:dyDescent="0.35">
      <c r="A83">
        <v>9</v>
      </c>
      <c r="B83">
        <v>25.034300000000002</v>
      </c>
      <c r="C83">
        <v>25.659320999999998</v>
      </c>
      <c r="D83">
        <v>25.640447999999999</v>
      </c>
      <c r="E83">
        <v>25.678211999999998</v>
      </c>
      <c r="F83">
        <v>25.646605999999998</v>
      </c>
      <c r="G83">
        <v>25.672042999999999</v>
      </c>
      <c r="J83">
        <f t="shared" si="3"/>
        <v>-0.62502099999999672</v>
      </c>
      <c r="K83">
        <f t="shared" si="4"/>
        <v>-18.881999999999621</v>
      </c>
      <c r="L83">
        <f t="shared" si="5"/>
        <v>-12.718500000000077</v>
      </c>
    </row>
    <row r="84" spans="1:12" x14ac:dyDescent="0.35">
      <c r="A84">
        <v>9</v>
      </c>
      <c r="B84">
        <v>27.844799999999999</v>
      </c>
      <c r="C84">
        <v>27.408363000000001</v>
      </c>
      <c r="D84">
        <v>27.38813</v>
      </c>
      <c r="E84">
        <v>27.428614</v>
      </c>
      <c r="F84">
        <v>27.394378</v>
      </c>
      <c r="G84">
        <v>27.422352</v>
      </c>
      <c r="J84">
        <f t="shared" si="3"/>
        <v>0.43643699999999797</v>
      </c>
      <c r="K84">
        <f t="shared" si="4"/>
        <v>-20.241999999999649</v>
      </c>
      <c r="L84">
        <f t="shared" si="5"/>
        <v>-13.987000000000194</v>
      </c>
    </row>
    <row r="85" spans="1:12" x14ac:dyDescent="0.35">
      <c r="A85">
        <v>9</v>
      </c>
      <c r="B85">
        <v>29.4069</v>
      </c>
      <c r="C85">
        <v>29.444880000000001</v>
      </c>
      <c r="D85">
        <v>29.424486000000002</v>
      </c>
      <c r="E85">
        <v>29.465295000000001</v>
      </c>
      <c r="F85">
        <v>29.428861999999999</v>
      </c>
      <c r="G85">
        <v>29.460909999999998</v>
      </c>
      <c r="J85">
        <f t="shared" si="3"/>
        <v>-3.7980000000001013E-2</v>
      </c>
      <c r="K85">
        <f t="shared" si="4"/>
        <v>-20.404499999999715</v>
      </c>
      <c r="L85">
        <f t="shared" si="5"/>
        <v>-16.023999999999816</v>
      </c>
    </row>
    <row r="86" spans="1:12" x14ac:dyDescent="0.35">
      <c r="A86">
        <v>9</v>
      </c>
      <c r="B86">
        <v>30.296399999999998</v>
      </c>
      <c r="C86">
        <v>29.790934</v>
      </c>
      <c r="D86">
        <v>29.770144999999999</v>
      </c>
      <c r="E86">
        <v>29.811743</v>
      </c>
      <c r="F86">
        <v>29.774688000000001</v>
      </c>
      <c r="G86">
        <v>29.807189999999999</v>
      </c>
      <c r="J86">
        <f t="shared" si="3"/>
        <v>0.50546599999999842</v>
      </c>
      <c r="K86">
        <f t="shared" si="4"/>
        <v>-20.799000000000234</v>
      </c>
      <c r="L86">
        <f t="shared" si="5"/>
        <v>-16.250999999998683</v>
      </c>
    </row>
    <row r="87" spans="1:12" x14ac:dyDescent="0.35">
      <c r="A87">
        <v>9</v>
      </c>
      <c r="B87">
        <v>34.4345</v>
      </c>
      <c r="C87">
        <v>34.307138000000002</v>
      </c>
      <c r="D87">
        <v>34.285367999999998</v>
      </c>
      <c r="E87">
        <v>34.328932000000002</v>
      </c>
      <c r="F87">
        <v>34.286619999999999</v>
      </c>
      <c r="G87">
        <v>34.327677999999999</v>
      </c>
      <c r="J87">
        <f t="shared" si="3"/>
        <v>0.12736199999999798</v>
      </c>
      <c r="K87">
        <f t="shared" si="4"/>
        <v>-21.782000000001744</v>
      </c>
      <c r="L87">
        <f t="shared" si="5"/>
        <v>-20.528999999999797</v>
      </c>
    </row>
    <row r="88" spans="1:12" x14ac:dyDescent="0.35">
      <c r="A88">
        <v>9</v>
      </c>
      <c r="B88">
        <v>34.525500000000001</v>
      </c>
      <c r="C88">
        <v>34.322533999999997</v>
      </c>
      <c r="D88">
        <v>34.300744999999999</v>
      </c>
      <c r="E88">
        <v>34.344346999999999</v>
      </c>
      <c r="F88">
        <v>34.302000999999997</v>
      </c>
      <c r="G88">
        <v>34.343089999999997</v>
      </c>
      <c r="J88">
        <f t="shared" si="3"/>
        <v>0.20296600000000353</v>
      </c>
      <c r="K88">
        <f t="shared" si="4"/>
        <v>-21.800999999999959</v>
      </c>
      <c r="L88">
        <f t="shared" si="5"/>
        <v>-20.544499999999744</v>
      </c>
    </row>
    <row r="89" spans="1:12" x14ac:dyDescent="0.35">
      <c r="A89">
        <v>9</v>
      </c>
      <c r="B89">
        <v>41.079000000000001</v>
      </c>
      <c r="C89">
        <v>40.961820000000003</v>
      </c>
      <c r="D89">
        <v>40.938302</v>
      </c>
      <c r="E89">
        <v>40.985368000000001</v>
      </c>
      <c r="F89">
        <v>40.935102000000001</v>
      </c>
      <c r="G89">
        <v>40.988576000000002</v>
      </c>
      <c r="J89">
        <f t="shared" si="3"/>
        <v>0.11717999999999762</v>
      </c>
      <c r="K89">
        <f t="shared" si="4"/>
        <v>-23.53300000000047</v>
      </c>
      <c r="L89">
        <f t="shared" si="5"/>
        <v>-26.737000000000677</v>
      </c>
    </row>
    <row r="90" spans="1:12" x14ac:dyDescent="0.35">
      <c r="A90">
        <v>9</v>
      </c>
      <c r="B90">
        <v>41.0824</v>
      </c>
      <c r="C90">
        <v>40.961905999999999</v>
      </c>
      <c r="D90">
        <v>40.938388000000003</v>
      </c>
      <c r="E90">
        <v>40.985453</v>
      </c>
      <c r="F90">
        <v>40.935187999999997</v>
      </c>
      <c r="G90">
        <v>40.988663000000003</v>
      </c>
      <c r="J90">
        <f t="shared" si="3"/>
        <v>0.12049400000000077</v>
      </c>
      <c r="K90">
        <f t="shared" si="4"/>
        <v>-23.53249999999818</v>
      </c>
      <c r="L90">
        <f t="shared" si="5"/>
        <v>-26.737500000002967</v>
      </c>
    </row>
    <row r="91" spans="1:12" x14ac:dyDescent="0.35">
      <c r="A91">
        <v>9</v>
      </c>
      <c r="B91">
        <v>49.620399999999997</v>
      </c>
      <c r="C91">
        <v>49.524493999999997</v>
      </c>
      <c r="D91">
        <v>49.498719999999999</v>
      </c>
      <c r="E91">
        <v>49.550305999999999</v>
      </c>
      <c r="F91">
        <v>49.489806000000002</v>
      </c>
      <c r="G91">
        <v>49.559241</v>
      </c>
      <c r="J91">
        <f t="shared" si="3"/>
        <v>9.5905999999999381E-2</v>
      </c>
      <c r="K91">
        <f t="shared" si="4"/>
        <v>-25.793000000000177</v>
      </c>
      <c r="L91">
        <f t="shared" si="5"/>
        <v>-34.717499999999291</v>
      </c>
    </row>
    <row r="92" spans="1:12" x14ac:dyDescent="0.35">
      <c r="A92">
        <v>9</v>
      </c>
      <c r="B92">
        <v>49.620399999999997</v>
      </c>
      <c r="C92">
        <v>49.524498999999999</v>
      </c>
      <c r="D92">
        <v>49.498724000000003</v>
      </c>
      <c r="E92">
        <v>49.550310000000003</v>
      </c>
      <c r="F92">
        <v>49.489811000000003</v>
      </c>
      <c r="G92">
        <v>49.559246000000002</v>
      </c>
      <c r="J92">
        <f t="shared" si="3"/>
        <v>9.5900999999997794E-2</v>
      </c>
      <c r="K92">
        <f t="shared" si="4"/>
        <v>-25.793000000000177</v>
      </c>
      <c r="L92">
        <f t="shared" si="5"/>
        <v>-34.717499999999291</v>
      </c>
    </row>
    <row r="93" spans="1:12" x14ac:dyDescent="0.35">
      <c r="A93">
        <v>9</v>
      </c>
      <c r="B93">
        <v>60.070999999999998</v>
      </c>
      <c r="C93">
        <v>59.990617999999998</v>
      </c>
      <c r="D93">
        <v>59.962085000000002</v>
      </c>
      <c r="E93">
        <v>60.019196000000001</v>
      </c>
      <c r="F93">
        <v>59.946188999999997</v>
      </c>
      <c r="G93">
        <v>60.035131</v>
      </c>
      <c r="J93">
        <f t="shared" si="3"/>
        <v>8.0382000000000176E-2</v>
      </c>
      <c r="K93">
        <f t="shared" si="4"/>
        <v>-28.555499999999512</v>
      </c>
      <c r="L93">
        <f t="shared" si="5"/>
        <v>-44.471000000001482</v>
      </c>
    </row>
    <row r="94" spans="1:12" x14ac:dyDescent="0.35">
      <c r="A94">
        <v>9</v>
      </c>
      <c r="B94">
        <v>60.070999999999998</v>
      </c>
      <c r="C94">
        <v>59.990617999999998</v>
      </c>
      <c r="D94">
        <v>59.962085000000002</v>
      </c>
      <c r="E94">
        <v>60.019196000000001</v>
      </c>
      <c r="F94">
        <v>59.946188999999997</v>
      </c>
      <c r="G94">
        <v>60.035131</v>
      </c>
      <c r="J94">
        <f t="shared" si="3"/>
        <v>8.0382000000000176E-2</v>
      </c>
      <c r="K94">
        <f t="shared" si="4"/>
        <v>-28.555499999999512</v>
      </c>
      <c r="L94">
        <f t="shared" si="5"/>
        <v>-44.471000000001482</v>
      </c>
    </row>
    <row r="95" spans="1:12" x14ac:dyDescent="0.35">
      <c r="A95">
        <v>9</v>
      </c>
      <c r="B95">
        <v>72.421300000000002</v>
      </c>
      <c r="C95">
        <v>72.353584999999995</v>
      </c>
      <c r="D95">
        <v>72.321799999999996</v>
      </c>
      <c r="E95">
        <v>72.385424999999998</v>
      </c>
      <c r="F95">
        <v>72.297647999999995</v>
      </c>
      <c r="G95">
        <v>72.409634999999994</v>
      </c>
      <c r="J95">
        <f t="shared" si="3"/>
        <v>6.7715000000006853E-2</v>
      </c>
      <c r="K95">
        <f t="shared" si="4"/>
        <v>-31.812500000000909</v>
      </c>
      <c r="L95">
        <f t="shared" si="5"/>
        <v>-55.993499999999585</v>
      </c>
    </row>
    <row r="96" spans="1:12" x14ac:dyDescent="0.35">
      <c r="A96">
        <v>9</v>
      </c>
      <c r="B96">
        <v>72.421300000000002</v>
      </c>
      <c r="C96">
        <v>72.353584999999995</v>
      </c>
      <c r="D96">
        <v>72.321799999999996</v>
      </c>
      <c r="E96">
        <v>72.385424999999998</v>
      </c>
      <c r="F96">
        <v>72.297647999999995</v>
      </c>
      <c r="G96">
        <v>72.409634999999994</v>
      </c>
      <c r="J96">
        <f t="shared" si="3"/>
        <v>6.7715000000006853E-2</v>
      </c>
      <c r="K96">
        <f t="shared" si="4"/>
        <v>-31.812500000000909</v>
      </c>
      <c r="L96">
        <f t="shared" si="5"/>
        <v>-55.993499999999585</v>
      </c>
    </row>
    <row r="97" spans="1:12" x14ac:dyDescent="0.35">
      <c r="A97">
        <v>9</v>
      </c>
      <c r="B97">
        <v>86.664000000000001</v>
      </c>
      <c r="C97">
        <v>86.607589000000004</v>
      </c>
      <c r="D97">
        <v>86.572068000000002</v>
      </c>
      <c r="E97">
        <v>86.643176999999994</v>
      </c>
      <c r="F97">
        <v>86.538379000000006</v>
      </c>
      <c r="G97">
        <v>86.676946000000001</v>
      </c>
      <c r="J97">
        <f t="shared" si="3"/>
        <v>5.6410999999997102E-2</v>
      </c>
      <c r="K97">
        <f t="shared" si="4"/>
        <v>-35.554499999996381</v>
      </c>
      <c r="L97">
        <f t="shared" si="5"/>
        <v>-69.283499999997389</v>
      </c>
    </row>
    <row r="98" spans="1:12" x14ac:dyDescent="0.35">
      <c r="A98">
        <v>9</v>
      </c>
      <c r="B98">
        <v>86.664000000000001</v>
      </c>
      <c r="C98">
        <v>86.607589000000004</v>
      </c>
      <c r="D98">
        <v>86.572068000000002</v>
      </c>
      <c r="E98">
        <v>86.643176999999994</v>
      </c>
      <c r="F98">
        <v>86.538379000000006</v>
      </c>
      <c r="G98">
        <v>86.676946000000001</v>
      </c>
      <c r="J98">
        <f t="shared" si="3"/>
        <v>5.6410999999997102E-2</v>
      </c>
      <c r="K98">
        <f t="shared" si="4"/>
        <v>-35.554499999996381</v>
      </c>
      <c r="L98">
        <f t="shared" si="5"/>
        <v>-69.283499999997389</v>
      </c>
    </row>
    <row r="99" spans="1:12" x14ac:dyDescent="0.35">
      <c r="A99">
        <v>9</v>
      </c>
      <c r="B99">
        <v>102.79259999999999</v>
      </c>
      <c r="C99">
        <v>102.746561</v>
      </c>
      <c r="D99">
        <v>102.70683</v>
      </c>
      <c r="E99">
        <v>102.786373</v>
      </c>
      <c r="F99">
        <v>102.662316</v>
      </c>
      <c r="G99">
        <v>102.830991</v>
      </c>
      <c r="J99">
        <f t="shared" si="3"/>
        <v>4.603899999999328E-2</v>
      </c>
      <c r="K99">
        <f t="shared" si="4"/>
        <v>-39.771500000000515</v>
      </c>
      <c r="L99">
        <f t="shared" si="5"/>
        <v>-84.337499999996624</v>
      </c>
    </row>
    <row r="100" spans="1:12" x14ac:dyDescent="0.35">
      <c r="A100">
        <v>9</v>
      </c>
      <c r="B100">
        <v>102.79259999999999</v>
      </c>
      <c r="C100">
        <v>102.746561</v>
      </c>
      <c r="D100">
        <v>102.70683</v>
      </c>
      <c r="E100">
        <v>102.786373</v>
      </c>
      <c r="F100">
        <v>102.662316</v>
      </c>
      <c r="G100">
        <v>102.830991</v>
      </c>
      <c r="J100">
        <f t="shared" si="3"/>
        <v>4.603899999999328E-2</v>
      </c>
      <c r="K100">
        <f t="shared" si="4"/>
        <v>-39.771500000000515</v>
      </c>
      <c r="L100">
        <f t="shared" si="5"/>
        <v>-84.337499999996624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fit1</vt:lpstr>
      <vt:lpstr>fit2</vt:lpstr>
      <vt:lpstr>workout_sheet</vt:lpstr>
      <vt:lpstr>2Dfit1</vt:lpstr>
      <vt:lpstr>2Dfit2</vt:lpstr>
      <vt:lpstr>2Dfit3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Mok</dc:creator>
  <cp:lastModifiedBy>Ryan Mok</cp:lastModifiedBy>
  <dcterms:created xsi:type="dcterms:W3CDTF">2026-05-18T13:56:11Z</dcterms:created>
  <dcterms:modified xsi:type="dcterms:W3CDTF">2026-05-19T18:07:35Z</dcterms:modified>
</cp:coreProperties>
</file>