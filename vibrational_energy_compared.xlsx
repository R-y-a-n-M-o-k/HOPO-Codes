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Coding Projects\PhD Code\HOPO Codes\"/>
    </mc:Choice>
  </mc:AlternateContent>
  <xr:revisionPtr revIDLastSave="0" documentId="13_ncr:1_{3224E5E1-9B42-467A-99AC-DE2BADA4705F}" xr6:coauthVersionLast="47" xr6:coauthVersionMax="47" xr10:uidLastSave="{00000000-0000-0000-0000-000000000000}"/>
  <bookViews>
    <workbookView xWindow="-110" yWindow="-110" windowWidth="19420" windowHeight="10420" activeTab="2" xr2:uid="{96F7FD39-EEE5-4CC4-888B-CF4FB9A8AAAA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N14" i="3" l="1"/>
  <c r="BN15" i="3"/>
  <c r="BN16" i="3"/>
  <c r="BN17" i="3"/>
  <c r="BN18" i="3"/>
  <c r="BN19" i="3"/>
  <c r="BN20" i="3"/>
  <c r="BN21" i="3"/>
  <c r="BN22" i="3"/>
  <c r="BN23" i="3"/>
  <c r="BN24" i="3"/>
  <c r="BN25" i="3"/>
  <c r="BN26" i="3"/>
  <c r="BN27" i="3"/>
  <c r="BN28" i="3"/>
  <c r="BN29" i="3"/>
  <c r="BN30" i="3"/>
  <c r="BN31" i="3"/>
  <c r="BN32" i="3"/>
  <c r="BN33" i="3"/>
  <c r="BN34" i="3"/>
  <c r="BN35" i="3"/>
  <c r="BN36" i="3"/>
  <c r="BN37" i="3"/>
  <c r="BN38" i="3"/>
  <c r="BN39" i="3"/>
  <c r="BN40" i="3"/>
  <c r="BN41" i="3"/>
  <c r="BN4" i="3"/>
  <c r="BN5" i="3"/>
  <c r="BN6" i="3"/>
  <c r="BN7" i="3"/>
  <c r="BN8" i="3"/>
  <c r="BN9" i="3"/>
  <c r="BN10" i="3"/>
  <c r="BN11" i="3"/>
  <c r="BN12" i="3"/>
  <c r="BN13" i="3"/>
  <c r="BN3" i="3"/>
  <c r="BN2" i="3"/>
  <c r="B8" i="1"/>
  <c r="B15" i="1"/>
  <c r="B12" i="1"/>
  <c r="B11" i="1"/>
  <c r="B10" i="1"/>
  <c r="B13" i="1"/>
  <c r="B14" i="1"/>
  <c r="G5" i="1"/>
  <c r="I4" i="1"/>
  <c r="I3" i="1"/>
  <c r="G4" i="1"/>
  <c r="G3" i="1"/>
</calcChain>
</file>

<file path=xl/sharedStrings.xml><?xml version="1.0" encoding="utf-8"?>
<sst xmlns="http://schemas.openxmlformats.org/spreadsheetml/2006/main" count="1406" uniqueCount="53">
  <si>
    <t>Trans-HOPO:</t>
  </si>
  <si>
    <t>Cis-HOPO:</t>
  </si>
  <si>
    <t>Torison:</t>
  </si>
  <si>
    <t>Our Vals</t>
  </si>
  <si>
    <t>Paper Vals</t>
  </si>
  <si>
    <t>cis</t>
  </si>
  <si>
    <t>trans</t>
  </si>
  <si>
    <t>Mode 1 (A')</t>
  </si>
  <si>
    <t>Mode 2 (A')</t>
  </si>
  <si>
    <t>Mode 6 (A")</t>
  </si>
  <si>
    <t>Mode 5 (A')</t>
  </si>
  <si>
    <t>Mode 4 (A')</t>
  </si>
  <si>
    <t>Mode 3 (A')</t>
  </si>
  <si>
    <t>Gas Exp</t>
  </si>
  <si>
    <t>-</t>
  </si>
  <si>
    <t>Ar Matrix</t>
  </si>
  <si>
    <r>
      <t>N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Matrix</t>
    </r>
  </si>
  <si>
    <t>Harm</t>
  </si>
  <si>
    <t>ICPH</t>
  </si>
  <si>
    <t>WH</t>
  </si>
  <si>
    <t>a_poh</t>
  </si>
  <si>
    <t>a_opo</t>
  </si>
  <si>
    <t>POH angle</t>
  </si>
  <si>
    <t>OPO angle</t>
  </si>
  <si>
    <t>r_oh stretch</t>
  </si>
  <si>
    <t>Torsion</t>
  </si>
  <si>
    <t>Worst</t>
  </si>
  <si>
    <t>2nd Worst</t>
  </si>
  <si>
    <t>3rd Worst</t>
  </si>
  <si>
    <t>Coordinates TROVE Assigned:</t>
  </si>
  <si>
    <t>OP or PO?</t>
  </si>
  <si>
    <t>Paper Coordinates</t>
  </si>
  <si>
    <t>OP or PO? stretch</t>
  </si>
  <si>
    <t>r_po stretch (H-O-P-O)</t>
  </si>
  <si>
    <t>r_op stretch  (H-O-P-O)</t>
  </si>
  <si>
    <t>u_J</t>
  </si>
  <si>
    <t>Gamma</t>
  </si>
  <si>
    <t>&lt;-</t>
  </si>
  <si>
    <t>TM         N</t>
  </si>
  <si>
    <t>x</t>
  </si>
  <si>
    <t>y</t>
  </si>
  <si>
    <t>z</t>
  </si>
  <si>
    <t>A'</t>
  </si>
  <si>
    <t>D</t>
  </si>
  <si>
    <t>(A'</t>
  </si>
  <si>
    <t>;</t>
  </si>
  <si>
    <t>0)</t>
  </si>
  <si>
    <t>(</t>
  </si>
  <si>
    <t>A"</t>
  </si>
  <si>
    <t>1)</t>
  </si>
  <si>
    <t>2)</t>
  </si>
  <si>
    <t>4)</t>
  </si>
  <si>
    <t>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</si>
</sst>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35120-DBC8-4E1F-8427-BB7138DF47C2}">
  <dimension ref="A1:I15"/>
  <sheetViews>
    <sheetView workbookViewId="0">
      <selection activeCell="D8" sqref="D8"/>
    </sheetView>
  </sheetViews>
  <sheetFormatPr defaultRowHeight="14.5" x14ac:dyDescent="0.35"/>
  <cols>
    <col min="2" max="2" width="13.1796875" customWidth="1"/>
    <col min="3" max="3" width="10.08984375" customWidth="1"/>
  </cols>
  <sheetData>
    <row r="1" spans="1:9" x14ac:dyDescent="0.35">
      <c r="B1" t="s">
        <v>1</v>
      </c>
    </row>
    <row r="2" spans="1:9" x14ac:dyDescent="0.35">
      <c r="B2" t="s">
        <v>3</v>
      </c>
      <c r="C2" t="s">
        <v>4</v>
      </c>
      <c r="E2" t="s">
        <v>2</v>
      </c>
      <c r="G2" t="s">
        <v>5</v>
      </c>
      <c r="I2" t="s">
        <v>6</v>
      </c>
    </row>
    <row r="3" spans="1:9" x14ac:dyDescent="0.35">
      <c r="B3">
        <v>3586.7876729999998</v>
      </c>
      <c r="C3">
        <v>3555.1</v>
      </c>
      <c r="E3" s="1">
        <v>0</v>
      </c>
      <c r="G3">
        <f>E5-E4</f>
        <v>481.88059299999998</v>
      </c>
      <c r="I3">
        <f>E8-E6</f>
        <v>443.13453800000002</v>
      </c>
    </row>
    <row r="4" spans="1:9" x14ac:dyDescent="0.35">
      <c r="B4">
        <v>1259.6020020000001</v>
      </c>
      <c r="C4">
        <v>1258.5</v>
      </c>
      <c r="E4" s="1">
        <v>522.79150200000004</v>
      </c>
      <c r="G4">
        <f>E7-E5</f>
        <v>472.38715799999989</v>
      </c>
      <c r="I4">
        <f>E10-E8</f>
        <v>420.01213200000007</v>
      </c>
    </row>
    <row r="5" spans="1:9" x14ac:dyDescent="0.35">
      <c r="B5">
        <v>953.85603500000002</v>
      </c>
      <c r="C5">
        <v>904.4</v>
      </c>
      <c r="E5" s="1">
        <v>1004.672095</v>
      </c>
      <c r="G5">
        <f>E9-E7</f>
        <v>435.58379100000002</v>
      </c>
    </row>
    <row r="6" spans="1:9" x14ac:dyDescent="0.35">
      <c r="A6" t="s">
        <v>20</v>
      </c>
      <c r="B6">
        <v>767.290299</v>
      </c>
      <c r="C6">
        <v>851</v>
      </c>
      <c r="E6" s="2">
        <v>1006.677205</v>
      </c>
    </row>
    <row r="7" spans="1:9" x14ac:dyDescent="0.35">
      <c r="A7" t="s">
        <v>21</v>
      </c>
      <c r="B7">
        <v>419.32331099999999</v>
      </c>
      <c r="C7">
        <v>397.6</v>
      </c>
      <c r="E7" s="1">
        <v>1477.0592529999999</v>
      </c>
    </row>
    <row r="8" spans="1:9" x14ac:dyDescent="0.35">
      <c r="B8">
        <f>E4</f>
        <v>522.79150200000004</v>
      </c>
      <c r="C8">
        <v>524.20000000000005</v>
      </c>
      <c r="E8" s="3">
        <v>1449.811743</v>
      </c>
    </row>
    <row r="9" spans="1:9" x14ac:dyDescent="0.35">
      <c r="B9" t="s">
        <v>0</v>
      </c>
      <c r="E9" s="1">
        <v>1912.6430439999999</v>
      </c>
    </row>
    <row r="10" spans="1:9" x14ac:dyDescent="0.35">
      <c r="B10">
        <f>4603.444292-E6</f>
        <v>3596.7670870000002</v>
      </c>
      <c r="C10">
        <v>3580.2</v>
      </c>
      <c r="E10" s="3">
        <v>1869.823875</v>
      </c>
    </row>
    <row r="11" spans="1:9" x14ac:dyDescent="0.35">
      <c r="B11">
        <f>2270.686965-E6</f>
        <v>1264.0097599999999</v>
      </c>
      <c r="C11">
        <v>1263</v>
      </c>
    </row>
    <row r="12" spans="1:9" x14ac:dyDescent="0.35">
      <c r="B12">
        <f>1971.84512-E6</f>
        <v>965.16791499999999</v>
      </c>
      <c r="C12">
        <v>932.9</v>
      </c>
    </row>
    <row r="13" spans="1:9" x14ac:dyDescent="0.35">
      <c r="B13">
        <f>1781.411628-E6</f>
        <v>774.73442300000011</v>
      </c>
      <c r="C13">
        <v>856.4</v>
      </c>
    </row>
    <row r="14" spans="1:9" x14ac:dyDescent="0.35">
      <c r="B14">
        <f>1430.776962-E6</f>
        <v>424.09975699999995</v>
      </c>
      <c r="C14">
        <v>413.8</v>
      </c>
    </row>
    <row r="15" spans="1:9" x14ac:dyDescent="0.35">
      <c r="B15">
        <f>E8-E6</f>
        <v>443.13453800000002</v>
      </c>
      <c r="C15">
        <v>453.8</v>
      </c>
    </row>
  </sheetData>
  <sortState xmlns:xlrd2="http://schemas.microsoft.com/office/spreadsheetml/2017/richdata2" ref="B3:B7">
    <sortCondition descending="1" ref="B3:B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4EE73-1AEA-40B8-B000-4343B73EFC28}">
  <dimension ref="A1:K15"/>
  <sheetViews>
    <sheetView workbookViewId="0">
      <selection activeCell="C11" sqref="C11"/>
    </sheetView>
  </sheetViews>
  <sheetFormatPr defaultRowHeight="14.5" x14ac:dyDescent="0.35"/>
  <cols>
    <col min="1" max="1" width="21.36328125" customWidth="1"/>
    <col min="2" max="2" width="29.81640625" customWidth="1"/>
    <col min="3" max="3" width="17.36328125" customWidth="1"/>
    <col min="4" max="4" width="15" customWidth="1"/>
    <col min="5" max="5" width="17.453125" customWidth="1"/>
    <col min="6" max="6" width="12.54296875" customWidth="1"/>
    <col min="7" max="7" width="11.6328125" customWidth="1"/>
  </cols>
  <sheetData>
    <row r="1" spans="1:11" ht="16.5" x14ac:dyDescent="0.45">
      <c r="A1" t="s">
        <v>31</v>
      </c>
      <c r="B1" t="s">
        <v>29</v>
      </c>
      <c r="C1" t="s">
        <v>1</v>
      </c>
      <c r="D1" s="4" t="s">
        <v>3</v>
      </c>
      <c r="E1" s="5" t="s">
        <v>13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1" x14ac:dyDescent="0.35">
      <c r="A2" t="s">
        <v>24</v>
      </c>
      <c r="B2" t="s">
        <v>24</v>
      </c>
      <c r="C2" t="s">
        <v>7</v>
      </c>
      <c r="D2">
        <v>3586.7876729999998</v>
      </c>
      <c r="E2" t="s">
        <v>14</v>
      </c>
      <c r="F2">
        <v>3555.1</v>
      </c>
      <c r="G2">
        <v>3516.9</v>
      </c>
      <c r="H2">
        <v>3753</v>
      </c>
      <c r="I2">
        <v>3568.7</v>
      </c>
      <c r="J2">
        <v>3569.2</v>
      </c>
    </row>
    <row r="3" spans="1:11" x14ac:dyDescent="0.35">
      <c r="A3" t="s">
        <v>33</v>
      </c>
      <c r="B3" t="s">
        <v>32</v>
      </c>
      <c r="C3" t="s">
        <v>8</v>
      </c>
      <c r="D3">
        <v>1259.6020020000001</v>
      </c>
      <c r="E3">
        <v>1258.5</v>
      </c>
      <c r="F3">
        <v>1252.5</v>
      </c>
      <c r="G3">
        <v>1248.2</v>
      </c>
      <c r="H3">
        <v>1273.5999999999999</v>
      </c>
      <c r="I3">
        <v>1258.8</v>
      </c>
      <c r="J3">
        <v>1260.4000000000001</v>
      </c>
    </row>
    <row r="4" spans="1:11" x14ac:dyDescent="0.35">
      <c r="B4" t="s">
        <v>32</v>
      </c>
      <c r="C4" t="s">
        <v>12</v>
      </c>
      <c r="D4">
        <v>953.85603500000002</v>
      </c>
      <c r="E4" t="s">
        <v>14</v>
      </c>
      <c r="F4">
        <v>904.4</v>
      </c>
      <c r="G4">
        <v>945.4</v>
      </c>
      <c r="H4">
        <v>956.7</v>
      </c>
      <c r="I4">
        <v>909.9</v>
      </c>
      <c r="J4">
        <v>911.4</v>
      </c>
      <c r="K4" t="s">
        <v>27</v>
      </c>
    </row>
    <row r="5" spans="1:11" x14ac:dyDescent="0.35">
      <c r="A5" t="s">
        <v>34</v>
      </c>
      <c r="B5" t="s">
        <v>22</v>
      </c>
      <c r="C5" t="s">
        <v>11</v>
      </c>
      <c r="D5">
        <v>767.290299</v>
      </c>
      <c r="E5">
        <v>851</v>
      </c>
      <c r="F5">
        <v>841.5</v>
      </c>
      <c r="G5">
        <v>865.2</v>
      </c>
      <c r="H5">
        <v>872</v>
      </c>
      <c r="I5">
        <v>852.9</v>
      </c>
      <c r="J5">
        <v>850.4</v>
      </c>
      <c r="K5" t="s">
        <v>26</v>
      </c>
    </row>
    <row r="6" spans="1:11" x14ac:dyDescent="0.35">
      <c r="B6" t="s">
        <v>23</v>
      </c>
      <c r="C6" t="s">
        <v>10</v>
      </c>
      <c r="D6">
        <v>419.32331099999999</v>
      </c>
      <c r="E6" t="s">
        <v>14</v>
      </c>
      <c r="F6" t="s">
        <v>14</v>
      </c>
      <c r="G6" t="s">
        <v>14</v>
      </c>
      <c r="H6">
        <v>397.6</v>
      </c>
      <c r="I6">
        <v>390.7</v>
      </c>
      <c r="J6">
        <v>393.2</v>
      </c>
      <c r="K6" t="s">
        <v>28</v>
      </c>
    </row>
    <row r="7" spans="1:11" x14ac:dyDescent="0.35">
      <c r="A7" t="s">
        <v>25</v>
      </c>
      <c r="B7" t="s">
        <v>25</v>
      </c>
      <c r="C7" t="s">
        <v>9</v>
      </c>
      <c r="D7">
        <v>522.79150200000004</v>
      </c>
      <c r="E7" t="s">
        <v>14</v>
      </c>
      <c r="F7">
        <v>524.20000000000005</v>
      </c>
      <c r="G7">
        <v>573</v>
      </c>
      <c r="H7">
        <v>560.79999999999995</v>
      </c>
      <c r="I7">
        <v>525.20000000000005</v>
      </c>
      <c r="J7">
        <v>529</v>
      </c>
    </row>
    <row r="9" spans="1:11" x14ac:dyDescent="0.35">
      <c r="C9" t="s">
        <v>0</v>
      </c>
    </row>
    <row r="10" spans="1:11" x14ac:dyDescent="0.35">
      <c r="A10" t="s">
        <v>24</v>
      </c>
      <c r="B10" t="s">
        <v>24</v>
      </c>
      <c r="C10" t="s">
        <v>7</v>
      </c>
      <c r="D10">
        <v>3596.7670870000002</v>
      </c>
      <c r="E10" t="s">
        <v>14</v>
      </c>
      <c r="F10" t="s">
        <v>14</v>
      </c>
      <c r="G10">
        <v>3580.2</v>
      </c>
      <c r="H10">
        <v>3807.6</v>
      </c>
      <c r="I10">
        <v>3627.3</v>
      </c>
      <c r="J10">
        <v>3629.9</v>
      </c>
    </row>
    <row r="11" spans="1:11" x14ac:dyDescent="0.35">
      <c r="A11" t="s">
        <v>33</v>
      </c>
      <c r="B11" t="s">
        <v>30</v>
      </c>
      <c r="C11" t="s">
        <v>8</v>
      </c>
      <c r="D11">
        <v>1264.0097599999999</v>
      </c>
      <c r="E11" t="s">
        <v>14</v>
      </c>
      <c r="F11" t="s">
        <v>14</v>
      </c>
      <c r="G11">
        <v>1263</v>
      </c>
      <c r="H11">
        <v>1297.2</v>
      </c>
      <c r="I11">
        <v>1285.3</v>
      </c>
      <c r="J11">
        <v>1284.3</v>
      </c>
    </row>
    <row r="12" spans="1:11" x14ac:dyDescent="0.35">
      <c r="B12" t="s">
        <v>30</v>
      </c>
      <c r="C12" t="s">
        <v>12</v>
      </c>
      <c r="D12">
        <v>965.16791499999999</v>
      </c>
      <c r="E12" t="s">
        <v>14</v>
      </c>
      <c r="F12" t="s">
        <v>14</v>
      </c>
      <c r="G12">
        <v>932.9</v>
      </c>
      <c r="H12">
        <v>956.3</v>
      </c>
      <c r="I12">
        <v>942.1</v>
      </c>
      <c r="J12" t="s">
        <v>14</v>
      </c>
      <c r="K12" t="s">
        <v>27</v>
      </c>
    </row>
    <row r="13" spans="1:11" x14ac:dyDescent="0.35">
      <c r="A13" t="s">
        <v>34</v>
      </c>
      <c r="B13" t="s">
        <v>22</v>
      </c>
      <c r="C13" t="s">
        <v>11</v>
      </c>
      <c r="D13">
        <v>774.73442300000011</v>
      </c>
      <c r="E13" t="s">
        <v>14</v>
      </c>
      <c r="F13" t="s">
        <v>14</v>
      </c>
      <c r="G13">
        <v>856.4</v>
      </c>
      <c r="H13">
        <v>857.2</v>
      </c>
      <c r="I13">
        <v>840.3</v>
      </c>
      <c r="J13">
        <v>841.2</v>
      </c>
      <c r="K13" t="s">
        <v>26</v>
      </c>
    </row>
    <row r="14" spans="1:11" x14ac:dyDescent="0.35">
      <c r="B14" t="s">
        <v>23</v>
      </c>
      <c r="C14" t="s">
        <v>10</v>
      </c>
      <c r="D14">
        <v>424.09975699999995</v>
      </c>
      <c r="E14" t="s">
        <v>14</v>
      </c>
      <c r="F14" t="s">
        <v>14</v>
      </c>
      <c r="G14" t="s">
        <v>14</v>
      </c>
      <c r="H14">
        <v>417.9</v>
      </c>
      <c r="I14">
        <v>413.8</v>
      </c>
      <c r="J14">
        <v>414.2</v>
      </c>
      <c r="K14" t="s">
        <v>28</v>
      </c>
    </row>
    <row r="15" spans="1:11" x14ac:dyDescent="0.35">
      <c r="A15" t="s">
        <v>25</v>
      </c>
      <c r="B15" t="s">
        <v>25</v>
      </c>
      <c r="C15" t="s">
        <v>9</v>
      </c>
      <c r="D15">
        <v>443.13453800000002</v>
      </c>
      <c r="E15" t="s">
        <v>14</v>
      </c>
      <c r="F15" t="s">
        <v>14</v>
      </c>
      <c r="G15" t="s">
        <v>14</v>
      </c>
      <c r="H15">
        <v>482.4</v>
      </c>
      <c r="I15">
        <v>453.8</v>
      </c>
      <c r="J15">
        <v>461.7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8B67F-CDE8-4729-95BD-4426EC5B047F}">
  <dimension ref="A1:BN41"/>
  <sheetViews>
    <sheetView tabSelected="1" topLeftCell="I25" workbookViewId="0">
      <selection activeCell="BA38" sqref="BA38"/>
    </sheetView>
  </sheetViews>
  <sheetFormatPr defaultRowHeight="14.5" x14ac:dyDescent="0.35"/>
  <cols>
    <col min="1" max="1" width="3.26953125" bestFit="1" customWidth="1"/>
    <col min="2" max="2" width="7.1796875" bestFit="1" customWidth="1"/>
    <col min="3" max="3" width="2.453125" bestFit="1" customWidth="1"/>
    <col min="4" max="4" width="1.81640625" bestFit="1" customWidth="1"/>
    <col min="5" max="5" width="2.453125" bestFit="1" customWidth="1"/>
    <col min="6" max="6" width="2.08984375" bestFit="1" customWidth="1"/>
    <col min="7" max="7" width="11.81640625" bestFit="1" customWidth="1"/>
    <col min="8" max="8" width="2.453125" bestFit="1" customWidth="1"/>
    <col min="9" max="9" width="1.81640625" bestFit="1" customWidth="1"/>
    <col min="10" max="10" width="11.81640625" bestFit="1" customWidth="1"/>
    <col min="11" max="11" width="2.90625" bestFit="1" customWidth="1"/>
    <col min="12" max="12" width="1.36328125" bestFit="1" customWidth="1"/>
    <col min="13" max="13" width="2.453125" bestFit="1" customWidth="1"/>
    <col min="14" max="14" width="2.90625" bestFit="1" customWidth="1"/>
    <col min="15" max="18" width="2.26953125" bestFit="1" customWidth="1"/>
    <col min="19" max="19" width="2.54296875" bestFit="1" customWidth="1"/>
    <col min="20" max="20" width="1.36328125" bestFit="1" customWidth="1"/>
    <col min="21" max="25" width="1.81640625" bestFit="1" customWidth="1"/>
    <col min="26" max="27" width="2.453125" bestFit="1" customWidth="1"/>
    <col min="28" max="28" width="2.90625" bestFit="1" customWidth="1"/>
    <col min="29" max="29" width="1.36328125" bestFit="1" customWidth="1"/>
    <col min="30" max="30" width="2.453125" bestFit="1" customWidth="1"/>
    <col min="31" max="31" width="2.90625" bestFit="1" customWidth="1"/>
    <col min="32" max="36" width="2.26953125" bestFit="1" customWidth="1"/>
    <col min="37" max="37" width="1.36328125" bestFit="1" customWidth="1"/>
    <col min="38" max="42" width="1.81640625" bestFit="1" customWidth="1"/>
    <col min="43" max="43" width="2.453125" bestFit="1" customWidth="1"/>
    <col min="44" max="45" width="8.36328125" bestFit="1" customWidth="1"/>
    <col min="46" max="46" width="1.81640625" bestFit="1" customWidth="1"/>
    <col min="47" max="47" width="1.453125" bestFit="1" customWidth="1"/>
    <col min="48" max="52" width="1.81640625" bestFit="1" customWidth="1"/>
    <col min="53" max="54" width="2.453125" bestFit="1" customWidth="1"/>
    <col min="55" max="55" width="1.453125" bestFit="1" customWidth="1"/>
    <col min="56" max="60" width="1.81640625" bestFit="1" customWidth="1"/>
    <col min="61" max="61" width="2.453125" bestFit="1" customWidth="1"/>
    <col min="62" max="64" width="11.453125" bestFit="1" customWidth="1"/>
    <col min="66" max="66" width="11.36328125" style="7" bestFit="1" customWidth="1"/>
  </cols>
  <sheetData>
    <row r="1" spans="1:66" x14ac:dyDescent="0.35">
      <c r="A1" t="s">
        <v>35</v>
      </c>
      <c r="B1" t="s">
        <v>36</v>
      </c>
      <c r="E1" t="s">
        <v>37</v>
      </c>
      <c r="G1" t="s">
        <v>38</v>
      </c>
      <c r="I1" t="s">
        <v>39</v>
      </c>
      <c r="X1" t="s">
        <v>40</v>
      </c>
      <c r="AQ1" t="s">
        <v>41</v>
      </c>
    </row>
    <row r="2" spans="1:66" x14ac:dyDescent="0.35">
      <c r="A2">
        <v>0</v>
      </c>
      <c r="B2" t="s">
        <v>42</v>
      </c>
      <c r="C2" t="s">
        <v>37</v>
      </c>
      <c r="D2">
        <v>0</v>
      </c>
      <c r="E2" t="s">
        <v>42</v>
      </c>
      <c r="F2" t="s">
        <v>43</v>
      </c>
      <c r="G2">
        <v>0</v>
      </c>
      <c r="H2" t="s">
        <v>37</v>
      </c>
      <c r="I2">
        <v>0</v>
      </c>
      <c r="J2">
        <v>0</v>
      </c>
      <c r="K2" t="s">
        <v>44</v>
      </c>
      <c r="L2" t="s">
        <v>45</v>
      </c>
      <c r="M2" t="s">
        <v>46</v>
      </c>
      <c r="N2" t="s">
        <v>44</v>
      </c>
      <c r="O2" t="s">
        <v>42</v>
      </c>
      <c r="P2" t="s">
        <v>42</v>
      </c>
      <c r="Q2" t="s">
        <v>42</v>
      </c>
      <c r="R2" t="s">
        <v>42</v>
      </c>
      <c r="S2" t="s">
        <v>42</v>
      </c>
      <c r="T2" t="s">
        <v>45</v>
      </c>
      <c r="U2">
        <v>0</v>
      </c>
      <c r="V2">
        <v>0</v>
      </c>
      <c r="W2">
        <v>0</v>
      </c>
      <c r="X2">
        <v>0</v>
      </c>
      <c r="Y2">
        <v>0</v>
      </c>
      <c r="Z2" t="s">
        <v>46</v>
      </c>
      <c r="AA2" t="s">
        <v>37</v>
      </c>
      <c r="AB2" t="s">
        <v>44</v>
      </c>
      <c r="AC2" t="s">
        <v>45</v>
      </c>
      <c r="AD2" t="s">
        <v>46</v>
      </c>
      <c r="AE2" t="s">
        <v>44</v>
      </c>
      <c r="AF2" t="s">
        <v>42</v>
      </c>
      <c r="AG2" t="s">
        <v>42</v>
      </c>
      <c r="AH2" t="s">
        <v>42</v>
      </c>
      <c r="AI2" t="s">
        <v>42</v>
      </c>
      <c r="AJ2" t="s">
        <v>42</v>
      </c>
      <c r="AK2" t="s">
        <v>45</v>
      </c>
      <c r="AL2">
        <v>0</v>
      </c>
      <c r="AM2">
        <v>0</v>
      </c>
      <c r="AN2">
        <v>0</v>
      </c>
      <c r="AO2">
        <v>0</v>
      </c>
      <c r="AP2">
        <v>0</v>
      </c>
      <c r="AQ2" t="s">
        <v>46</v>
      </c>
      <c r="AR2" s="6">
        <v>1.6905826100000001</v>
      </c>
      <c r="AS2" s="6">
        <v>0</v>
      </c>
      <c r="AT2">
        <v>1</v>
      </c>
      <c r="AU2" t="s">
        <v>47</v>
      </c>
      <c r="AV2">
        <v>0</v>
      </c>
      <c r="AW2">
        <v>0</v>
      </c>
      <c r="AX2">
        <v>0</v>
      </c>
      <c r="AY2">
        <v>0</v>
      </c>
      <c r="AZ2">
        <v>0</v>
      </c>
      <c r="BA2" t="s">
        <v>46</v>
      </c>
      <c r="BB2" t="s">
        <v>37</v>
      </c>
      <c r="BC2" t="s">
        <v>47</v>
      </c>
      <c r="BD2">
        <v>0</v>
      </c>
      <c r="BE2">
        <v>0</v>
      </c>
      <c r="BF2">
        <v>0</v>
      </c>
      <c r="BG2">
        <v>0</v>
      </c>
      <c r="BH2">
        <v>0</v>
      </c>
      <c r="BI2" t="s">
        <v>46</v>
      </c>
      <c r="BJ2">
        <v>-0.72920337000000002</v>
      </c>
      <c r="BK2">
        <v>0</v>
      </c>
      <c r="BL2">
        <v>1.5252317799999999</v>
      </c>
      <c r="BN2" s="7">
        <f>AS2*10^(-5)*6.0221408*10^(23)</f>
        <v>0</v>
      </c>
    </row>
    <row r="3" spans="1:66" x14ac:dyDescent="0.35">
      <c r="A3">
        <v>0</v>
      </c>
      <c r="B3" t="s">
        <v>42</v>
      </c>
      <c r="C3" t="s">
        <v>37</v>
      </c>
      <c r="D3">
        <v>0</v>
      </c>
      <c r="E3" t="s">
        <v>42</v>
      </c>
      <c r="F3" t="s">
        <v>43</v>
      </c>
      <c r="G3">
        <v>3591.5099559999999</v>
      </c>
      <c r="H3" t="s">
        <v>37</v>
      </c>
      <c r="I3">
        <v>0</v>
      </c>
      <c r="J3">
        <v>3591.5099559999999</v>
      </c>
      <c r="K3" t="s">
        <v>44</v>
      </c>
      <c r="L3" t="s">
        <v>45</v>
      </c>
      <c r="M3" t="s">
        <v>46</v>
      </c>
      <c r="N3" t="s">
        <v>44</v>
      </c>
      <c r="O3" t="s">
        <v>42</v>
      </c>
      <c r="P3" t="s">
        <v>42</v>
      </c>
      <c r="Q3" t="s">
        <v>42</v>
      </c>
      <c r="R3" t="s">
        <v>42</v>
      </c>
      <c r="S3" t="s">
        <v>42</v>
      </c>
      <c r="T3" t="s">
        <v>45</v>
      </c>
      <c r="U3">
        <v>0</v>
      </c>
      <c r="V3">
        <v>0</v>
      </c>
      <c r="W3">
        <v>0</v>
      </c>
      <c r="X3">
        <v>2</v>
      </c>
      <c r="Y3">
        <v>2</v>
      </c>
      <c r="Z3" t="s">
        <v>46</v>
      </c>
      <c r="AA3" t="s">
        <v>37</v>
      </c>
      <c r="AB3" t="s">
        <v>44</v>
      </c>
      <c r="AC3" t="s">
        <v>45</v>
      </c>
      <c r="AD3" t="s">
        <v>46</v>
      </c>
      <c r="AE3" t="s">
        <v>44</v>
      </c>
      <c r="AF3" t="s">
        <v>42</v>
      </c>
      <c r="AG3" t="s">
        <v>42</v>
      </c>
      <c r="AH3" t="s">
        <v>42</v>
      </c>
      <c r="AI3" t="s">
        <v>42</v>
      </c>
      <c r="AJ3" t="s">
        <v>42</v>
      </c>
      <c r="AK3" t="s">
        <v>45</v>
      </c>
      <c r="AL3">
        <v>0</v>
      </c>
      <c r="AM3">
        <v>0</v>
      </c>
      <c r="AN3">
        <v>0</v>
      </c>
      <c r="AO3">
        <v>0</v>
      </c>
      <c r="AP3">
        <v>0</v>
      </c>
      <c r="AQ3" t="s">
        <v>46</v>
      </c>
      <c r="AR3" s="6">
        <v>9.9361223800000006E-3</v>
      </c>
      <c r="AS3" s="6">
        <v>1.4758374500000001E-19</v>
      </c>
      <c r="AT3">
        <v>1</v>
      </c>
      <c r="AU3" t="s">
        <v>47</v>
      </c>
      <c r="AV3">
        <v>0</v>
      </c>
      <c r="AW3">
        <v>0</v>
      </c>
      <c r="AX3">
        <v>0</v>
      </c>
      <c r="AY3">
        <v>2</v>
      </c>
      <c r="AZ3">
        <v>2</v>
      </c>
      <c r="BA3" t="s">
        <v>46</v>
      </c>
      <c r="BB3" t="s">
        <v>37</v>
      </c>
      <c r="BC3" t="s">
        <v>47</v>
      </c>
      <c r="BD3">
        <v>0</v>
      </c>
      <c r="BE3">
        <v>0</v>
      </c>
      <c r="BF3">
        <v>0</v>
      </c>
      <c r="BG3">
        <v>0</v>
      </c>
      <c r="BH3">
        <v>0</v>
      </c>
      <c r="BI3" t="s">
        <v>46</v>
      </c>
      <c r="BJ3">
        <v>-7.3674300000000003E-3</v>
      </c>
      <c r="BK3">
        <v>0</v>
      </c>
      <c r="BL3">
        <v>-6.66689E-3</v>
      </c>
      <c r="BN3" s="7">
        <f>AS3*10^(-5)*6.0221408*10^(23)</f>
        <v>0.88877009218129599</v>
      </c>
    </row>
    <row r="4" spans="1:66" x14ac:dyDescent="0.35">
      <c r="A4">
        <v>0</v>
      </c>
      <c r="B4" t="s">
        <v>48</v>
      </c>
      <c r="C4" t="s">
        <v>37</v>
      </c>
      <c r="D4">
        <v>0</v>
      </c>
      <c r="E4" t="s">
        <v>42</v>
      </c>
      <c r="F4" t="s">
        <v>43</v>
      </c>
      <c r="G4">
        <v>1414.73126</v>
      </c>
      <c r="H4" t="s">
        <v>37</v>
      </c>
      <c r="I4">
        <v>0</v>
      </c>
      <c r="J4">
        <v>1414.73126</v>
      </c>
      <c r="K4" t="s">
        <v>44</v>
      </c>
      <c r="L4" t="s">
        <v>45</v>
      </c>
      <c r="M4" t="s">
        <v>46</v>
      </c>
      <c r="N4" t="s">
        <v>44</v>
      </c>
      <c r="O4" t="s">
        <v>42</v>
      </c>
      <c r="P4" t="s">
        <v>42</v>
      </c>
      <c r="Q4" t="s">
        <v>42</v>
      </c>
      <c r="R4" t="s">
        <v>42</v>
      </c>
      <c r="S4" t="s">
        <v>48</v>
      </c>
      <c r="T4" t="s">
        <v>45</v>
      </c>
      <c r="U4">
        <v>1</v>
      </c>
      <c r="V4">
        <v>0</v>
      </c>
      <c r="W4">
        <v>0</v>
      </c>
      <c r="X4">
        <v>0</v>
      </c>
      <c r="Y4">
        <v>0</v>
      </c>
      <c r="Z4" t="s">
        <v>49</v>
      </c>
      <c r="AA4" t="s">
        <v>37</v>
      </c>
      <c r="AB4" t="s">
        <v>44</v>
      </c>
      <c r="AC4" t="s">
        <v>45</v>
      </c>
      <c r="AD4" t="s">
        <v>46</v>
      </c>
      <c r="AE4" t="s">
        <v>44</v>
      </c>
      <c r="AF4" t="s">
        <v>42</v>
      </c>
      <c r="AG4" t="s">
        <v>42</v>
      </c>
      <c r="AH4" t="s">
        <v>42</v>
      </c>
      <c r="AI4" t="s">
        <v>42</v>
      </c>
      <c r="AJ4" t="s">
        <v>42</v>
      </c>
      <c r="AK4" t="s">
        <v>45</v>
      </c>
      <c r="AL4">
        <v>0</v>
      </c>
      <c r="AM4">
        <v>0</v>
      </c>
      <c r="AN4">
        <v>0</v>
      </c>
      <c r="AO4">
        <v>0</v>
      </c>
      <c r="AP4">
        <v>0</v>
      </c>
      <c r="AQ4" t="s">
        <v>46</v>
      </c>
      <c r="AR4" s="6">
        <v>1.27413949E-2</v>
      </c>
      <c r="AS4" s="6">
        <v>9.39671381E-20</v>
      </c>
      <c r="AT4">
        <v>1</v>
      </c>
      <c r="AU4" t="s">
        <v>47</v>
      </c>
      <c r="AV4">
        <v>1</v>
      </c>
      <c r="AW4">
        <v>0</v>
      </c>
      <c r="AX4">
        <v>0</v>
      </c>
      <c r="AY4">
        <v>0</v>
      </c>
      <c r="AZ4">
        <v>0</v>
      </c>
      <c r="BA4" t="s">
        <v>49</v>
      </c>
      <c r="BB4" t="s">
        <v>37</v>
      </c>
      <c r="BC4" t="s">
        <v>47</v>
      </c>
      <c r="BD4">
        <v>0</v>
      </c>
      <c r="BE4">
        <v>0</v>
      </c>
      <c r="BF4">
        <v>0</v>
      </c>
      <c r="BG4">
        <v>0</v>
      </c>
      <c r="BH4">
        <v>0</v>
      </c>
      <c r="BI4" t="s">
        <v>46</v>
      </c>
      <c r="BJ4">
        <v>0</v>
      </c>
      <c r="BK4">
        <v>-1.274139E-2</v>
      </c>
      <c r="BL4">
        <v>0</v>
      </c>
      <c r="BN4" s="7">
        <f t="shared" ref="BN4:BN41" si="0">AS4*10^(-5)*6.0221408*10^(23)</f>
        <v>0.56588333621124454</v>
      </c>
    </row>
    <row r="5" spans="1:66" x14ac:dyDescent="0.35">
      <c r="A5">
        <v>0</v>
      </c>
      <c r="B5" t="s">
        <v>42</v>
      </c>
      <c r="C5" t="s">
        <v>37</v>
      </c>
      <c r="D5">
        <v>0</v>
      </c>
      <c r="E5" t="s">
        <v>42</v>
      </c>
      <c r="F5" t="s">
        <v>43</v>
      </c>
      <c r="G5">
        <v>462.602959</v>
      </c>
      <c r="H5" t="s">
        <v>37</v>
      </c>
      <c r="I5">
        <v>0</v>
      </c>
      <c r="J5">
        <v>462.602959</v>
      </c>
      <c r="K5" t="s">
        <v>44</v>
      </c>
      <c r="L5" t="s">
        <v>45</v>
      </c>
      <c r="M5" t="s">
        <v>46</v>
      </c>
      <c r="N5" t="s">
        <v>44</v>
      </c>
      <c r="O5" t="s">
        <v>42</v>
      </c>
      <c r="P5" t="s">
        <v>42</v>
      </c>
      <c r="Q5" t="s">
        <v>42</v>
      </c>
      <c r="R5" t="s">
        <v>42</v>
      </c>
      <c r="S5" t="s">
        <v>42</v>
      </c>
      <c r="T5" t="s">
        <v>45</v>
      </c>
      <c r="U5">
        <v>0</v>
      </c>
      <c r="V5">
        <v>0</v>
      </c>
      <c r="W5">
        <v>0</v>
      </c>
      <c r="X5">
        <v>1</v>
      </c>
      <c r="Y5">
        <v>0</v>
      </c>
      <c r="Z5" t="s">
        <v>46</v>
      </c>
      <c r="AA5" t="s">
        <v>37</v>
      </c>
      <c r="AB5" t="s">
        <v>44</v>
      </c>
      <c r="AC5" t="s">
        <v>45</v>
      </c>
      <c r="AD5" t="s">
        <v>46</v>
      </c>
      <c r="AE5" t="s">
        <v>44</v>
      </c>
      <c r="AF5" t="s">
        <v>42</v>
      </c>
      <c r="AG5" t="s">
        <v>42</v>
      </c>
      <c r="AH5" t="s">
        <v>42</v>
      </c>
      <c r="AI5" t="s">
        <v>42</v>
      </c>
      <c r="AJ5" t="s">
        <v>42</v>
      </c>
      <c r="AK5" t="s">
        <v>45</v>
      </c>
      <c r="AL5">
        <v>0</v>
      </c>
      <c r="AM5">
        <v>0</v>
      </c>
      <c r="AN5">
        <v>0</v>
      </c>
      <c r="AO5">
        <v>0</v>
      </c>
      <c r="AP5">
        <v>0</v>
      </c>
      <c r="AQ5" t="s">
        <v>46</v>
      </c>
      <c r="AR5" s="6">
        <v>0.24636398300000001</v>
      </c>
      <c r="AS5" s="6">
        <v>8.5996547099999996E-18</v>
      </c>
      <c r="AT5">
        <v>2</v>
      </c>
      <c r="AU5" t="s">
        <v>47</v>
      </c>
      <c r="AV5">
        <v>0</v>
      </c>
      <c r="AW5">
        <v>0</v>
      </c>
      <c r="AX5">
        <v>0</v>
      </c>
      <c r="AY5">
        <v>1</v>
      </c>
      <c r="AZ5">
        <v>0</v>
      </c>
      <c r="BA5" t="s">
        <v>46</v>
      </c>
      <c r="BB5" t="s">
        <v>37</v>
      </c>
      <c r="BC5" t="s">
        <v>47</v>
      </c>
      <c r="BD5">
        <v>0</v>
      </c>
      <c r="BE5">
        <v>0</v>
      </c>
      <c r="BF5">
        <v>0</v>
      </c>
      <c r="BG5">
        <v>0</v>
      </c>
      <c r="BH5">
        <v>0</v>
      </c>
      <c r="BI5" t="s">
        <v>46</v>
      </c>
      <c r="BJ5">
        <v>0.12080931</v>
      </c>
      <c r="BK5">
        <v>0</v>
      </c>
      <c r="BL5">
        <v>0.21470986</v>
      </c>
      <c r="BN5" s="7">
        <f t="shared" si="0"/>
        <v>51.788331495003163</v>
      </c>
    </row>
    <row r="6" spans="1:66" x14ac:dyDescent="0.35">
      <c r="A6">
        <v>0</v>
      </c>
      <c r="B6" t="s">
        <v>42</v>
      </c>
      <c r="C6" t="s">
        <v>37</v>
      </c>
      <c r="D6">
        <v>0</v>
      </c>
      <c r="E6" t="s">
        <v>42</v>
      </c>
      <c r="F6" t="s">
        <v>43</v>
      </c>
      <c r="G6">
        <v>2704.1091999999999</v>
      </c>
      <c r="H6" t="s">
        <v>37</v>
      </c>
      <c r="I6">
        <v>0</v>
      </c>
      <c r="J6">
        <v>2704.1091999999999</v>
      </c>
      <c r="K6" t="s">
        <v>44</v>
      </c>
      <c r="L6" t="s">
        <v>45</v>
      </c>
      <c r="M6" t="s">
        <v>46</v>
      </c>
      <c r="N6" t="s">
        <v>44</v>
      </c>
      <c r="O6" t="s">
        <v>42</v>
      </c>
      <c r="P6" t="s">
        <v>42</v>
      </c>
      <c r="Q6" t="s">
        <v>42</v>
      </c>
      <c r="R6" t="s">
        <v>42</v>
      </c>
      <c r="S6" t="s">
        <v>42</v>
      </c>
      <c r="T6" t="s">
        <v>45</v>
      </c>
      <c r="U6">
        <v>0</v>
      </c>
      <c r="V6">
        <v>0</v>
      </c>
      <c r="W6">
        <v>0</v>
      </c>
      <c r="X6">
        <v>1</v>
      </c>
      <c r="Y6">
        <v>1</v>
      </c>
      <c r="Z6" t="s">
        <v>50</v>
      </c>
      <c r="AA6" t="s">
        <v>37</v>
      </c>
      <c r="AB6" t="s">
        <v>44</v>
      </c>
      <c r="AC6" t="s">
        <v>45</v>
      </c>
      <c r="AD6" t="s">
        <v>46</v>
      </c>
      <c r="AE6" t="s">
        <v>44</v>
      </c>
      <c r="AF6" t="s">
        <v>42</v>
      </c>
      <c r="AG6" t="s">
        <v>42</v>
      </c>
      <c r="AH6" t="s">
        <v>42</v>
      </c>
      <c r="AI6" t="s">
        <v>42</v>
      </c>
      <c r="AJ6" t="s">
        <v>42</v>
      </c>
      <c r="AK6" t="s">
        <v>45</v>
      </c>
      <c r="AL6">
        <v>0</v>
      </c>
      <c r="AM6">
        <v>0</v>
      </c>
      <c r="AN6">
        <v>0</v>
      </c>
      <c r="AO6">
        <v>0</v>
      </c>
      <c r="AP6">
        <v>0</v>
      </c>
      <c r="AQ6" t="s">
        <v>46</v>
      </c>
      <c r="AR6" s="6">
        <v>1.73777151E-7</v>
      </c>
      <c r="AS6" s="6">
        <v>3.39758164E-29</v>
      </c>
      <c r="AT6">
        <v>1</v>
      </c>
      <c r="AU6" t="s">
        <v>47</v>
      </c>
      <c r="AV6">
        <v>0</v>
      </c>
      <c r="AW6">
        <v>0</v>
      </c>
      <c r="AX6">
        <v>0</v>
      </c>
      <c r="AY6">
        <v>1</v>
      </c>
      <c r="AZ6">
        <v>1</v>
      </c>
      <c r="BA6" t="s">
        <v>50</v>
      </c>
      <c r="BB6" t="s">
        <v>37</v>
      </c>
      <c r="BC6" t="s">
        <v>47</v>
      </c>
      <c r="BD6">
        <v>0</v>
      </c>
      <c r="BE6">
        <v>0</v>
      </c>
      <c r="BF6">
        <v>0</v>
      </c>
      <c r="BG6">
        <v>0</v>
      </c>
      <c r="BH6">
        <v>0</v>
      </c>
      <c r="BI6" t="s">
        <v>46</v>
      </c>
      <c r="BJ6">
        <v>7.0000000000000005E-8</v>
      </c>
      <c r="BK6">
        <v>0</v>
      </c>
      <c r="BL6">
        <v>-1.6E-7</v>
      </c>
      <c r="BN6" s="7">
        <f t="shared" si="0"/>
        <v>2.0460715015574914E-10</v>
      </c>
    </row>
    <row r="7" spans="1:66" x14ac:dyDescent="0.35">
      <c r="A7">
        <v>0</v>
      </c>
      <c r="B7" t="s">
        <v>48</v>
      </c>
      <c r="C7" t="s">
        <v>37</v>
      </c>
      <c r="D7">
        <v>0</v>
      </c>
      <c r="E7" t="s">
        <v>42</v>
      </c>
      <c r="F7" t="s">
        <v>43</v>
      </c>
      <c r="G7">
        <v>1695.679357</v>
      </c>
      <c r="H7" t="s">
        <v>37</v>
      </c>
      <c r="I7">
        <v>0</v>
      </c>
      <c r="J7">
        <v>1695.679357</v>
      </c>
      <c r="K7" t="s">
        <v>44</v>
      </c>
      <c r="L7" t="s">
        <v>45</v>
      </c>
      <c r="M7" t="s">
        <v>46</v>
      </c>
      <c r="N7" t="s">
        <v>44</v>
      </c>
      <c r="O7" t="s">
        <v>42</v>
      </c>
      <c r="P7" t="s">
        <v>42</v>
      </c>
      <c r="Q7" t="s">
        <v>42</v>
      </c>
      <c r="R7" t="s">
        <v>42</v>
      </c>
      <c r="S7" t="s">
        <v>48</v>
      </c>
      <c r="T7" t="s">
        <v>45</v>
      </c>
      <c r="U7">
        <v>0</v>
      </c>
      <c r="V7">
        <v>0</v>
      </c>
      <c r="W7">
        <v>0</v>
      </c>
      <c r="X7">
        <v>0</v>
      </c>
      <c r="Y7">
        <v>1</v>
      </c>
      <c r="Z7" t="s">
        <v>49</v>
      </c>
      <c r="AA7" t="s">
        <v>37</v>
      </c>
      <c r="AB7" t="s">
        <v>44</v>
      </c>
      <c r="AC7" t="s">
        <v>45</v>
      </c>
      <c r="AD7" t="s">
        <v>46</v>
      </c>
      <c r="AE7" t="s">
        <v>44</v>
      </c>
      <c r="AF7" t="s">
        <v>42</v>
      </c>
      <c r="AG7" t="s">
        <v>42</v>
      </c>
      <c r="AH7" t="s">
        <v>42</v>
      </c>
      <c r="AI7" t="s">
        <v>42</v>
      </c>
      <c r="AJ7" t="s">
        <v>42</v>
      </c>
      <c r="AK7" t="s">
        <v>45</v>
      </c>
      <c r="AL7">
        <v>0</v>
      </c>
      <c r="AM7">
        <v>0</v>
      </c>
      <c r="AN7">
        <v>0</v>
      </c>
      <c r="AO7">
        <v>0</v>
      </c>
      <c r="AP7">
        <v>0</v>
      </c>
      <c r="AQ7" t="s">
        <v>46</v>
      </c>
      <c r="AR7" s="6">
        <v>3.8953326899999999E-3</v>
      </c>
      <c r="AS7" s="6">
        <v>1.06282198E-20</v>
      </c>
      <c r="AT7">
        <v>1</v>
      </c>
      <c r="AU7" t="s">
        <v>47</v>
      </c>
      <c r="AV7">
        <v>0</v>
      </c>
      <c r="AW7">
        <v>0</v>
      </c>
      <c r="AX7">
        <v>0</v>
      </c>
      <c r="AY7">
        <v>0</v>
      </c>
      <c r="AZ7">
        <v>1</v>
      </c>
      <c r="BA7" t="s">
        <v>49</v>
      </c>
      <c r="BB7" t="s">
        <v>37</v>
      </c>
      <c r="BC7" t="s">
        <v>47</v>
      </c>
      <c r="BD7">
        <v>0</v>
      </c>
      <c r="BE7">
        <v>0</v>
      </c>
      <c r="BF7">
        <v>0</v>
      </c>
      <c r="BG7">
        <v>0</v>
      </c>
      <c r="BH7">
        <v>0</v>
      </c>
      <c r="BI7" t="s">
        <v>46</v>
      </c>
      <c r="BJ7">
        <v>0</v>
      </c>
      <c r="BK7">
        <v>3.8953299999999998E-3</v>
      </c>
      <c r="BL7">
        <v>0</v>
      </c>
      <c r="BN7" s="7">
        <f t="shared" si="0"/>
        <v>6.4004636088947839E-2</v>
      </c>
    </row>
    <row r="8" spans="1:66" x14ac:dyDescent="0.35">
      <c r="A8">
        <v>0</v>
      </c>
      <c r="B8" t="s">
        <v>42</v>
      </c>
      <c r="C8" t="s">
        <v>37</v>
      </c>
      <c r="D8">
        <v>0</v>
      </c>
      <c r="E8" t="s">
        <v>42</v>
      </c>
      <c r="F8" t="s">
        <v>43</v>
      </c>
      <c r="G8">
        <v>1038.1664679999999</v>
      </c>
      <c r="H8" t="s">
        <v>37</v>
      </c>
      <c r="I8">
        <v>0</v>
      </c>
      <c r="J8">
        <v>1038.1664679999999</v>
      </c>
      <c r="K8" t="s">
        <v>44</v>
      </c>
      <c r="L8" t="s">
        <v>45</v>
      </c>
      <c r="M8" t="s">
        <v>46</v>
      </c>
      <c r="N8" t="s">
        <v>44</v>
      </c>
      <c r="O8" t="s">
        <v>42</v>
      </c>
      <c r="P8" t="s">
        <v>42</v>
      </c>
      <c r="Q8" t="s">
        <v>42</v>
      </c>
      <c r="R8" t="s">
        <v>42</v>
      </c>
      <c r="S8" t="s">
        <v>42</v>
      </c>
      <c r="T8" t="s">
        <v>45</v>
      </c>
      <c r="U8">
        <v>0</v>
      </c>
      <c r="V8">
        <v>0</v>
      </c>
      <c r="W8">
        <v>0</v>
      </c>
      <c r="X8">
        <v>0</v>
      </c>
      <c r="Y8">
        <v>0</v>
      </c>
      <c r="Z8" t="s">
        <v>50</v>
      </c>
      <c r="AA8" t="s">
        <v>37</v>
      </c>
      <c r="AB8" t="s">
        <v>44</v>
      </c>
      <c r="AC8" t="s">
        <v>45</v>
      </c>
      <c r="AD8" t="s">
        <v>46</v>
      </c>
      <c r="AE8" t="s">
        <v>44</v>
      </c>
      <c r="AF8" t="s">
        <v>42</v>
      </c>
      <c r="AG8" t="s">
        <v>42</v>
      </c>
      <c r="AH8" t="s">
        <v>42</v>
      </c>
      <c r="AI8" t="s">
        <v>42</v>
      </c>
      <c r="AJ8" t="s">
        <v>42</v>
      </c>
      <c r="AK8" t="s">
        <v>45</v>
      </c>
      <c r="AL8">
        <v>0</v>
      </c>
      <c r="AM8">
        <v>0</v>
      </c>
      <c r="AN8">
        <v>0</v>
      </c>
      <c r="AO8">
        <v>0</v>
      </c>
      <c r="AP8">
        <v>0</v>
      </c>
      <c r="AQ8" t="s">
        <v>46</v>
      </c>
      <c r="AR8" s="6">
        <v>1.6983459399999999E-6</v>
      </c>
      <c r="AS8" s="6">
        <v>1.18356577E-27</v>
      </c>
      <c r="AT8">
        <v>1</v>
      </c>
      <c r="AU8" t="s">
        <v>47</v>
      </c>
      <c r="AV8">
        <v>0</v>
      </c>
      <c r="AW8">
        <v>0</v>
      </c>
      <c r="AX8">
        <v>0</v>
      </c>
      <c r="AY8">
        <v>0</v>
      </c>
      <c r="AZ8">
        <v>0</v>
      </c>
      <c r="BA8" t="s">
        <v>50</v>
      </c>
      <c r="BB8" t="s">
        <v>37</v>
      </c>
      <c r="BC8" t="s">
        <v>47</v>
      </c>
      <c r="BD8">
        <v>0</v>
      </c>
      <c r="BE8">
        <v>0</v>
      </c>
      <c r="BF8">
        <v>0</v>
      </c>
      <c r="BG8">
        <v>0</v>
      </c>
      <c r="BH8">
        <v>0</v>
      </c>
      <c r="BI8" t="s">
        <v>46</v>
      </c>
      <c r="BJ8">
        <v>-1.6899999999999999E-6</v>
      </c>
      <c r="BK8">
        <v>0</v>
      </c>
      <c r="BL8">
        <v>-1.9000000000000001E-7</v>
      </c>
      <c r="BN8" s="7">
        <f t="shared" si="0"/>
        <v>7.1275997130004155E-9</v>
      </c>
    </row>
    <row r="9" spans="1:66" x14ac:dyDescent="0.35">
      <c r="A9">
        <v>0</v>
      </c>
      <c r="B9" t="s">
        <v>48</v>
      </c>
      <c r="C9" t="s">
        <v>37</v>
      </c>
      <c r="D9">
        <v>0</v>
      </c>
      <c r="E9" t="s">
        <v>42</v>
      </c>
      <c r="F9" t="s">
        <v>43</v>
      </c>
      <c r="G9">
        <v>1547.896009</v>
      </c>
      <c r="H9" t="s">
        <v>37</v>
      </c>
      <c r="I9">
        <v>0</v>
      </c>
      <c r="J9">
        <v>1547.896009</v>
      </c>
      <c r="K9" t="s">
        <v>44</v>
      </c>
      <c r="L9" t="s">
        <v>45</v>
      </c>
      <c r="M9" t="s">
        <v>46</v>
      </c>
      <c r="N9" t="s">
        <v>44</v>
      </c>
      <c r="O9" t="s">
        <v>42</v>
      </c>
      <c r="P9" t="s">
        <v>42</v>
      </c>
      <c r="Q9" t="s">
        <v>42</v>
      </c>
      <c r="R9" t="s">
        <v>42</v>
      </c>
      <c r="S9" t="s">
        <v>48</v>
      </c>
      <c r="T9" t="s">
        <v>45</v>
      </c>
      <c r="U9">
        <v>0</v>
      </c>
      <c r="V9">
        <v>0</v>
      </c>
      <c r="W9">
        <v>0</v>
      </c>
      <c r="X9">
        <v>0</v>
      </c>
      <c r="Y9">
        <v>0</v>
      </c>
      <c r="Z9" t="s">
        <v>51</v>
      </c>
      <c r="AA9" t="s">
        <v>37</v>
      </c>
      <c r="AB9" t="s">
        <v>44</v>
      </c>
      <c r="AC9" t="s">
        <v>45</v>
      </c>
      <c r="AD9" t="s">
        <v>46</v>
      </c>
      <c r="AE9" t="s">
        <v>44</v>
      </c>
      <c r="AF9" t="s">
        <v>42</v>
      </c>
      <c r="AG9" t="s">
        <v>42</v>
      </c>
      <c r="AH9" t="s">
        <v>42</v>
      </c>
      <c r="AI9" t="s">
        <v>42</v>
      </c>
      <c r="AJ9" t="s">
        <v>42</v>
      </c>
      <c r="AK9" t="s">
        <v>45</v>
      </c>
      <c r="AL9">
        <v>0</v>
      </c>
      <c r="AM9">
        <v>0</v>
      </c>
      <c r="AN9">
        <v>0</v>
      </c>
      <c r="AO9">
        <v>0</v>
      </c>
      <c r="AP9">
        <v>0</v>
      </c>
      <c r="AQ9" t="s">
        <v>46</v>
      </c>
      <c r="AR9" s="6">
        <v>2.0312067600000001E-6</v>
      </c>
      <c r="AS9" s="6">
        <v>2.6273085400000001E-27</v>
      </c>
      <c r="AT9">
        <v>1</v>
      </c>
      <c r="AU9" t="s">
        <v>47</v>
      </c>
      <c r="AV9">
        <v>0</v>
      </c>
      <c r="AW9">
        <v>0</v>
      </c>
      <c r="AX9">
        <v>0</v>
      </c>
      <c r="AY9">
        <v>0</v>
      </c>
      <c r="AZ9">
        <v>0</v>
      </c>
      <c r="BA9" t="s">
        <v>51</v>
      </c>
      <c r="BB9" t="s">
        <v>37</v>
      </c>
      <c r="BC9" t="s">
        <v>47</v>
      </c>
      <c r="BD9">
        <v>0</v>
      </c>
      <c r="BE9">
        <v>0</v>
      </c>
      <c r="BF9">
        <v>0</v>
      </c>
      <c r="BG9">
        <v>0</v>
      </c>
      <c r="BH9">
        <v>0</v>
      </c>
      <c r="BI9" t="s">
        <v>46</v>
      </c>
      <c r="BJ9">
        <v>0</v>
      </c>
      <c r="BK9">
        <v>2.03E-6</v>
      </c>
      <c r="BL9">
        <v>0</v>
      </c>
      <c r="BN9" s="7">
        <f t="shared" si="0"/>
        <v>1.5822021952922433E-8</v>
      </c>
    </row>
    <row r="10" spans="1:66" x14ac:dyDescent="0.35">
      <c r="A10">
        <v>0</v>
      </c>
      <c r="B10" t="s">
        <v>48</v>
      </c>
      <c r="C10" t="s">
        <v>37</v>
      </c>
      <c r="D10">
        <v>0</v>
      </c>
      <c r="E10" t="s">
        <v>42</v>
      </c>
      <c r="F10" t="s">
        <v>43</v>
      </c>
      <c r="G10">
        <v>560.42557299999999</v>
      </c>
      <c r="H10" t="s">
        <v>37</v>
      </c>
      <c r="I10">
        <v>0</v>
      </c>
      <c r="J10">
        <v>560.42557299999999</v>
      </c>
      <c r="K10" t="s">
        <v>44</v>
      </c>
      <c r="L10" t="s">
        <v>45</v>
      </c>
      <c r="M10" t="s">
        <v>46</v>
      </c>
      <c r="N10" t="s">
        <v>44</v>
      </c>
      <c r="O10" t="s">
        <v>42</v>
      </c>
      <c r="P10" t="s">
        <v>42</v>
      </c>
      <c r="Q10" t="s">
        <v>42</v>
      </c>
      <c r="R10" t="s">
        <v>42</v>
      </c>
      <c r="S10" t="s">
        <v>48</v>
      </c>
      <c r="T10" t="s">
        <v>45</v>
      </c>
      <c r="U10">
        <v>0</v>
      </c>
      <c r="V10">
        <v>0</v>
      </c>
      <c r="W10">
        <v>0</v>
      </c>
      <c r="X10">
        <v>0</v>
      </c>
      <c r="Y10">
        <v>0</v>
      </c>
      <c r="Z10" t="s">
        <v>49</v>
      </c>
      <c r="AA10" t="s">
        <v>37</v>
      </c>
      <c r="AB10" t="s">
        <v>44</v>
      </c>
      <c r="AC10" t="s">
        <v>45</v>
      </c>
      <c r="AD10" t="s">
        <v>46</v>
      </c>
      <c r="AE10" t="s">
        <v>44</v>
      </c>
      <c r="AF10" t="s">
        <v>42</v>
      </c>
      <c r="AG10" t="s">
        <v>42</v>
      </c>
      <c r="AH10" t="s">
        <v>42</v>
      </c>
      <c r="AI10" t="s">
        <v>42</v>
      </c>
      <c r="AJ10" t="s">
        <v>42</v>
      </c>
      <c r="AK10" t="s">
        <v>45</v>
      </c>
      <c r="AL10">
        <v>0</v>
      </c>
      <c r="AM10">
        <v>0</v>
      </c>
      <c r="AN10">
        <v>0</v>
      </c>
      <c r="AO10">
        <v>0</v>
      </c>
      <c r="AP10">
        <v>0</v>
      </c>
      <c r="AQ10" t="s">
        <v>46</v>
      </c>
      <c r="AR10" s="6">
        <v>0.32681817400000002</v>
      </c>
      <c r="AS10" s="6">
        <v>1.9948461899999999E-17</v>
      </c>
      <c r="AT10">
        <v>1</v>
      </c>
      <c r="AU10" t="s">
        <v>47</v>
      </c>
      <c r="AV10">
        <v>0</v>
      </c>
      <c r="AW10">
        <v>0</v>
      </c>
      <c r="AX10">
        <v>0</v>
      </c>
      <c r="AY10">
        <v>0</v>
      </c>
      <c r="AZ10">
        <v>0</v>
      </c>
      <c r="BA10" t="s">
        <v>49</v>
      </c>
      <c r="BB10" t="s">
        <v>37</v>
      </c>
      <c r="BC10" t="s">
        <v>47</v>
      </c>
      <c r="BD10">
        <v>0</v>
      </c>
      <c r="BE10">
        <v>0</v>
      </c>
      <c r="BF10">
        <v>0</v>
      </c>
      <c r="BG10">
        <v>0</v>
      </c>
      <c r="BH10">
        <v>0</v>
      </c>
      <c r="BI10" t="s">
        <v>46</v>
      </c>
      <c r="BJ10">
        <v>0</v>
      </c>
      <c r="BK10">
        <v>0.32681817000000002</v>
      </c>
      <c r="BL10">
        <v>0</v>
      </c>
      <c r="BN10" s="7">
        <f t="shared" si="0"/>
        <v>120.1324463052355</v>
      </c>
    </row>
    <row r="11" spans="1:66" x14ac:dyDescent="0.35">
      <c r="A11">
        <v>0</v>
      </c>
      <c r="B11" t="s">
        <v>48</v>
      </c>
      <c r="C11" t="s">
        <v>37</v>
      </c>
      <c r="D11">
        <v>0</v>
      </c>
      <c r="E11" t="s">
        <v>42</v>
      </c>
      <c r="F11" t="s">
        <v>43</v>
      </c>
      <c r="G11">
        <v>3353.2036370000001</v>
      </c>
      <c r="H11" t="s">
        <v>37</v>
      </c>
      <c r="I11">
        <v>0</v>
      </c>
      <c r="J11">
        <v>3353.2036370000001</v>
      </c>
      <c r="K11" t="s">
        <v>44</v>
      </c>
      <c r="L11" t="s">
        <v>45</v>
      </c>
      <c r="M11" t="s">
        <v>46</v>
      </c>
      <c r="N11" t="s">
        <v>44</v>
      </c>
      <c r="O11" t="s">
        <v>42</v>
      </c>
      <c r="P11" t="s">
        <v>42</v>
      </c>
      <c r="Q11" t="s">
        <v>42</v>
      </c>
      <c r="R11" t="s">
        <v>42</v>
      </c>
      <c r="S11" t="s">
        <v>48</v>
      </c>
      <c r="T11" t="s">
        <v>45</v>
      </c>
      <c r="U11">
        <v>0</v>
      </c>
      <c r="V11">
        <v>0</v>
      </c>
      <c r="W11">
        <v>0</v>
      </c>
      <c r="X11">
        <v>0</v>
      </c>
      <c r="Y11">
        <v>2</v>
      </c>
      <c r="Z11" t="s">
        <v>49</v>
      </c>
      <c r="AA11" t="s">
        <v>37</v>
      </c>
      <c r="AB11" t="s">
        <v>44</v>
      </c>
      <c r="AC11" t="s">
        <v>45</v>
      </c>
      <c r="AD11" t="s">
        <v>46</v>
      </c>
      <c r="AE11" t="s">
        <v>44</v>
      </c>
      <c r="AF11" t="s">
        <v>42</v>
      </c>
      <c r="AG11" t="s">
        <v>42</v>
      </c>
      <c r="AH11" t="s">
        <v>42</v>
      </c>
      <c r="AI11" t="s">
        <v>42</v>
      </c>
      <c r="AJ11" t="s">
        <v>42</v>
      </c>
      <c r="AK11" t="s">
        <v>45</v>
      </c>
      <c r="AL11">
        <v>0</v>
      </c>
      <c r="AM11">
        <v>0</v>
      </c>
      <c r="AN11">
        <v>0</v>
      </c>
      <c r="AO11">
        <v>0</v>
      </c>
      <c r="AP11">
        <v>0</v>
      </c>
      <c r="AQ11" t="s">
        <v>46</v>
      </c>
      <c r="AR11" s="6">
        <v>2.8540360600000001E-3</v>
      </c>
      <c r="AS11" s="6">
        <v>1.13682215E-20</v>
      </c>
      <c r="AT11">
        <v>1</v>
      </c>
      <c r="AU11" t="s">
        <v>47</v>
      </c>
      <c r="AV11">
        <v>0</v>
      </c>
      <c r="AW11">
        <v>0</v>
      </c>
      <c r="AX11">
        <v>0</v>
      </c>
      <c r="AY11">
        <v>0</v>
      </c>
      <c r="AZ11">
        <v>2</v>
      </c>
      <c r="BA11" t="s">
        <v>49</v>
      </c>
      <c r="BB11" t="s">
        <v>37</v>
      </c>
      <c r="BC11" t="s">
        <v>47</v>
      </c>
      <c r="BD11">
        <v>0</v>
      </c>
      <c r="BE11">
        <v>0</v>
      </c>
      <c r="BF11">
        <v>0</v>
      </c>
      <c r="BG11">
        <v>0</v>
      </c>
      <c r="BH11">
        <v>0</v>
      </c>
      <c r="BI11" t="s">
        <v>46</v>
      </c>
      <c r="BJ11">
        <v>0</v>
      </c>
      <c r="BK11">
        <v>2.85404E-3</v>
      </c>
      <c r="BL11">
        <v>0</v>
      </c>
      <c r="BN11" s="7">
        <f t="shared" si="0"/>
        <v>6.8461030518587193E-2</v>
      </c>
    </row>
    <row r="12" spans="1:66" x14ac:dyDescent="0.35">
      <c r="A12">
        <v>0</v>
      </c>
      <c r="B12" t="s">
        <v>48</v>
      </c>
      <c r="C12" t="s">
        <v>37</v>
      </c>
      <c r="D12">
        <v>0</v>
      </c>
      <c r="E12" t="s">
        <v>42</v>
      </c>
      <c r="F12" t="s">
        <v>43</v>
      </c>
      <c r="G12">
        <v>1836.4393749999999</v>
      </c>
      <c r="H12" t="s">
        <v>37</v>
      </c>
      <c r="I12">
        <v>0</v>
      </c>
      <c r="J12">
        <v>1836.4393749999999</v>
      </c>
      <c r="K12" t="s">
        <v>44</v>
      </c>
      <c r="L12" t="s">
        <v>45</v>
      </c>
      <c r="M12" t="s">
        <v>46</v>
      </c>
      <c r="N12" t="s">
        <v>44</v>
      </c>
      <c r="O12" t="s">
        <v>42</v>
      </c>
      <c r="P12" t="s">
        <v>42</v>
      </c>
      <c r="Q12" t="s">
        <v>42</v>
      </c>
      <c r="R12" t="s">
        <v>42</v>
      </c>
      <c r="S12" t="s">
        <v>48</v>
      </c>
      <c r="T12" t="s">
        <v>45</v>
      </c>
      <c r="U12">
        <v>0</v>
      </c>
      <c r="V12">
        <v>1</v>
      </c>
      <c r="W12">
        <v>0</v>
      </c>
      <c r="X12">
        <v>0</v>
      </c>
      <c r="Y12">
        <v>0</v>
      </c>
      <c r="Z12" t="s">
        <v>49</v>
      </c>
      <c r="AA12" t="s">
        <v>37</v>
      </c>
      <c r="AB12" t="s">
        <v>44</v>
      </c>
      <c r="AC12" t="s">
        <v>45</v>
      </c>
      <c r="AD12" t="s">
        <v>46</v>
      </c>
      <c r="AE12" t="s">
        <v>44</v>
      </c>
      <c r="AF12" t="s">
        <v>42</v>
      </c>
      <c r="AG12" t="s">
        <v>42</v>
      </c>
      <c r="AH12" t="s">
        <v>42</v>
      </c>
      <c r="AI12" t="s">
        <v>42</v>
      </c>
      <c r="AJ12" t="s">
        <v>42</v>
      </c>
      <c r="AK12" t="s">
        <v>45</v>
      </c>
      <c r="AL12">
        <v>0</v>
      </c>
      <c r="AM12">
        <v>0</v>
      </c>
      <c r="AN12">
        <v>0</v>
      </c>
      <c r="AO12">
        <v>0</v>
      </c>
      <c r="AP12">
        <v>0</v>
      </c>
      <c r="AQ12" t="s">
        <v>46</v>
      </c>
      <c r="AR12" s="6">
        <v>4.55179271E-4</v>
      </c>
      <c r="AS12" s="6">
        <v>1.5757081399999999E-22</v>
      </c>
      <c r="AT12">
        <v>1</v>
      </c>
      <c r="AU12" t="s">
        <v>47</v>
      </c>
      <c r="AV12">
        <v>0</v>
      </c>
      <c r="AW12">
        <v>1</v>
      </c>
      <c r="AX12">
        <v>0</v>
      </c>
      <c r="AY12">
        <v>0</v>
      </c>
      <c r="AZ12">
        <v>0</v>
      </c>
      <c r="BA12" t="s">
        <v>49</v>
      </c>
      <c r="BB12" t="s">
        <v>37</v>
      </c>
      <c r="BC12" t="s">
        <v>47</v>
      </c>
      <c r="BD12">
        <v>0</v>
      </c>
      <c r="BE12">
        <v>0</v>
      </c>
      <c r="BF12">
        <v>0</v>
      </c>
      <c r="BG12">
        <v>0</v>
      </c>
      <c r="BH12">
        <v>0</v>
      </c>
      <c r="BI12" t="s">
        <v>46</v>
      </c>
      <c r="BJ12">
        <v>0</v>
      </c>
      <c r="BK12">
        <v>-4.5518000000000002E-4</v>
      </c>
      <c r="BL12">
        <v>0</v>
      </c>
      <c r="BN12" s="7">
        <f t="shared" si="0"/>
        <v>9.489136278786112E-4</v>
      </c>
    </row>
    <row r="13" spans="1:66" x14ac:dyDescent="0.35">
      <c r="A13">
        <v>0</v>
      </c>
      <c r="B13" t="s">
        <v>42</v>
      </c>
      <c r="C13" t="s">
        <v>37</v>
      </c>
      <c r="D13">
        <v>0</v>
      </c>
      <c r="E13" t="s">
        <v>42</v>
      </c>
      <c r="F13" t="s">
        <v>43</v>
      </c>
      <c r="G13">
        <v>1347.5628650000001</v>
      </c>
      <c r="H13" t="s">
        <v>37</v>
      </c>
      <c r="I13">
        <v>0</v>
      </c>
      <c r="J13">
        <v>1347.5628650000001</v>
      </c>
      <c r="K13" t="s">
        <v>44</v>
      </c>
      <c r="L13" t="s">
        <v>45</v>
      </c>
      <c r="M13" t="s">
        <v>46</v>
      </c>
      <c r="N13" t="s">
        <v>44</v>
      </c>
      <c r="O13" t="s">
        <v>42</v>
      </c>
      <c r="P13" t="s">
        <v>42</v>
      </c>
      <c r="Q13" t="s">
        <v>42</v>
      </c>
      <c r="R13" t="s">
        <v>42</v>
      </c>
      <c r="S13" t="s">
        <v>42</v>
      </c>
      <c r="T13" t="s">
        <v>45</v>
      </c>
      <c r="U13">
        <v>1</v>
      </c>
      <c r="V13">
        <v>0</v>
      </c>
      <c r="W13">
        <v>0</v>
      </c>
      <c r="X13">
        <v>1</v>
      </c>
      <c r="Y13">
        <v>0</v>
      </c>
      <c r="Z13" t="s">
        <v>46</v>
      </c>
      <c r="AA13" t="s">
        <v>37</v>
      </c>
      <c r="AB13" t="s">
        <v>44</v>
      </c>
      <c r="AC13" t="s">
        <v>45</v>
      </c>
      <c r="AD13" t="s">
        <v>46</v>
      </c>
      <c r="AE13" t="s">
        <v>44</v>
      </c>
      <c r="AF13" t="s">
        <v>42</v>
      </c>
      <c r="AG13" t="s">
        <v>42</v>
      </c>
      <c r="AH13" t="s">
        <v>42</v>
      </c>
      <c r="AI13" t="s">
        <v>42</v>
      </c>
      <c r="AJ13" t="s">
        <v>42</v>
      </c>
      <c r="AK13" t="s">
        <v>45</v>
      </c>
      <c r="AL13">
        <v>0</v>
      </c>
      <c r="AM13">
        <v>0</v>
      </c>
      <c r="AN13">
        <v>0</v>
      </c>
      <c r="AO13">
        <v>0</v>
      </c>
      <c r="AP13">
        <v>0</v>
      </c>
      <c r="AQ13" t="s">
        <v>46</v>
      </c>
      <c r="AR13" s="6">
        <v>2.4257719800000001E-2</v>
      </c>
      <c r="AS13" s="6">
        <v>3.2322636299999998E-19</v>
      </c>
      <c r="AT13">
        <v>1</v>
      </c>
      <c r="AU13" t="s">
        <v>47</v>
      </c>
      <c r="AV13">
        <v>1</v>
      </c>
      <c r="AW13">
        <v>0</v>
      </c>
      <c r="AX13">
        <v>0</v>
      </c>
      <c r="AY13">
        <v>1</v>
      </c>
      <c r="AZ13">
        <v>0</v>
      </c>
      <c r="BA13" t="s">
        <v>46</v>
      </c>
      <c r="BB13" t="s">
        <v>37</v>
      </c>
      <c r="BC13" t="s">
        <v>47</v>
      </c>
      <c r="BD13">
        <v>0</v>
      </c>
      <c r="BE13">
        <v>0</v>
      </c>
      <c r="BF13">
        <v>0</v>
      </c>
      <c r="BG13">
        <v>0</v>
      </c>
      <c r="BH13">
        <v>0</v>
      </c>
      <c r="BI13" t="s">
        <v>46</v>
      </c>
      <c r="BJ13">
        <v>-2.2519669999999999E-2</v>
      </c>
      <c r="BK13">
        <v>0</v>
      </c>
      <c r="BL13">
        <v>9.0167200000000006E-3</v>
      </c>
      <c r="BN13" s="7">
        <f t="shared" si="0"/>
        <v>1.9465146682579102</v>
      </c>
    </row>
    <row r="14" spans="1:66" x14ac:dyDescent="0.35">
      <c r="A14">
        <v>0</v>
      </c>
      <c r="B14" t="s">
        <v>42</v>
      </c>
      <c r="C14" t="s">
        <v>37</v>
      </c>
      <c r="D14">
        <v>0</v>
      </c>
      <c r="E14" t="s">
        <v>42</v>
      </c>
      <c r="F14" t="s">
        <v>43</v>
      </c>
      <c r="G14">
        <v>905.13736400000005</v>
      </c>
      <c r="H14" t="s">
        <v>37</v>
      </c>
      <c r="I14">
        <v>0</v>
      </c>
      <c r="J14">
        <v>905.13736400000005</v>
      </c>
      <c r="K14" t="s">
        <v>44</v>
      </c>
      <c r="L14" t="s">
        <v>45</v>
      </c>
      <c r="M14" t="s">
        <v>46</v>
      </c>
      <c r="N14" t="s">
        <v>44</v>
      </c>
      <c r="O14" t="s">
        <v>42</v>
      </c>
      <c r="P14" t="s">
        <v>42</v>
      </c>
      <c r="Q14" t="s">
        <v>42</v>
      </c>
      <c r="R14" t="s">
        <v>42</v>
      </c>
      <c r="S14" t="s">
        <v>42</v>
      </c>
      <c r="T14" t="s">
        <v>45</v>
      </c>
      <c r="U14">
        <v>0</v>
      </c>
      <c r="V14">
        <v>0</v>
      </c>
      <c r="W14">
        <v>0</v>
      </c>
      <c r="X14">
        <v>2</v>
      </c>
      <c r="Y14">
        <v>0</v>
      </c>
      <c r="Z14" t="s">
        <v>46</v>
      </c>
      <c r="AA14" t="s">
        <v>37</v>
      </c>
      <c r="AB14" t="s">
        <v>44</v>
      </c>
      <c r="AC14" t="s">
        <v>45</v>
      </c>
      <c r="AD14" t="s">
        <v>46</v>
      </c>
      <c r="AE14" t="s">
        <v>44</v>
      </c>
      <c r="AF14" t="s">
        <v>42</v>
      </c>
      <c r="AG14" t="s">
        <v>42</v>
      </c>
      <c r="AH14" t="s">
        <v>42</v>
      </c>
      <c r="AI14" t="s">
        <v>42</v>
      </c>
      <c r="AJ14" t="s">
        <v>42</v>
      </c>
      <c r="AK14" t="s">
        <v>45</v>
      </c>
      <c r="AL14">
        <v>0</v>
      </c>
      <c r="AM14">
        <v>0</v>
      </c>
      <c r="AN14">
        <v>0</v>
      </c>
      <c r="AO14">
        <v>0</v>
      </c>
      <c r="AP14">
        <v>0</v>
      </c>
      <c r="AQ14" t="s">
        <v>46</v>
      </c>
      <c r="AR14" s="6">
        <v>2.3558906300000002E-2</v>
      </c>
      <c r="AS14" s="6">
        <v>1.9364564599999999E-19</v>
      </c>
      <c r="AT14">
        <v>1</v>
      </c>
      <c r="AU14" t="s">
        <v>47</v>
      </c>
      <c r="AV14">
        <v>0</v>
      </c>
      <c r="AW14">
        <v>0</v>
      </c>
      <c r="AX14">
        <v>0</v>
      </c>
      <c r="AY14">
        <v>2</v>
      </c>
      <c r="AZ14">
        <v>0</v>
      </c>
      <c r="BA14" t="s">
        <v>46</v>
      </c>
      <c r="BB14" t="s">
        <v>37</v>
      </c>
      <c r="BC14" t="s">
        <v>47</v>
      </c>
      <c r="BD14">
        <v>0</v>
      </c>
      <c r="BE14">
        <v>0</v>
      </c>
      <c r="BF14">
        <v>0</v>
      </c>
      <c r="BG14">
        <v>0</v>
      </c>
      <c r="BH14">
        <v>0</v>
      </c>
      <c r="BI14" t="s">
        <v>46</v>
      </c>
      <c r="BJ14">
        <v>1.4361000000000001E-3</v>
      </c>
      <c r="BK14">
        <v>0</v>
      </c>
      <c r="BL14">
        <v>2.3515089999999999E-2</v>
      </c>
      <c r="BN14" s="7">
        <f t="shared" si="0"/>
        <v>1.1661613455189568</v>
      </c>
    </row>
    <row r="15" spans="1:66" x14ac:dyDescent="0.35">
      <c r="A15">
        <v>0</v>
      </c>
      <c r="B15" t="s">
        <v>42</v>
      </c>
      <c r="C15" t="s">
        <v>37</v>
      </c>
      <c r="D15">
        <v>0</v>
      </c>
      <c r="E15" t="s">
        <v>42</v>
      </c>
      <c r="F15" t="s">
        <v>43</v>
      </c>
      <c r="G15">
        <v>3616.596689</v>
      </c>
      <c r="H15" t="s">
        <v>37</v>
      </c>
      <c r="I15">
        <v>0</v>
      </c>
      <c r="J15">
        <v>3616.596689</v>
      </c>
      <c r="K15" t="s">
        <v>44</v>
      </c>
      <c r="L15" t="s">
        <v>45</v>
      </c>
      <c r="M15" t="s">
        <v>46</v>
      </c>
      <c r="N15" t="s">
        <v>44</v>
      </c>
      <c r="O15" t="s">
        <v>42</v>
      </c>
      <c r="P15" t="s">
        <v>42</v>
      </c>
      <c r="Q15" t="s">
        <v>42</v>
      </c>
      <c r="R15" t="s">
        <v>42</v>
      </c>
      <c r="S15" t="s">
        <v>42</v>
      </c>
      <c r="T15" t="s">
        <v>45</v>
      </c>
      <c r="U15">
        <v>0</v>
      </c>
      <c r="V15">
        <v>0</v>
      </c>
      <c r="W15">
        <v>1</v>
      </c>
      <c r="X15">
        <v>0</v>
      </c>
      <c r="Y15">
        <v>0</v>
      </c>
      <c r="Z15" t="s">
        <v>46</v>
      </c>
      <c r="AA15" t="s">
        <v>37</v>
      </c>
      <c r="AB15" t="s">
        <v>44</v>
      </c>
      <c r="AC15" t="s">
        <v>45</v>
      </c>
      <c r="AD15" t="s">
        <v>46</v>
      </c>
      <c r="AE15" t="s">
        <v>44</v>
      </c>
      <c r="AF15" t="s">
        <v>42</v>
      </c>
      <c r="AG15" t="s">
        <v>42</v>
      </c>
      <c r="AH15" t="s">
        <v>42</v>
      </c>
      <c r="AI15" t="s">
        <v>42</v>
      </c>
      <c r="AJ15" t="s">
        <v>42</v>
      </c>
      <c r="AK15" t="s">
        <v>45</v>
      </c>
      <c r="AL15">
        <v>0</v>
      </c>
      <c r="AM15">
        <v>0</v>
      </c>
      <c r="AN15">
        <v>0</v>
      </c>
      <c r="AO15">
        <v>0</v>
      </c>
      <c r="AP15">
        <v>0</v>
      </c>
      <c r="AQ15" t="s">
        <v>46</v>
      </c>
      <c r="AR15" s="6">
        <v>0.10316769000000001</v>
      </c>
      <c r="AS15" s="6">
        <v>1.6021975600000001E-17</v>
      </c>
      <c r="AT15">
        <v>1</v>
      </c>
      <c r="AU15" t="s">
        <v>47</v>
      </c>
      <c r="AV15">
        <v>0</v>
      </c>
      <c r="AW15">
        <v>0</v>
      </c>
      <c r="AX15">
        <v>1</v>
      </c>
      <c r="AY15">
        <v>0</v>
      </c>
      <c r="AZ15">
        <v>0</v>
      </c>
      <c r="BA15" t="s">
        <v>46</v>
      </c>
      <c r="BB15" t="s">
        <v>37</v>
      </c>
      <c r="BC15" t="s">
        <v>47</v>
      </c>
      <c r="BD15">
        <v>0</v>
      </c>
      <c r="BE15">
        <v>0</v>
      </c>
      <c r="BF15">
        <v>0</v>
      </c>
      <c r="BG15">
        <v>0</v>
      </c>
      <c r="BH15">
        <v>0</v>
      </c>
      <c r="BI15" t="s">
        <v>46</v>
      </c>
      <c r="BJ15">
        <v>-7.2232959999999999E-2</v>
      </c>
      <c r="BK15">
        <v>0</v>
      </c>
      <c r="BL15">
        <v>-7.3661199999999996E-2</v>
      </c>
      <c r="BN15" s="7">
        <f t="shared" si="0"/>
        <v>96.486592957364479</v>
      </c>
    </row>
    <row r="16" spans="1:66" x14ac:dyDescent="0.35">
      <c r="A16">
        <v>0</v>
      </c>
      <c r="B16" t="s">
        <v>48</v>
      </c>
      <c r="C16" t="s">
        <v>37</v>
      </c>
      <c r="D16">
        <v>0</v>
      </c>
      <c r="E16" t="s">
        <v>42</v>
      </c>
      <c r="F16" t="s">
        <v>43</v>
      </c>
      <c r="G16">
        <v>2136.005862</v>
      </c>
      <c r="H16" t="s">
        <v>37</v>
      </c>
      <c r="I16">
        <v>0</v>
      </c>
      <c r="J16">
        <v>2136.005862</v>
      </c>
      <c r="K16" t="s">
        <v>44</v>
      </c>
      <c r="L16" t="s">
        <v>45</v>
      </c>
      <c r="M16" t="s">
        <v>46</v>
      </c>
      <c r="N16" t="s">
        <v>44</v>
      </c>
      <c r="O16" t="s">
        <v>42</v>
      </c>
      <c r="P16" t="s">
        <v>42</v>
      </c>
      <c r="Q16" t="s">
        <v>42</v>
      </c>
      <c r="R16" t="s">
        <v>42</v>
      </c>
      <c r="S16" t="s">
        <v>48</v>
      </c>
      <c r="T16" t="s">
        <v>45</v>
      </c>
      <c r="U16">
        <v>0</v>
      </c>
      <c r="V16">
        <v>0</v>
      </c>
      <c r="W16">
        <v>0</v>
      </c>
      <c r="X16">
        <v>1</v>
      </c>
      <c r="Y16">
        <v>1</v>
      </c>
      <c r="Z16" t="s">
        <v>49</v>
      </c>
      <c r="AA16" t="s">
        <v>37</v>
      </c>
      <c r="AB16" t="s">
        <v>44</v>
      </c>
      <c r="AC16" t="s">
        <v>45</v>
      </c>
      <c r="AD16" t="s">
        <v>46</v>
      </c>
      <c r="AE16" t="s">
        <v>44</v>
      </c>
      <c r="AF16" t="s">
        <v>42</v>
      </c>
      <c r="AG16" t="s">
        <v>42</v>
      </c>
      <c r="AH16" t="s">
        <v>42</v>
      </c>
      <c r="AI16" t="s">
        <v>42</v>
      </c>
      <c r="AJ16" t="s">
        <v>42</v>
      </c>
      <c r="AK16" t="s">
        <v>45</v>
      </c>
      <c r="AL16">
        <v>0</v>
      </c>
      <c r="AM16">
        <v>0</v>
      </c>
      <c r="AN16">
        <v>0</v>
      </c>
      <c r="AO16">
        <v>0</v>
      </c>
      <c r="AP16">
        <v>0</v>
      </c>
      <c r="AQ16" t="s">
        <v>46</v>
      </c>
      <c r="AR16" s="6">
        <v>2.6171947900000001E-3</v>
      </c>
      <c r="AS16" s="6">
        <v>6.0769457799999998E-21</v>
      </c>
      <c r="AT16">
        <v>1</v>
      </c>
      <c r="AU16" t="s">
        <v>47</v>
      </c>
      <c r="AV16">
        <v>0</v>
      </c>
      <c r="AW16">
        <v>0</v>
      </c>
      <c r="AX16">
        <v>0</v>
      </c>
      <c r="AY16">
        <v>1</v>
      </c>
      <c r="AZ16">
        <v>1</v>
      </c>
      <c r="BA16" t="s">
        <v>49</v>
      </c>
      <c r="BB16" t="s">
        <v>37</v>
      </c>
      <c r="BC16" t="s">
        <v>47</v>
      </c>
      <c r="BD16">
        <v>0</v>
      </c>
      <c r="BE16">
        <v>0</v>
      </c>
      <c r="BF16">
        <v>0</v>
      </c>
      <c r="BG16">
        <v>0</v>
      </c>
      <c r="BH16">
        <v>0</v>
      </c>
      <c r="BI16" t="s">
        <v>46</v>
      </c>
      <c r="BJ16">
        <v>0</v>
      </c>
      <c r="BK16">
        <v>2.6171900000000001E-3</v>
      </c>
      <c r="BL16">
        <v>0</v>
      </c>
      <c r="BN16" s="7">
        <f t="shared" si="0"/>
        <v>3.6596223121125822E-2</v>
      </c>
    </row>
    <row r="17" spans="1:66" x14ac:dyDescent="0.35">
      <c r="A17">
        <v>0</v>
      </c>
      <c r="B17" t="s">
        <v>48</v>
      </c>
      <c r="C17" t="s">
        <v>37</v>
      </c>
      <c r="D17">
        <v>0</v>
      </c>
      <c r="E17" t="s">
        <v>42</v>
      </c>
      <c r="F17" t="s">
        <v>43</v>
      </c>
      <c r="G17">
        <v>2615.8950249999998</v>
      </c>
      <c r="H17" t="s">
        <v>37</v>
      </c>
      <c r="I17">
        <v>0</v>
      </c>
      <c r="J17">
        <v>2615.8950249999998</v>
      </c>
      <c r="K17" t="s">
        <v>44</v>
      </c>
      <c r="L17" t="s">
        <v>45</v>
      </c>
      <c r="M17" t="s">
        <v>46</v>
      </c>
      <c r="N17" t="s">
        <v>44</v>
      </c>
      <c r="O17" t="s">
        <v>42</v>
      </c>
      <c r="P17" t="s">
        <v>42</v>
      </c>
      <c r="Q17" t="s">
        <v>42</v>
      </c>
      <c r="R17" t="s">
        <v>42</v>
      </c>
      <c r="S17" t="s">
        <v>48</v>
      </c>
      <c r="T17" t="s">
        <v>45</v>
      </c>
      <c r="U17">
        <v>0</v>
      </c>
      <c r="V17">
        <v>0</v>
      </c>
      <c r="W17">
        <v>0</v>
      </c>
      <c r="X17">
        <v>2</v>
      </c>
      <c r="Y17">
        <v>1</v>
      </c>
      <c r="Z17" t="s">
        <v>49</v>
      </c>
      <c r="AA17" t="s">
        <v>37</v>
      </c>
      <c r="AB17" t="s">
        <v>44</v>
      </c>
      <c r="AC17" t="s">
        <v>45</v>
      </c>
      <c r="AD17" t="s">
        <v>46</v>
      </c>
      <c r="AE17" t="s">
        <v>44</v>
      </c>
      <c r="AF17" t="s">
        <v>42</v>
      </c>
      <c r="AG17" t="s">
        <v>42</v>
      </c>
      <c r="AH17" t="s">
        <v>42</v>
      </c>
      <c r="AI17" t="s">
        <v>42</v>
      </c>
      <c r="AJ17" t="s">
        <v>42</v>
      </c>
      <c r="AK17" t="s">
        <v>45</v>
      </c>
      <c r="AL17">
        <v>0</v>
      </c>
      <c r="AM17">
        <v>0</v>
      </c>
      <c r="AN17">
        <v>0</v>
      </c>
      <c r="AO17">
        <v>0</v>
      </c>
      <c r="AP17">
        <v>0</v>
      </c>
      <c r="AQ17" t="s">
        <v>46</v>
      </c>
      <c r="AR17" s="6">
        <v>3.4467461399999999E-4</v>
      </c>
      <c r="AS17" s="6">
        <v>1.2928460599999999E-22</v>
      </c>
      <c r="AT17">
        <v>1</v>
      </c>
      <c r="AU17" t="s">
        <v>47</v>
      </c>
      <c r="AV17">
        <v>0</v>
      </c>
      <c r="AW17">
        <v>0</v>
      </c>
      <c r="AX17">
        <v>0</v>
      </c>
      <c r="AY17">
        <v>2</v>
      </c>
      <c r="AZ17">
        <v>1</v>
      </c>
      <c r="BA17" t="s">
        <v>49</v>
      </c>
      <c r="BB17" t="s">
        <v>37</v>
      </c>
      <c r="BC17" t="s">
        <v>47</v>
      </c>
      <c r="BD17">
        <v>0</v>
      </c>
      <c r="BE17">
        <v>0</v>
      </c>
      <c r="BF17">
        <v>0</v>
      </c>
      <c r="BG17">
        <v>0</v>
      </c>
      <c r="BH17">
        <v>0</v>
      </c>
      <c r="BI17" t="s">
        <v>46</v>
      </c>
      <c r="BJ17">
        <v>0</v>
      </c>
      <c r="BK17">
        <v>-3.4466999999999999E-4</v>
      </c>
      <c r="BL17">
        <v>0</v>
      </c>
      <c r="BN17" s="7">
        <f t="shared" si="0"/>
        <v>7.7857010060452484E-4</v>
      </c>
    </row>
    <row r="18" spans="1:66" x14ac:dyDescent="0.35">
      <c r="A18">
        <v>0</v>
      </c>
      <c r="B18" t="s">
        <v>42</v>
      </c>
      <c r="C18" t="s">
        <v>37</v>
      </c>
      <c r="D18">
        <v>0</v>
      </c>
      <c r="E18" t="s">
        <v>42</v>
      </c>
      <c r="F18" t="s">
        <v>43</v>
      </c>
      <c r="G18">
        <v>3131.1640459999999</v>
      </c>
      <c r="H18" t="s">
        <v>37</v>
      </c>
      <c r="I18">
        <v>0</v>
      </c>
      <c r="J18">
        <v>3131.1640459999999</v>
      </c>
      <c r="K18" t="s">
        <v>44</v>
      </c>
      <c r="L18" t="s">
        <v>45</v>
      </c>
      <c r="M18" t="s">
        <v>46</v>
      </c>
      <c r="N18" t="s">
        <v>44</v>
      </c>
      <c r="O18" t="s">
        <v>42</v>
      </c>
      <c r="P18" t="s">
        <v>42</v>
      </c>
      <c r="Q18" t="s">
        <v>42</v>
      </c>
      <c r="R18" t="s">
        <v>42</v>
      </c>
      <c r="S18" t="s">
        <v>42</v>
      </c>
      <c r="T18" t="s">
        <v>45</v>
      </c>
      <c r="U18">
        <v>0</v>
      </c>
      <c r="V18">
        <v>0</v>
      </c>
      <c r="W18">
        <v>0</v>
      </c>
      <c r="X18">
        <v>1</v>
      </c>
      <c r="Y18">
        <v>2</v>
      </c>
      <c r="Z18" t="s">
        <v>46</v>
      </c>
      <c r="AA18" t="s">
        <v>37</v>
      </c>
      <c r="AB18" t="s">
        <v>44</v>
      </c>
      <c r="AC18" t="s">
        <v>45</v>
      </c>
      <c r="AD18" t="s">
        <v>46</v>
      </c>
      <c r="AE18" t="s">
        <v>44</v>
      </c>
      <c r="AF18" t="s">
        <v>42</v>
      </c>
      <c r="AG18" t="s">
        <v>42</v>
      </c>
      <c r="AH18" t="s">
        <v>42</v>
      </c>
      <c r="AI18" t="s">
        <v>42</v>
      </c>
      <c r="AJ18" t="s">
        <v>42</v>
      </c>
      <c r="AK18" t="s">
        <v>45</v>
      </c>
      <c r="AL18">
        <v>0</v>
      </c>
      <c r="AM18">
        <v>0</v>
      </c>
      <c r="AN18">
        <v>0</v>
      </c>
      <c r="AO18">
        <v>0</v>
      </c>
      <c r="AP18">
        <v>0</v>
      </c>
      <c r="AQ18" t="s">
        <v>46</v>
      </c>
      <c r="AR18" s="6">
        <v>4.77770633E-3</v>
      </c>
      <c r="AS18" s="6">
        <v>2.9746327600000001E-20</v>
      </c>
      <c r="AT18">
        <v>1</v>
      </c>
      <c r="AU18" t="s">
        <v>47</v>
      </c>
      <c r="AV18">
        <v>0</v>
      </c>
      <c r="AW18">
        <v>0</v>
      </c>
      <c r="AX18">
        <v>0</v>
      </c>
      <c r="AY18">
        <v>1</v>
      </c>
      <c r="AZ18">
        <v>2</v>
      </c>
      <c r="BA18" t="s">
        <v>46</v>
      </c>
      <c r="BB18" t="s">
        <v>37</v>
      </c>
      <c r="BC18" t="s">
        <v>47</v>
      </c>
      <c r="BD18">
        <v>0</v>
      </c>
      <c r="BE18">
        <v>0</v>
      </c>
      <c r="BF18">
        <v>0</v>
      </c>
      <c r="BG18">
        <v>0</v>
      </c>
      <c r="BH18">
        <v>0</v>
      </c>
      <c r="BI18" t="s">
        <v>46</v>
      </c>
      <c r="BJ18">
        <v>1.4834900000000001E-3</v>
      </c>
      <c r="BK18">
        <v>0</v>
      </c>
      <c r="BL18">
        <v>4.54156E-3</v>
      </c>
      <c r="BN18" s="7">
        <f t="shared" si="0"/>
        <v>0.17913657309012609</v>
      </c>
    </row>
    <row r="19" spans="1:66" x14ac:dyDescent="0.35">
      <c r="A19">
        <v>0</v>
      </c>
      <c r="B19" t="s">
        <v>42</v>
      </c>
      <c r="C19" t="s">
        <v>37</v>
      </c>
      <c r="D19">
        <v>0</v>
      </c>
      <c r="E19" t="s">
        <v>42</v>
      </c>
      <c r="F19" t="s">
        <v>43</v>
      </c>
      <c r="G19">
        <v>3702.4249049999999</v>
      </c>
      <c r="H19" t="s">
        <v>37</v>
      </c>
      <c r="I19">
        <v>0</v>
      </c>
      <c r="J19">
        <v>3702.4249049999999</v>
      </c>
      <c r="K19" t="s">
        <v>44</v>
      </c>
      <c r="L19" t="s">
        <v>45</v>
      </c>
      <c r="M19" t="s">
        <v>46</v>
      </c>
      <c r="N19" t="s">
        <v>44</v>
      </c>
      <c r="O19" t="s">
        <v>42</v>
      </c>
      <c r="P19" t="s">
        <v>42</v>
      </c>
      <c r="Q19" t="s">
        <v>42</v>
      </c>
      <c r="R19" t="s">
        <v>42</v>
      </c>
      <c r="S19" t="s">
        <v>42</v>
      </c>
      <c r="T19" t="s">
        <v>45</v>
      </c>
      <c r="U19">
        <v>0</v>
      </c>
      <c r="V19">
        <v>0</v>
      </c>
      <c r="W19">
        <v>0</v>
      </c>
      <c r="X19">
        <v>0</v>
      </c>
      <c r="Y19">
        <v>2</v>
      </c>
      <c r="Z19" t="s">
        <v>50</v>
      </c>
      <c r="AA19" t="s">
        <v>37</v>
      </c>
      <c r="AB19" t="s">
        <v>44</v>
      </c>
      <c r="AC19" t="s">
        <v>45</v>
      </c>
      <c r="AD19" t="s">
        <v>46</v>
      </c>
      <c r="AE19" t="s">
        <v>44</v>
      </c>
      <c r="AF19" t="s">
        <v>42</v>
      </c>
      <c r="AG19" t="s">
        <v>42</v>
      </c>
      <c r="AH19" t="s">
        <v>42</v>
      </c>
      <c r="AI19" t="s">
        <v>42</v>
      </c>
      <c r="AJ19" t="s">
        <v>42</v>
      </c>
      <c r="AK19" t="s">
        <v>45</v>
      </c>
      <c r="AL19">
        <v>0</v>
      </c>
      <c r="AM19">
        <v>0</v>
      </c>
      <c r="AN19">
        <v>0</v>
      </c>
      <c r="AO19">
        <v>0</v>
      </c>
      <c r="AP19">
        <v>0</v>
      </c>
      <c r="AQ19" t="s">
        <v>46</v>
      </c>
      <c r="AR19" s="6">
        <v>1.06806004E-7</v>
      </c>
      <c r="AS19" s="6">
        <v>1.7579601999999999E-29</v>
      </c>
      <c r="AT19">
        <v>1</v>
      </c>
      <c r="AU19" t="s">
        <v>47</v>
      </c>
      <c r="AV19">
        <v>0</v>
      </c>
      <c r="AW19">
        <v>0</v>
      </c>
      <c r="AX19">
        <v>0</v>
      </c>
      <c r="AY19">
        <v>0</v>
      </c>
      <c r="AZ19">
        <v>2</v>
      </c>
      <c r="BA19" t="s">
        <v>50</v>
      </c>
      <c r="BB19" t="s">
        <v>37</v>
      </c>
      <c r="BC19" t="s">
        <v>47</v>
      </c>
      <c r="BD19">
        <v>0</v>
      </c>
      <c r="BE19">
        <v>0</v>
      </c>
      <c r="BF19">
        <v>0</v>
      </c>
      <c r="BG19">
        <v>0</v>
      </c>
      <c r="BH19">
        <v>0</v>
      </c>
      <c r="BI19" t="s">
        <v>46</v>
      </c>
      <c r="BJ19">
        <v>4.9999999999999998E-8</v>
      </c>
      <c r="BK19">
        <v>0</v>
      </c>
      <c r="BL19">
        <v>9.9999999999999995E-8</v>
      </c>
      <c r="BN19" s="7">
        <f t="shared" si="0"/>
        <v>1.0586683845196159E-10</v>
      </c>
    </row>
    <row r="20" spans="1:66" x14ac:dyDescent="0.35">
      <c r="A20">
        <v>0</v>
      </c>
      <c r="B20" t="s">
        <v>42</v>
      </c>
      <c r="C20" t="s">
        <v>37</v>
      </c>
      <c r="D20">
        <v>0</v>
      </c>
      <c r="E20" t="s">
        <v>42</v>
      </c>
      <c r="F20" t="s">
        <v>43</v>
      </c>
      <c r="G20">
        <v>2526.1756540000001</v>
      </c>
      <c r="H20" t="s">
        <v>37</v>
      </c>
      <c r="I20">
        <v>0</v>
      </c>
      <c r="J20">
        <v>2526.1756540000001</v>
      </c>
      <c r="K20" t="s">
        <v>44</v>
      </c>
      <c r="L20" t="s">
        <v>45</v>
      </c>
      <c r="M20" t="s">
        <v>46</v>
      </c>
      <c r="N20" t="s">
        <v>44</v>
      </c>
      <c r="O20" t="s">
        <v>42</v>
      </c>
      <c r="P20" t="s">
        <v>42</v>
      </c>
      <c r="Q20" t="s">
        <v>42</v>
      </c>
      <c r="R20" t="s">
        <v>42</v>
      </c>
      <c r="S20" t="s">
        <v>42</v>
      </c>
      <c r="T20" t="s">
        <v>45</v>
      </c>
      <c r="U20">
        <v>0</v>
      </c>
      <c r="V20">
        <v>0</v>
      </c>
      <c r="W20">
        <v>0</v>
      </c>
      <c r="X20">
        <v>3</v>
      </c>
      <c r="Y20">
        <v>1</v>
      </c>
      <c r="Z20" t="s">
        <v>46</v>
      </c>
      <c r="AA20" t="s">
        <v>37</v>
      </c>
      <c r="AB20" t="s">
        <v>44</v>
      </c>
      <c r="AC20" t="s">
        <v>45</v>
      </c>
      <c r="AD20" t="s">
        <v>46</v>
      </c>
      <c r="AE20" t="s">
        <v>44</v>
      </c>
      <c r="AF20" t="s">
        <v>42</v>
      </c>
      <c r="AG20" t="s">
        <v>42</v>
      </c>
      <c r="AH20" t="s">
        <v>42</v>
      </c>
      <c r="AI20" t="s">
        <v>42</v>
      </c>
      <c r="AJ20" t="s">
        <v>42</v>
      </c>
      <c r="AK20" t="s">
        <v>45</v>
      </c>
      <c r="AL20">
        <v>0</v>
      </c>
      <c r="AM20">
        <v>0</v>
      </c>
      <c r="AN20">
        <v>0</v>
      </c>
      <c r="AO20">
        <v>0</v>
      </c>
      <c r="AP20">
        <v>0</v>
      </c>
      <c r="AQ20" t="s">
        <v>46</v>
      </c>
      <c r="AR20" s="6">
        <v>7.3792211400000005E-5</v>
      </c>
      <c r="AS20" s="6">
        <v>5.7216806699999999E-24</v>
      </c>
      <c r="AT20">
        <v>1</v>
      </c>
      <c r="AU20" t="s">
        <v>47</v>
      </c>
      <c r="AV20">
        <v>0</v>
      </c>
      <c r="AW20">
        <v>0</v>
      </c>
      <c r="AX20">
        <v>0</v>
      </c>
      <c r="AY20">
        <v>3</v>
      </c>
      <c r="AZ20">
        <v>1</v>
      </c>
      <c r="BA20" t="s">
        <v>46</v>
      </c>
      <c r="BB20" t="s">
        <v>37</v>
      </c>
      <c r="BC20" t="s">
        <v>47</v>
      </c>
      <c r="BD20">
        <v>0</v>
      </c>
      <c r="BE20">
        <v>0</v>
      </c>
      <c r="BF20">
        <v>0</v>
      </c>
      <c r="BG20">
        <v>0</v>
      </c>
      <c r="BH20">
        <v>0</v>
      </c>
      <c r="BI20" t="s">
        <v>46</v>
      </c>
      <c r="BJ20">
        <v>6.9919999999999995E-5</v>
      </c>
      <c r="BK20">
        <v>0</v>
      </c>
      <c r="BL20">
        <v>2.3589999999999999E-5</v>
      </c>
      <c r="BN20" s="7">
        <f t="shared" si="0"/>
        <v>3.4456766607378336E-5</v>
      </c>
    </row>
    <row r="21" spans="1:66" x14ac:dyDescent="0.35">
      <c r="A21">
        <v>0</v>
      </c>
      <c r="B21" t="s">
        <v>42</v>
      </c>
      <c r="C21" t="s">
        <v>37</v>
      </c>
      <c r="D21">
        <v>0</v>
      </c>
      <c r="E21" t="s">
        <v>42</v>
      </c>
      <c r="F21" t="s">
        <v>43</v>
      </c>
      <c r="G21">
        <v>2691.5549940000001</v>
      </c>
      <c r="H21" t="s">
        <v>37</v>
      </c>
      <c r="I21">
        <v>0</v>
      </c>
      <c r="J21">
        <v>2691.5549940000001</v>
      </c>
      <c r="K21" t="s">
        <v>44</v>
      </c>
      <c r="L21" t="s">
        <v>45</v>
      </c>
      <c r="M21" t="s">
        <v>46</v>
      </c>
      <c r="N21" t="s">
        <v>44</v>
      </c>
      <c r="O21" t="s">
        <v>42</v>
      </c>
      <c r="P21" t="s">
        <v>42</v>
      </c>
      <c r="Q21" t="s">
        <v>42</v>
      </c>
      <c r="R21" t="s">
        <v>42</v>
      </c>
      <c r="S21" t="s">
        <v>42</v>
      </c>
      <c r="T21" t="s">
        <v>45</v>
      </c>
      <c r="U21">
        <v>0</v>
      </c>
      <c r="V21">
        <v>0</v>
      </c>
      <c r="W21">
        <v>0</v>
      </c>
      <c r="X21">
        <v>0</v>
      </c>
      <c r="Y21">
        <v>2</v>
      </c>
      <c r="Z21" t="s">
        <v>46</v>
      </c>
      <c r="AA21" t="s">
        <v>37</v>
      </c>
      <c r="AB21" t="s">
        <v>44</v>
      </c>
      <c r="AC21" t="s">
        <v>45</v>
      </c>
      <c r="AD21" t="s">
        <v>46</v>
      </c>
      <c r="AE21" t="s">
        <v>44</v>
      </c>
      <c r="AF21" t="s">
        <v>42</v>
      </c>
      <c r="AG21" t="s">
        <v>42</v>
      </c>
      <c r="AH21" t="s">
        <v>42</v>
      </c>
      <c r="AI21" t="s">
        <v>42</v>
      </c>
      <c r="AJ21" t="s">
        <v>42</v>
      </c>
      <c r="AK21" t="s">
        <v>45</v>
      </c>
      <c r="AL21">
        <v>0</v>
      </c>
      <c r="AM21">
        <v>0</v>
      </c>
      <c r="AN21">
        <v>0</v>
      </c>
      <c r="AO21">
        <v>0</v>
      </c>
      <c r="AP21">
        <v>0</v>
      </c>
      <c r="AQ21" t="s">
        <v>46</v>
      </c>
      <c r="AR21" s="6">
        <v>1.5106919599999999E-2</v>
      </c>
      <c r="AS21" s="6">
        <v>2.5556934099999998E-19</v>
      </c>
      <c r="AT21">
        <v>1</v>
      </c>
      <c r="AU21" t="s">
        <v>47</v>
      </c>
      <c r="AV21">
        <v>0</v>
      </c>
      <c r="AW21">
        <v>0</v>
      </c>
      <c r="AX21">
        <v>0</v>
      </c>
      <c r="AY21">
        <v>0</v>
      </c>
      <c r="AZ21">
        <v>2</v>
      </c>
      <c r="BA21" t="s">
        <v>46</v>
      </c>
      <c r="BB21" t="s">
        <v>37</v>
      </c>
      <c r="BC21" t="s">
        <v>47</v>
      </c>
      <c r="BD21">
        <v>0</v>
      </c>
      <c r="BE21">
        <v>0</v>
      </c>
      <c r="BF21">
        <v>0</v>
      </c>
      <c r="BG21">
        <v>0</v>
      </c>
      <c r="BH21">
        <v>0</v>
      </c>
      <c r="BI21" t="s">
        <v>46</v>
      </c>
      <c r="BJ21">
        <v>4.7227900000000001E-3</v>
      </c>
      <c r="BK21">
        <v>0</v>
      </c>
      <c r="BL21">
        <v>-1.434971E-2</v>
      </c>
      <c r="BN21" s="7">
        <f t="shared" si="0"/>
        <v>1.5390745556652126</v>
      </c>
    </row>
    <row r="22" spans="1:66" x14ac:dyDescent="0.35">
      <c r="A22">
        <v>0</v>
      </c>
      <c r="B22" t="s">
        <v>48</v>
      </c>
      <c r="C22" t="s">
        <v>37</v>
      </c>
      <c r="D22">
        <v>0</v>
      </c>
      <c r="E22" t="s">
        <v>42</v>
      </c>
      <c r="F22" t="s">
        <v>43</v>
      </c>
      <c r="G22">
        <v>3829.9983649999999</v>
      </c>
      <c r="H22" t="s">
        <v>37</v>
      </c>
      <c r="I22">
        <v>0</v>
      </c>
      <c r="J22">
        <v>3829.9983649999999</v>
      </c>
      <c r="K22" t="s">
        <v>44</v>
      </c>
      <c r="L22" t="s">
        <v>45</v>
      </c>
      <c r="M22" t="s">
        <v>46</v>
      </c>
      <c r="N22" t="s">
        <v>44</v>
      </c>
      <c r="O22" t="s">
        <v>42</v>
      </c>
      <c r="P22" t="s">
        <v>42</v>
      </c>
      <c r="Q22" t="s">
        <v>42</v>
      </c>
      <c r="R22" t="s">
        <v>42</v>
      </c>
      <c r="S22" t="s">
        <v>48</v>
      </c>
      <c r="T22" t="s">
        <v>45</v>
      </c>
      <c r="U22">
        <v>0</v>
      </c>
      <c r="V22">
        <v>0</v>
      </c>
      <c r="W22">
        <v>0</v>
      </c>
      <c r="X22">
        <v>1</v>
      </c>
      <c r="Y22">
        <v>2</v>
      </c>
      <c r="Z22" t="s">
        <v>49</v>
      </c>
      <c r="AA22" t="s">
        <v>37</v>
      </c>
      <c r="AB22" t="s">
        <v>44</v>
      </c>
      <c r="AC22" t="s">
        <v>45</v>
      </c>
      <c r="AD22" t="s">
        <v>46</v>
      </c>
      <c r="AE22" t="s">
        <v>44</v>
      </c>
      <c r="AF22" t="s">
        <v>42</v>
      </c>
      <c r="AG22" t="s">
        <v>42</v>
      </c>
      <c r="AH22" t="s">
        <v>42</v>
      </c>
      <c r="AI22" t="s">
        <v>42</v>
      </c>
      <c r="AJ22" t="s">
        <v>42</v>
      </c>
      <c r="AK22" t="s">
        <v>45</v>
      </c>
      <c r="AL22">
        <v>0</v>
      </c>
      <c r="AM22">
        <v>0</v>
      </c>
      <c r="AN22">
        <v>0</v>
      </c>
      <c r="AO22">
        <v>0</v>
      </c>
      <c r="AP22">
        <v>0</v>
      </c>
      <c r="AQ22" t="s">
        <v>46</v>
      </c>
      <c r="AR22" s="6">
        <v>4.7331384299999999E-4</v>
      </c>
      <c r="AS22" s="6">
        <v>3.5713432699999999E-22</v>
      </c>
      <c r="AT22">
        <v>1</v>
      </c>
      <c r="AU22" t="s">
        <v>47</v>
      </c>
      <c r="AV22">
        <v>0</v>
      </c>
      <c r="AW22">
        <v>0</v>
      </c>
      <c r="AX22">
        <v>0</v>
      </c>
      <c r="AY22">
        <v>1</v>
      </c>
      <c r="AZ22">
        <v>2</v>
      </c>
      <c r="BA22" t="s">
        <v>49</v>
      </c>
      <c r="BB22" t="s">
        <v>37</v>
      </c>
      <c r="BC22" t="s">
        <v>47</v>
      </c>
      <c r="BD22">
        <v>0</v>
      </c>
      <c r="BE22">
        <v>0</v>
      </c>
      <c r="BF22">
        <v>0</v>
      </c>
      <c r="BG22">
        <v>0</v>
      </c>
      <c r="BH22">
        <v>0</v>
      </c>
      <c r="BI22" t="s">
        <v>46</v>
      </c>
      <c r="BJ22">
        <v>0</v>
      </c>
      <c r="BK22">
        <v>-4.7331000000000001E-4</v>
      </c>
      <c r="BL22">
        <v>0</v>
      </c>
      <c r="BN22" s="7">
        <f t="shared" si="0"/>
        <v>2.1507132017072415E-3</v>
      </c>
    </row>
    <row r="23" spans="1:66" x14ac:dyDescent="0.35">
      <c r="A23">
        <v>0</v>
      </c>
      <c r="B23" t="s">
        <v>42</v>
      </c>
      <c r="C23" t="s">
        <v>37</v>
      </c>
      <c r="D23">
        <v>0</v>
      </c>
      <c r="E23" t="s">
        <v>42</v>
      </c>
      <c r="F23" t="s">
        <v>43</v>
      </c>
      <c r="G23">
        <v>1166.4062899999999</v>
      </c>
      <c r="H23" t="s">
        <v>37</v>
      </c>
      <c r="I23">
        <v>0</v>
      </c>
      <c r="J23">
        <v>1166.4062899999999</v>
      </c>
      <c r="K23" t="s">
        <v>44</v>
      </c>
      <c r="L23" t="s">
        <v>45</v>
      </c>
      <c r="M23" t="s">
        <v>46</v>
      </c>
      <c r="N23" t="s">
        <v>44</v>
      </c>
      <c r="O23" t="s">
        <v>42</v>
      </c>
      <c r="P23" t="s">
        <v>42</v>
      </c>
      <c r="Q23" t="s">
        <v>42</v>
      </c>
      <c r="R23" t="s">
        <v>42</v>
      </c>
      <c r="S23" t="s">
        <v>42</v>
      </c>
      <c r="T23" t="s">
        <v>45</v>
      </c>
      <c r="U23">
        <v>0</v>
      </c>
      <c r="V23">
        <v>0</v>
      </c>
      <c r="W23">
        <v>0</v>
      </c>
      <c r="X23">
        <v>0</v>
      </c>
      <c r="Y23">
        <v>1</v>
      </c>
      <c r="Z23" t="s">
        <v>46</v>
      </c>
      <c r="AA23" t="s">
        <v>37</v>
      </c>
      <c r="AB23" t="s">
        <v>44</v>
      </c>
      <c r="AC23" t="s">
        <v>45</v>
      </c>
      <c r="AD23" t="s">
        <v>46</v>
      </c>
      <c r="AE23" t="s">
        <v>44</v>
      </c>
      <c r="AF23" t="s">
        <v>42</v>
      </c>
      <c r="AG23" t="s">
        <v>42</v>
      </c>
      <c r="AH23" t="s">
        <v>42</v>
      </c>
      <c r="AI23" t="s">
        <v>42</v>
      </c>
      <c r="AJ23" t="s">
        <v>42</v>
      </c>
      <c r="AK23" t="s">
        <v>45</v>
      </c>
      <c r="AL23">
        <v>0</v>
      </c>
      <c r="AM23">
        <v>0</v>
      </c>
      <c r="AN23">
        <v>0</v>
      </c>
      <c r="AO23">
        <v>0</v>
      </c>
      <c r="AP23">
        <v>0</v>
      </c>
      <c r="AQ23" t="s">
        <v>46</v>
      </c>
      <c r="AR23" s="6">
        <v>8.0188265300000006E-2</v>
      </c>
      <c r="AS23" s="6">
        <v>3.0130258600000001E-18</v>
      </c>
      <c r="AT23">
        <v>1</v>
      </c>
      <c r="AU23" t="s">
        <v>47</v>
      </c>
      <c r="AV23">
        <v>0</v>
      </c>
      <c r="AW23">
        <v>0</v>
      </c>
      <c r="AX23">
        <v>0</v>
      </c>
      <c r="AY23">
        <v>0</v>
      </c>
      <c r="AZ23">
        <v>1</v>
      </c>
      <c r="BA23" t="s">
        <v>46</v>
      </c>
      <c r="BB23" t="s">
        <v>37</v>
      </c>
      <c r="BC23" t="s">
        <v>47</v>
      </c>
      <c r="BD23">
        <v>0</v>
      </c>
      <c r="BE23">
        <v>0</v>
      </c>
      <c r="BF23">
        <v>0</v>
      </c>
      <c r="BG23">
        <v>0</v>
      </c>
      <c r="BH23">
        <v>0</v>
      </c>
      <c r="BI23" t="s">
        <v>46</v>
      </c>
      <c r="BJ23">
        <v>-2.9819680000000001E-2</v>
      </c>
      <c r="BK23">
        <v>0</v>
      </c>
      <c r="BL23">
        <v>7.4437519999999993E-2</v>
      </c>
      <c r="BN23" s="7">
        <f t="shared" si="0"/>
        <v>18.144865962961088</v>
      </c>
    </row>
    <row r="24" spans="1:66" x14ac:dyDescent="0.35">
      <c r="A24">
        <v>0</v>
      </c>
      <c r="B24" t="s">
        <v>48</v>
      </c>
      <c r="C24" t="s">
        <v>37</v>
      </c>
      <c r="D24">
        <v>0</v>
      </c>
      <c r="E24" t="s">
        <v>42</v>
      </c>
      <c r="F24" t="s">
        <v>43</v>
      </c>
      <c r="G24">
        <v>1945.7274460000001</v>
      </c>
      <c r="H24" t="s">
        <v>37</v>
      </c>
      <c r="I24">
        <v>0</v>
      </c>
      <c r="J24">
        <v>1945.7274460000001</v>
      </c>
      <c r="K24" t="s">
        <v>44</v>
      </c>
      <c r="L24" t="s">
        <v>45</v>
      </c>
      <c r="M24" t="s">
        <v>46</v>
      </c>
      <c r="N24" t="s">
        <v>44</v>
      </c>
      <c r="O24" t="s">
        <v>42</v>
      </c>
      <c r="P24" t="s">
        <v>42</v>
      </c>
      <c r="Q24" t="s">
        <v>42</v>
      </c>
      <c r="R24" t="s">
        <v>42</v>
      </c>
      <c r="S24" t="s">
        <v>48</v>
      </c>
      <c r="T24" t="s">
        <v>45</v>
      </c>
      <c r="U24">
        <v>0</v>
      </c>
      <c r="V24">
        <v>0</v>
      </c>
      <c r="W24">
        <v>0</v>
      </c>
      <c r="X24">
        <v>3</v>
      </c>
      <c r="Y24">
        <v>0</v>
      </c>
      <c r="Z24" t="s">
        <v>49</v>
      </c>
      <c r="AA24" t="s">
        <v>37</v>
      </c>
      <c r="AB24" t="s">
        <v>44</v>
      </c>
      <c r="AC24" t="s">
        <v>45</v>
      </c>
      <c r="AD24" t="s">
        <v>46</v>
      </c>
      <c r="AE24" t="s">
        <v>44</v>
      </c>
      <c r="AF24" t="s">
        <v>42</v>
      </c>
      <c r="AG24" t="s">
        <v>42</v>
      </c>
      <c r="AH24" t="s">
        <v>42</v>
      </c>
      <c r="AI24" t="s">
        <v>42</v>
      </c>
      <c r="AJ24" t="s">
        <v>42</v>
      </c>
      <c r="AK24" t="s">
        <v>45</v>
      </c>
      <c r="AL24">
        <v>0</v>
      </c>
      <c r="AM24">
        <v>0</v>
      </c>
      <c r="AN24">
        <v>0</v>
      </c>
      <c r="AO24">
        <v>0</v>
      </c>
      <c r="AP24">
        <v>0</v>
      </c>
      <c r="AQ24" t="s">
        <v>46</v>
      </c>
      <c r="AR24" s="6">
        <v>2.2371013999999999E-4</v>
      </c>
      <c r="AS24" s="6">
        <v>4.0381674499999999E-23</v>
      </c>
      <c r="AT24">
        <v>1</v>
      </c>
      <c r="AU24" t="s">
        <v>47</v>
      </c>
      <c r="AV24">
        <v>0</v>
      </c>
      <c r="AW24">
        <v>0</v>
      </c>
      <c r="AX24">
        <v>0</v>
      </c>
      <c r="AY24">
        <v>3</v>
      </c>
      <c r="AZ24">
        <v>0</v>
      </c>
      <c r="BA24" t="s">
        <v>49</v>
      </c>
      <c r="BB24" t="s">
        <v>37</v>
      </c>
      <c r="BC24" t="s">
        <v>47</v>
      </c>
      <c r="BD24">
        <v>0</v>
      </c>
      <c r="BE24">
        <v>0</v>
      </c>
      <c r="BF24">
        <v>0</v>
      </c>
      <c r="BG24">
        <v>0</v>
      </c>
      <c r="BH24">
        <v>0</v>
      </c>
      <c r="BI24" t="s">
        <v>46</v>
      </c>
      <c r="BJ24">
        <v>0</v>
      </c>
      <c r="BK24">
        <v>-2.2371000000000001E-4</v>
      </c>
      <c r="BL24">
        <v>0</v>
      </c>
      <c r="BN24" s="7">
        <f t="shared" si="0"/>
        <v>2.4318412957876958E-4</v>
      </c>
    </row>
    <row r="25" spans="1:66" x14ac:dyDescent="0.35">
      <c r="A25">
        <v>0</v>
      </c>
      <c r="B25" t="s">
        <v>42</v>
      </c>
      <c r="C25" t="s">
        <v>37</v>
      </c>
      <c r="D25">
        <v>0</v>
      </c>
      <c r="E25" t="s">
        <v>42</v>
      </c>
      <c r="F25" t="s">
        <v>43</v>
      </c>
      <c r="G25">
        <v>2374.6342209999998</v>
      </c>
      <c r="H25" t="s">
        <v>37</v>
      </c>
      <c r="I25">
        <v>0</v>
      </c>
      <c r="J25">
        <v>2374.6342209999998</v>
      </c>
      <c r="K25" t="s">
        <v>44</v>
      </c>
      <c r="L25" t="s">
        <v>45</v>
      </c>
      <c r="M25" t="s">
        <v>46</v>
      </c>
      <c r="N25" t="s">
        <v>44</v>
      </c>
      <c r="O25" t="s">
        <v>42</v>
      </c>
      <c r="P25" t="s">
        <v>42</v>
      </c>
      <c r="Q25" t="s">
        <v>42</v>
      </c>
      <c r="R25" t="s">
        <v>42</v>
      </c>
      <c r="S25" t="s">
        <v>42</v>
      </c>
      <c r="T25" t="s">
        <v>45</v>
      </c>
      <c r="U25">
        <v>0</v>
      </c>
      <c r="V25">
        <v>1</v>
      </c>
      <c r="W25">
        <v>0</v>
      </c>
      <c r="X25">
        <v>0</v>
      </c>
      <c r="Y25">
        <v>1</v>
      </c>
      <c r="Z25" t="s">
        <v>46</v>
      </c>
      <c r="AA25" t="s">
        <v>37</v>
      </c>
      <c r="AB25" t="s">
        <v>44</v>
      </c>
      <c r="AC25" t="s">
        <v>45</v>
      </c>
      <c r="AD25" t="s">
        <v>46</v>
      </c>
      <c r="AE25" t="s">
        <v>44</v>
      </c>
      <c r="AF25" t="s">
        <v>42</v>
      </c>
      <c r="AG25" t="s">
        <v>42</v>
      </c>
      <c r="AH25" t="s">
        <v>42</v>
      </c>
      <c r="AI25" t="s">
        <v>42</v>
      </c>
      <c r="AJ25" t="s">
        <v>42</v>
      </c>
      <c r="AK25" t="s">
        <v>45</v>
      </c>
      <c r="AL25">
        <v>0</v>
      </c>
      <c r="AM25">
        <v>0</v>
      </c>
      <c r="AN25">
        <v>0</v>
      </c>
      <c r="AO25">
        <v>0</v>
      </c>
      <c r="AP25">
        <v>0</v>
      </c>
      <c r="AQ25" t="s">
        <v>46</v>
      </c>
      <c r="AR25" s="6">
        <v>9.3190159699999995E-4</v>
      </c>
      <c r="AS25" s="6">
        <v>8.5745298699999998E-22</v>
      </c>
      <c r="AT25">
        <v>1</v>
      </c>
      <c r="AU25" t="s">
        <v>47</v>
      </c>
      <c r="AV25">
        <v>0</v>
      </c>
      <c r="AW25">
        <v>1</v>
      </c>
      <c r="AX25">
        <v>0</v>
      </c>
      <c r="AY25">
        <v>0</v>
      </c>
      <c r="AZ25">
        <v>1</v>
      </c>
      <c r="BA25" t="s">
        <v>46</v>
      </c>
      <c r="BB25" t="s">
        <v>37</v>
      </c>
      <c r="BC25" t="s">
        <v>47</v>
      </c>
      <c r="BD25">
        <v>0</v>
      </c>
      <c r="BE25">
        <v>0</v>
      </c>
      <c r="BF25">
        <v>0</v>
      </c>
      <c r="BG25">
        <v>0</v>
      </c>
      <c r="BH25">
        <v>0</v>
      </c>
      <c r="BI25" t="s">
        <v>46</v>
      </c>
      <c r="BJ25">
        <v>6.6043000000000004E-4</v>
      </c>
      <c r="BK25">
        <v>0</v>
      </c>
      <c r="BL25">
        <v>6.5748E-4</v>
      </c>
      <c r="BN25" s="7">
        <f t="shared" si="0"/>
        <v>5.1637026170945691E-3</v>
      </c>
    </row>
    <row r="26" spans="1:66" x14ac:dyDescent="0.35">
      <c r="A26">
        <v>0</v>
      </c>
      <c r="B26" t="s">
        <v>42</v>
      </c>
      <c r="C26" t="s">
        <v>37</v>
      </c>
      <c r="D26">
        <v>0</v>
      </c>
      <c r="E26" t="s">
        <v>42</v>
      </c>
      <c r="F26" t="s">
        <v>43</v>
      </c>
      <c r="G26">
        <v>1504.4729500000001</v>
      </c>
      <c r="H26" t="s">
        <v>37</v>
      </c>
      <c r="I26">
        <v>0</v>
      </c>
      <c r="J26">
        <v>1504.4729500000001</v>
      </c>
      <c r="K26" t="s">
        <v>44</v>
      </c>
      <c r="L26" t="s">
        <v>45</v>
      </c>
      <c r="M26" t="s">
        <v>46</v>
      </c>
      <c r="N26" t="s">
        <v>44</v>
      </c>
      <c r="O26" t="s">
        <v>42</v>
      </c>
      <c r="P26" t="s">
        <v>42</v>
      </c>
      <c r="Q26" t="s">
        <v>42</v>
      </c>
      <c r="R26" t="s">
        <v>42</v>
      </c>
      <c r="S26" t="s">
        <v>42</v>
      </c>
      <c r="T26" t="s">
        <v>45</v>
      </c>
      <c r="U26">
        <v>0</v>
      </c>
      <c r="V26">
        <v>0</v>
      </c>
      <c r="W26">
        <v>0</v>
      </c>
      <c r="X26">
        <v>1</v>
      </c>
      <c r="Y26">
        <v>0</v>
      </c>
      <c r="Z26" t="s">
        <v>52</v>
      </c>
      <c r="AA26" t="s">
        <v>37</v>
      </c>
      <c r="AB26" t="s">
        <v>44</v>
      </c>
      <c r="AC26" t="s">
        <v>45</v>
      </c>
      <c r="AD26" t="s">
        <v>46</v>
      </c>
      <c r="AE26" t="s">
        <v>44</v>
      </c>
      <c r="AF26" t="s">
        <v>42</v>
      </c>
      <c r="AG26" t="s">
        <v>42</v>
      </c>
      <c r="AH26" t="s">
        <v>42</v>
      </c>
      <c r="AI26" t="s">
        <v>42</v>
      </c>
      <c r="AJ26" t="s">
        <v>42</v>
      </c>
      <c r="AK26" t="s">
        <v>45</v>
      </c>
      <c r="AL26">
        <v>0</v>
      </c>
      <c r="AM26">
        <v>0</v>
      </c>
      <c r="AN26">
        <v>0</v>
      </c>
      <c r="AO26">
        <v>0</v>
      </c>
      <c r="AP26">
        <v>0</v>
      </c>
      <c r="AQ26" t="s">
        <v>46</v>
      </c>
      <c r="AR26" s="6">
        <v>6.7160190999999998E-3</v>
      </c>
      <c r="AS26" s="6">
        <v>2.7873310499999997E-20</v>
      </c>
      <c r="AT26">
        <v>1</v>
      </c>
      <c r="AU26" t="s">
        <v>47</v>
      </c>
      <c r="AV26">
        <v>0</v>
      </c>
      <c r="AW26">
        <v>0</v>
      </c>
      <c r="AX26">
        <v>0</v>
      </c>
      <c r="AY26">
        <v>1</v>
      </c>
      <c r="AZ26">
        <v>0</v>
      </c>
      <c r="BA26" t="s">
        <v>52</v>
      </c>
      <c r="BB26" t="s">
        <v>37</v>
      </c>
      <c r="BC26" t="s">
        <v>47</v>
      </c>
      <c r="BD26">
        <v>0</v>
      </c>
      <c r="BE26">
        <v>0</v>
      </c>
      <c r="BF26">
        <v>0</v>
      </c>
      <c r="BG26">
        <v>0</v>
      </c>
      <c r="BH26">
        <v>0</v>
      </c>
      <c r="BI26" t="s">
        <v>46</v>
      </c>
      <c r="BJ26">
        <v>-4.34206E-3</v>
      </c>
      <c r="BK26">
        <v>0</v>
      </c>
      <c r="BL26">
        <v>5.1236099999999998E-3</v>
      </c>
      <c r="BN26" s="7">
        <f t="shared" si="0"/>
        <v>0.16785700039311838</v>
      </c>
    </row>
    <row r="27" spans="1:66" x14ac:dyDescent="0.35">
      <c r="A27">
        <v>0</v>
      </c>
      <c r="B27" t="s">
        <v>42</v>
      </c>
      <c r="C27" t="s">
        <v>37</v>
      </c>
      <c r="D27">
        <v>0</v>
      </c>
      <c r="E27" t="s">
        <v>42</v>
      </c>
      <c r="F27" t="s">
        <v>43</v>
      </c>
      <c r="G27">
        <v>2048.9142569999999</v>
      </c>
      <c r="H27" t="s">
        <v>37</v>
      </c>
      <c r="I27">
        <v>0</v>
      </c>
      <c r="J27">
        <v>2048.9142569999999</v>
      </c>
      <c r="K27" t="s">
        <v>44</v>
      </c>
      <c r="L27" t="s">
        <v>45</v>
      </c>
      <c r="M27" t="s">
        <v>46</v>
      </c>
      <c r="N27" t="s">
        <v>44</v>
      </c>
      <c r="O27" t="s">
        <v>42</v>
      </c>
      <c r="P27" t="s">
        <v>42</v>
      </c>
      <c r="Q27" t="s">
        <v>42</v>
      </c>
      <c r="R27" t="s">
        <v>42</v>
      </c>
      <c r="S27" t="s">
        <v>42</v>
      </c>
      <c r="T27" t="s">
        <v>45</v>
      </c>
      <c r="U27">
        <v>0</v>
      </c>
      <c r="V27">
        <v>0</v>
      </c>
      <c r="W27">
        <v>0</v>
      </c>
      <c r="X27">
        <v>2</v>
      </c>
      <c r="Y27">
        <v>1</v>
      </c>
      <c r="Z27" t="s">
        <v>46</v>
      </c>
      <c r="AA27" t="s">
        <v>37</v>
      </c>
      <c r="AB27" t="s">
        <v>44</v>
      </c>
      <c r="AC27" t="s">
        <v>45</v>
      </c>
      <c r="AD27" t="s">
        <v>46</v>
      </c>
      <c r="AE27" t="s">
        <v>44</v>
      </c>
      <c r="AF27" t="s">
        <v>42</v>
      </c>
      <c r="AG27" t="s">
        <v>42</v>
      </c>
      <c r="AH27" t="s">
        <v>42</v>
      </c>
      <c r="AI27" t="s">
        <v>42</v>
      </c>
      <c r="AJ27" t="s">
        <v>42</v>
      </c>
      <c r="AK27" t="s">
        <v>45</v>
      </c>
      <c r="AL27">
        <v>0</v>
      </c>
      <c r="AM27">
        <v>0</v>
      </c>
      <c r="AN27">
        <v>0</v>
      </c>
      <c r="AO27">
        <v>0</v>
      </c>
      <c r="AP27">
        <v>0</v>
      </c>
      <c r="AQ27" t="s">
        <v>46</v>
      </c>
      <c r="AR27" s="6">
        <v>3.4947103E-4</v>
      </c>
      <c r="AS27" s="6">
        <v>1.03870325E-22</v>
      </c>
      <c r="AT27">
        <v>1</v>
      </c>
      <c r="AU27" t="s">
        <v>47</v>
      </c>
      <c r="AV27">
        <v>0</v>
      </c>
      <c r="AW27">
        <v>0</v>
      </c>
      <c r="AX27">
        <v>0</v>
      </c>
      <c r="AY27">
        <v>2</v>
      </c>
      <c r="AZ27">
        <v>1</v>
      </c>
      <c r="BA27" t="s">
        <v>46</v>
      </c>
      <c r="BB27" t="s">
        <v>37</v>
      </c>
      <c r="BC27" t="s">
        <v>47</v>
      </c>
      <c r="BD27">
        <v>0</v>
      </c>
      <c r="BE27">
        <v>0</v>
      </c>
      <c r="BF27">
        <v>0</v>
      </c>
      <c r="BG27">
        <v>0</v>
      </c>
      <c r="BH27">
        <v>0</v>
      </c>
      <c r="BI27" t="s">
        <v>46</v>
      </c>
      <c r="BJ27">
        <v>-2.9856000000000001E-4</v>
      </c>
      <c r="BK27">
        <v>0</v>
      </c>
      <c r="BL27">
        <v>-1.8163000000000001E-4</v>
      </c>
      <c r="BN27" s="7">
        <f t="shared" si="0"/>
        <v>6.2552172209176006E-4</v>
      </c>
    </row>
    <row r="28" spans="1:66" x14ac:dyDescent="0.35">
      <c r="A28">
        <v>0</v>
      </c>
      <c r="B28" t="s">
        <v>48</v>
      </c>
      <c r="C28" t="s">
        <v>37</v>
      </c>
      <c r="D28">
        <v>0</v>
      </c>
      <c r="E28" t="s">
        <v>42</v>
      </c>
      <c r="F28" t="s">
        <v>43</v>
      </c>
      <c r="G28">
        <v>1484.971125</v>
      </c>
      <c r="H28" t="s">
        <v>37</v>
      </c>
      <c r="I28">
        <v>0</v>
      </c>
      <c r="J28">
        <v>1484.971125</v>
      </c>
      <c r="K28" t="s">
        <v>44</v>
      </c>
      <c r="L28" t="s">
        <v>45</v>
      </c>
      <c r="M28" t="s">
        <v>46</v>
      </c>
      <c r="N28" t="s">
        <v>44</v>
      </c>
      <c r="O28" t="s">
        <v>42</v>
      </c>
      <c r="P28" t="s">
        <v>42</v>
      </c>
      <c r="Q28" t="s">
        <v>42</v>
      </c>
      <c r="R28" t="s">
        <v>42</v>
      </c>
      <c r="S28" t="s">
        <v>48</v>
      </c>
      <c r="T28" t="s">
        <v>45</v>
      </c>
      <c r="U28">
        <v>0</v>
      </c>
      <c r="V28">
        <v>0</v>
      </c>
      <c r="W28">
        <v>0</v>
      </c>
      <c r="X28">
        <v>2</v>
      </c>
      <c r="Y28">
        <v>0</v>
      </c>
      <c r="Z28" t="s">
        <v>49</v>
      </c>
      <c r="AA28" t="s">
        <v>37</v>
      </c>
      <c r="AB28" t="s">
        <v>44</v>
      </c>
      <c r="AC28" t="s">
        <v>45</v>
      </c>
      <c r="AD28" t="s">
        <v>46</v>
      </c>
      <c r="AE28" t="s">
        <v>44</v>
      </c>
      <c r="AF28" t="s">
        <v>42</v>
      </c>
      <c r="AG28" t="s">
        <v>42</v>
      </c>
      <c r="AH28" t="s">
        <v>42</v>
      </c>
      <c r="AI28" t="s">
        <v>42</v>
      </c>
      <c r="AJ28" t="s">
        <v>42</v>
      </c>
      <c r="AK28" t="s">
        <v>45</v>
      </c>
      <c r="AL28">
        <v>0</v>
      </c>
      <c r="AM28">
        <v>0</v>
      </c>
      <c r="AN28">
        <v>0</v>
      </c>
      <c r="AO28">
        <v>0</v>
      </c>
      <c r="AP28">
        <v>0</v>
      </c>
      <c r="AQ28" t="s">
        <v>46</v>
      </c>
      <c r="AR28" s="6">
        <v>3.5626076500000002E-3</v>
      </c>
      <c r="AS28" s="6">
        <v>7.7356965399999998E-21</v>
      </c>
      <c r="AT28">
        <v>2</v>
      </c>
      <c r="AU28" t="s">
        <v>47</v>
      </c>
      <c r="AV28">
        <v>0</v>
      </c>
      <c r="AW28">
        <v>0</v>
      </c>
      <c r="AX28">
        <v>0</v>
      </c>
      <c r="AY28">
        <v>2</v>
      </c>
      <c r="AZ28">
        <v>0</v>
      </c>
      <c r="BA28" t="s">
        <v>49</v>
      </c>
      <c r="BB28" t="s">
        <v>37</v>
      </c>
      <c r="BC28" t="s">
        <v>47</v>
      </c>
      <c r="BD28">
        <v>0</v>
      </c>
      <c r="BE28">
        <v>0</v>
      </c>
      <c r="BF28">
        <v>0</v>
      </c>
      <c r="BG28">
        <v>0</v>
      </c>
      <c r="BH28">
        <v>0</v>
      </c>
      <c r="BI28" t="s">
        <v>46</v>
      </c>
      <c r="BJ28">
        <v>0</v>
      </c>
      <c r="BK28">
        <v>-3.5626099999999999E-3</v>
      </c>
      <c r="BL28">
        <v>0</v>
      </c>
      <c r="BN28" s="7">
        <f t="shared" si="0"/>
        <v>4.6585453749952835E-2</v>
      </c>
    </row>
    <row r="29" spans="1:66" x14ac:dyDescent="0.35">
      <c r="A29">
        <v>0</v>
      </c>
      <c r="B29" t="s">
        <v>42</v>
      </c>
      <c r="C29" t="s">
        <v>37</v>
      </c>
      <c r="D29">
        <v>0</v>
      </c>
      <c r="E29" t="s">
        <v>42</v>
      </c>
      <c r="F29" t="s">
        <v>43</v>
      </c>
      <c r="G29">
        <v>2182.4540029999998</v>
      </c>
      <c r="H29" t="s">
        <v>37</v>
      </c>
      <c r="I29">
        <v>0</v>
      </c>
      <c r="J29">
        <v>2182.4540029999998</v>
      </c>
      <c r="K29" t="s">
        <v>44</v>
      </c>
      <c r="L29" t="s">
        <v>45</v>
      </c>
      <c r="M29" t="s">
        <v>46</v>
      </c>
      <c r="N29" t="s">
        <v>44</v>
      </c>
      <c r="O29" t="s">
        <v>42</v>
      </c>
      <c r="P29" t="s">
        <v>42</v>
      </c>
      <c r="Q29" t="s">
        <v>42</v>
      </c>
      <c r="R29" t="s">
        <v>42</v>
      </c>
      <c r="S29" t="s">
        <v>42</v>
      </c>
      <c r="T29" t="s">
        <v>45</v>
      </c>
      <c r="U29">
        <v>0</v>
      </c>
      <c r="V29">
        <v>0</v>
      </c>
      <c r="W29">
        <v>0</v>
      </c>
      <c r="X29">
        <v>0</v>
      </c>
      <c r="Y29">
        <v>1</v>
      </c>
      <c r="Z29" t="s">
        <v>52</v>
      </c>
      <c r="AA29" t="s">
        <v>37</v>
      </c>
      <c r="AB29" t="s">
        <v>44</v>
      </c>
      <c r="AC29" t="s">
        <v>45</v>
      </c>
      <c r="AD29" t="s">
        <v>46</v>
      </c>
      <c r="AE29" t="s">
        <v>44</v>
      </c>
      <c r="AF29" t="s">
        <v>42</v>
      </c>
      <c r="AG29" t="s">
        <v>42</v>
      </c>
      <c r="AH29" t="s">
        <v>42</v>
      </c>
      <c r="AI29" t="s">
        <v>42</v>
      </c>
      <c r="AJ29" t="s">
        <v>42</v>
      </c>
      <c r="AK29" t="s">
        <v>45</v>
      </c>
      <c r="AL29">
        <v>0</v>
      </c>
      <c r="AM29">
        <v>0</v>
      </c>
      <c r="AN29">
        <v>0</v>
      </c>
      <c r="AO29">
        <v>0</v>
      </c>
      <c r="AP29">
        <v>0</v>
      </c>
      <c r="AQ29" t="s">
        <v>46</v>
      </c>
      <c r="AR29" s="6">
        <v>9.32121736E-3</v>
      </c>
      <c r="AS29" s="6">
        <v>7.87803248E-20</v>
      </c>
      <c r="AT29">
        <v>1</v>
      </c>
      <c r="AU29" t="s">
        <v>47</v>
      </c>
      <c r="AV29">
        <v>0</v>
      </c>
      <c r="AW29">
        <v>0</v>
      </c>
      <c r="AX29">
        <v>0</v>
      </c>
      <c r="AY29">
        <v>0</v>
      </c>
      <c r="AZ29">
        <v>1</v>
      </c>
      <c r="BA29" t="s">
        <v>52</v>
      </c>
      <c r="BB29" t="s">
        <v>37</v>
      </c>
      <c r="BC29" t="s">
        <v>47</v>
      </c>
      <c r="BD29">
        <v>0</v>
      </c>
      <c r="BE29">
        <v>0</v>
      </c>
      <c r="BF29">
        <v>0</v>
      </c>
      <c r="BG29">
        <v>0</v>
      </c>
      <c r="BH29">
        <v>0</v>
      </c>
      <c r="BI29" t="s">
        <v>46</v>
      </c>
      <c r="BJ29">
        <v>-2.4046000000000001E-4</v>
      </c>
      <c r="BK29">
        <v>0</v>
      </c>
      <c r="BL29">
        <v>9.3181199999999992E-3</v>
      </c>
      <c r="BN29" s="7">
        <f t="shared" si="0"/>
        <v>0.47442620821533182</v>
      </c>
    </row>
    <row r="30" spans="1:66" x14ac:dyDescent="0.35">
      <c r="A30">
        <v>0</v>
      </c>
      <c r="B30" t="s">
        <v>42</v>
      </c>
      <c r="C30" t="s">
        <v>37</v>
      </c>
      <c r="D30">
        <v>0</v>
      </c>
      <c r="E30" t="s">
        <v>42</v>
      </c>
      <c r="F30" t="s">
        <v>43</v>
      </c>
      <c r="G30">
        <v>1763.2616840000001</v>
      </c>
      <c r="H30" t="s">
        <v>37</v>
      </c>
      <c r="I30">
        <v>0</v>
      </c>
      <c r="J30">
        <v>1763.2616840000001</v>
      </c>
      <c r="K30" t="s">
        <v>44</v>
      </c>
      <c r="L30" t="s">
        <v>45</v>
      </c>
      <c r="M30" t="s">
        <v>46</v>
      </c>
      <c r="N30" t="s">
        <v>44</v>
      </c>
      <c r="O30" t="s">
        <v>42</v>
      </c>
      <c r="P30" t="s">
        <v>42</v>
      </c>
      <c r="Q30" t="s">
        <v>42</v>
      </c>
      <c r="R30" t="s">
        <v>42</v>
      </c>
      <c r="S30" t="s">
        <v>42</v>
      </c>
      <c r="T30" t="s">
        <v>45</v>
      </c>
      <c r="U30">
        <v>0</v>
      </c>
      <c r="V30">
        <v>1</v>
      </c>
      <c r="W30">
        <v>0</v>
      </c>
      <c r="X30">
        <v>1</v>
      </c>
      <c r="Y30">
        <v>0</v>
      </c>
      <c r="Z30" t="s">
        <v>46</v>
      </c>
      <c r="AA30" t="s">
        <v>37</v>
      </c>
      <c r="AB30" t="s">
        <v>44</v>
      </c>
      <c r="AC30" t="s">
        <v>45</v>
      </c>
      <c r="AD30" t="s">
        <v>46</v>
      </c>
      <c r="AE30" t="s">
        <v>44</v>
      </c>
      <c r="AF30" t="s">
        <v>42</v>
      </c>
      <c r="AG30" t="s">
        <v>42</v>
      </c>
      <c r="AH30" t="s">
        <v>42</v>
      </c>
      <c r="AI30" t="s">
        <v>42</v>
      </c>
      <c r="AJ30" t="s">
        <v>42</v>
      </c>
      <c r="AK30" t="s">
        <v>45</v>
      </c>
      <c r="AL30">
        <v>0</v>
      </c>
      <c r="AM30">
        <v>0</v>
      </c>
      <c r="AN30">
        <v>0</v>
      </c>
      <c r="AO30">
        <v>0</v>
      </c>
      <c r="AP30">
        <v>0</v>
      </c>
      <c r="AQ30" t="s">
        <v>46</v>
      </c>
      <c r="AR30" s="6">
        <v>1.75970302E-3</v>
      </c>
      <c r="AS30" s="6">
        <v>2.25845135E-21</v>
      </c>
      <c r="AT30">
        <v>2</v>
      </c>
      <c r="AU30" t="s">
        <v>47</v>
      </c>
      <c r="AV30">
        <v>0</v>
      </c>
      <c r="AW30">
        <v>1</v>
      </c>
      <c r="AX30">
        <v>0</v>
      </c>
      <c r="AY30">
        <v>1</v>
      </c>
      <c r="AZ30">
        <v>0</v>
      </c>
      <c r="BA30" t="s">
        <v>46</v>
      </c>
      <c r="BB30" t="s">
        <v>37</v>
      </c>
      <c r="BC30" t="s">
        <v>47</v>
      </c>
      <c r="BD30">
        <v>0</v>
      </c>
      <c r="BE30">
        <v>0</v>
      </c>
      <c r="BF30">
        <v>0</v>
      </c>
      <c r="BG30">
        <v>0</v>
      </c>
      <c r="BH30">
        <v>0</v>
      </c>
      <c r="BI30" t="s">
        <v>46</v>
      </c>
      <c r="BJ30">
        <v>1.73745E-3</v>
      </c>
      <c r="BK30">
        <v>0</v>
      </c>
      <c r="BL30">
        <v>2.7900000000000001E-4</v>
      </c>
      <c r="BN30" s="7">
        <f t="shared" si="0"/>
        <v>1.3600712019650079E-2</v>
      </c>
    </row>
    <row r="31" spans="1:66" x14ac:dyDescent="0.35">
      <c r="A31">
        <v>0</v>
      </c>
      <c r="B31" t="s">
        <v>42</v>
      </c>
      <c r="C31" t="s">
        <v>37</v>
      </c>
      <c r="D31">
        <v>0</v>
      </c>
      <c r="E31" t="s">
        <v>42</v>
      </c>
      <c r="F31" t="s">
        <v>43</v>
      </c>
      <c r="G31">
        <v>1042.8563569999999</v>
      </c>
      <c r="H31" t="s">
        <v>37</v>
      </c>
      <c r="I31">
        <v>0</v>
      </c>
      <c r="J31">
        <v>1042.8563569999999</v>
      </c>
      <c r="K31" t="s">
        <v>44</v>
      </c>
      <c r="L31" t="s">
        <v>45</v>
      </c>
      <c r="M31" t="s">
        <v>46</v>
      </c>
      <c r="N31" t="s">
        <v>44</v>
      </c>
      <c r="O31" t="s">
        <v>42</v>
      </c>
      <c r="P31" t="s">
        <v>42</v>
      </c>
      <c r="Q31" t="s">
        <v>42</v>
      </c>
      <c r="R31" t="s">
        <v>42</v>
      </c>
      <c r="S31" t="s">
        <v>42</v>
      </c>
      <c r="T31" t="s">
        <v>45</v>
      </c>
      <c r="U31">
        <v>0</v>
      </c>
      <c r="V31">
        <v>0</v>
      </c>
      <c r="W31">
        <v>0</v>
      </c>
      <c r="X31">
        <v>0</v>
      </c>
      <c r="Y31">
        <v>0</v>
      </c>
      <c r="Z31" t="s">
        <v>52</v>
      </c>
      <c r="AA31" t="s">
        <v>37</v>
      </c>
      <c r="AB31" t="s">
        <v>44</v>
      </c>
      <c r="AC31" t="s">
        <v>45</v>
      </c>
      <c r="AD31" t="s">
        <v>46</v>
      </c>
      <c r="AE31" t="s">
        <v>44</v>
      </c>
      <c r="AF31" t="s">
        <v>42</v>
      </c>
      <c r="AG31" t="s">
        <v>42</v>
      </c>
      <c r="AH31" t="s">
        <v>42</v>
      </c>
      <c r="AI31" t="s">
        <v>42</v>
      </c>
      <c r="AJ31" t="s">
        <v>42</v>
      </c>
      <c r="AK31" t="s">
        <v>45</v>
      </c>
      <c r="AL31">
        <v>0</v>
      </c>
      <c r="AM31">
        <v>0</v>
      </c>
      <c r="AN31">
        <v>0</v>
      </c>
      <c r="AO31">
        <v>0</v>
      </c>
      <c r="AP31">
        <v>0</v>
      </c>
      <c r="AQ31" t="s">
        <v>46</v>
      </c>
      <c r="AR31" s="6">
        <v>7.11832825E-2</v>
      </c>
      <c r="AS31" s="6">
        <v>2.0900784999999999E-18</v>
      </c>
      <c r="AT31">
        <v>2</v>
      </c>
      <c r="AU31" t="s">
        <v>47</v>
      </c>
      <c r="AV31">
        <v>0</v>
      </c>
      <c r="AW31">
        <v>0</v>
      </c>
      <c r="AX31">
        <v>0</v>
      </c>
      <c r="AY31">
        <v>0</v>
      </c>
      <c r="AZ31">
        <v>0</v>
      </c>
      <c r="BA31" t="s">
        <v>52</v>
      </c>
      <c r="BB31" t="s">
        <v>37</v>
      </c>
      <c r="BC31" t="s">
        <v>47</v>
      </c>
      <c r="BD31">
        <v>0</v>
      </c>
      <c r="BE31">
        <v>0</v>
      </c>
      <c r="BF31">
        <v>0</v>
      </c>
      <c r="BG31">
        <v>0</v>
      </c>
      <c r="BH31">
        <v>0</v>
      </c>
      <c r="BI31" t="s">
        <v>46</v>
      </c>
      <c r="BJ31">
        <v>7.0978079999999999E-2</v>
      </c>
      <c r="BK31">
        <v>0</v>
      </c>
      <c r="BL31">
        <v>5.4010600000000001E-3</v>
      </c>
      <c r="BN31" s="7">
        <f t="shared" si="0"/>
        <v>12.586747010052799</v>
      </c>
    </row>
    <row r="32" spans="1:66" x14ac:dyDescent="0.35">
      <c r="A32">
        <v>0</v>
      </c>
      <c r="B32" t="s">
        <v>42</v>
      </c>
      <c r="C32" t="s">
        <v>37</v>
      </c>
      <c r="D32">
        <v>0</v>
      </c>
      <c r="E32" t="s">
        <v>42</v>
      </c>
      <c r="F32" t="s">
        <v>43</v>
      </c>
      <c r="G32">
        <v>1619.549045</v>
      </c>
      <c r="H32" t="s">
        <v>37</v>
      </c>
      <c r="I32">
        <v>0</v>
      </c>
      <c r="J32">
        <v>1619.549045</v>
      </c>
      <c r="K32" t="s">
        <v>44</v>
      </c>
      <c r="L32" t="s">
        <v>45</v>
      </c>
      <c r="M32" t="s">
        <v>46</v>
      </c>
      <c r="N32" t="s">
        <v>44</v>
      </c>
      <c r="O32" t="s">
        <v>42</v>
      </c>
      <c r="P32" t="s">
        <v>42</v>
      </c>
      <c r="Q32" t="s">
        <v>42</v>
      </c>
      <c r="R32" t="s">
        <v>42</v>
      </c>
      <c r="S32" t="s">
        <v>42</v>
      </c>
      <c r="T32" t="s">
        <v>45</v>
      </c>
      <c r="U32">
        <v>0</v>
      </c>
      <c r="V32">
        <v>0</v>
      </c>
      <c r="W32">
        <v>0</v>
      </c>
      <c r="X32">
        <v>1</v>
      </c>
      <c r="Y32">
        <v>1</v>
      </c>
      <c r="Z32" t="s">
        <v>46</v>
      </c>
      <c r="AA32" t="s">
        <v>37</v>
      </c>
      <c r="AB32" t="s">
        <v>44</v>
      </c>
      <c r="AC32" t="s">
        <v>45</v>
      </c>
      <c r="AD32" t="s">
        <v>46</v>
      </c>
      <c r="AE32" t="s">
        <v>44</v>
      </c>
      <c r="AF32" t="s">
        <v>42</v>
      </c>
      <c r="AG32" t="s">
        <v>42</v>
      </c>
      <c r="AH32" t="s">
        <v>42</v>
      </c>
      <c r="AI32" t="s">
        <v>42</v>
      </c>
      <c r="AJ32" t="s">
        <v>42</v>
      </c>
      <c r="AK32" t="s">
        <v>45</v>
      </c>
      <c r="AL32">
        <v>0</v>
      </c>
      <c r="AM32">
        <v>0</v>
      </c>
      <c r="AN32">
        <v>0</v>
      </c>
      <c r="AO32">
        <v>0</v>
      </c>
      <c r="AP32">
        <v>0</v>
      </c>
      <c r="AQ32" t="s">
        <v>46</v>
      </c>
      <c r="AR32" s="6">
        <v>5.97925613E-3</v>
      </c>
      <c r="AS32" s="6">
        <v>2.38726472E-20</v>
      </c>
      <c r="AT32">
        <v>2</v>
      </c>
      <c r="AU32" t="s">
        <v>47</v>
      </c>
      <c r="AV32">
        <v>0</v>
      </c>
      <c r="AW32">
        <v>0</v>
      </c>
      <c r="AX32">
        <v>0</v>
      </c>
      <c r="AY32">
        <v>1</v>
      </c>
      <c r="AZ32">
        <v>1</v>
      </c>
      <c r="BA32" t="s">
        <v>46</v>
      </c>
      <c r="BB32" t="s">
        <v>37</v>
      </c>
      <c r="BC32" t="s">
        <v>47</v>
      </c>
      <c r="BD32">
        <v>0</v>
      </c>
      <c r="BE32">
        <v>0</v>
      </c>
      <c r="BF32">
        <v>0</v>
      </c>
      <c r="BG32">
        <v>0</v>
      </c>
      <c r="BH32">
        <v>0</v>
      </c>
      <c r="BI32" t="s">
        <v>46</v>
      </c>
      <c r="BJ32">
        <v>2.7823600000000002E-3</v>
      </c>
      <c r="BK32">
        <v>0</v>
      </c>
      <c r="BL32">
        <v>-5.2924399999999998E-3</v>
      </c>
      <c r="BN32" s="7">
        <f t="shared" si="0"/>
        <v>0.14376444270712577</v>
      </c>
    </row>
    <row r="33" spans="1:66" x14ac:dyDescent="0.35">
      <c r="A33">
        <v>0</v>
      </c>
      <c r="B33" t="s">
        <v>42</v>
      </c>
      <c r="C33" t="s">
        <v>37</v>
      </c>
      <c r="D33">
        <v>0</v>
      </c>
      <c r="E33" t="s">
        <v>42</v>
      </c>
      <c r="F33" t="s">
        <v>43</v>
      </c>
      <c r="G33">
        <v>872.48881800000004</v>
      </c>
      <c r="H33" t="s">
        <v>37</v>
      </c>
      <c r="I33">
        <v>0</v>
      </c>
      <c r="J33">
        <v>872.48881800000004</v>
      </c>
      <c r="K33" t="s">
        <v>44</v>
      </c>
      <c r="L33" t="s">
        <v>45</v>
      </c>
      <c r="M33" t="s">
        <v>46</v>
      </c>
      <c r="N33" t="s">
        <v>44</v>
      </c>
      <c r="O33" t="s">
        <v>42</v>
      </c>
      <c r="P33" t="s">
        <v>42</v>
      </c>
      <c r="Q33" t="s">
        <v>42</v>
      </c>
      <c r="R33" t="s">
        <v>42</v>
      </c>
      <c r="S33" t="s">
        <v>42</v>
      </c>
      <c r="T33" t="s">
        <v>45</v>
      </c>
      <c r="U33">
        <v>1</v>
      </c>
      <c r="V33">
        <v>0</v>
      </c>
      <c r="W33">
        <v>0</v>
      </c>
      <c r="X33">
        <v>0</v>
      </c>
      <c r="Y33">
        <v>0</v>
      </c>
      <c r="Z33" t="s">
        <v>46</v>
      </c>
      <c r="AA33" t="s">
        <v>37</v>
      </c>
      <c r="AB33" t="s">
        <v>44</v>
      </c>
      <c r="AC33" t="s">
        <v>45</v>
      </c>
      <c r="AD33" t="s">
        <v>46</v>
      </c>
      <c r="AE33" t="s">
        <v>44</v>
      </c>
      <c r="AF33" t="s">
        <v>42</v>
      </c>
      <c r="AG33" t="s">
        <v>42</v>
      </c>
      <c r="AH33" t="s">
        <v>42</v>
      </c>
      <c r="AI33" t="s">
        <v>42</v>
      </c>
      <c r="AJ33" t="s">
        <v>42</v>
      </c>
      <c r="AK33" t="s">
        <v>45</v>
      </c>
      <c r="AL33">
        <v>0</v>
      </c>
      <c r="AM33">
        <v>0</v>
      </c>
      <c r="AN33">
        <v>0</v>
      </c>
      <c r="AO33">
        <v>0</v>
      </c>
      <c r="AP33">
        <v>0</v>
      </c>
      <c r="AQ33" t="s">
        <v>46</v>
      </c>
      <c r="AR33" s="6">
        <v>0.34545426899999998</v>
      </c>
      <c r="AS33" s="6">
        <v>3.9819436200000001E-17</v>
      </c>
      <c r="AT33">
        <v>2</v>
      </c>
      <c r="AU33" t="s">
        <v>47</v>
      </c>
      <c r="AV33">
        <v>1</v>
      </c>
      <c r="AW33">
        <v>0</v>
      </c>
      <c r="AX33">
        <v>0</v>
      </c>
      <c r="AY33">
        <v>0</v>
      </c>
      <c r="AZ33">
        <v>0</v>
      </c>
      <c r="BA33" t="s">
        <v>46</v>
      </c>
      <c r="BB33" t="s">
        <v>37</v>
      </c>
      <c r="BC33" t="s">
        <v>47</v>
      </c>
      <c r="BD33">
        <v>0</v>
      </c>
      <c r="BE33">
        <v>0</v>
      </c>
      <c r="BF33">
        <v>0</v>
      </c>
      <c r="BG33">
        <v>0</v>
      </c>
      <c r="BH33">
        <v>0</v>
      </c>
      <c r="BI33" t="s">
        <v>46</v>
      </c>
      <c r="BJ33">
        <v>2.4864629999999999E-2</v>
      </c>
      <c r="BK33">
        <v>0</v>
      </c>
      <c r="BL33">
        <v>-0.34455827</v>
      </c>
      <c r="BN33" s="7">
        <f t="shared" si="0"/>
        <v>239.79825137301694</v>
      </c>
    </row>
    <row r="34" spans="1:66" x14ac:dyDescent="0.35">
      <c r="A34">
        <v>0</v>
      </c>
      <c r="B34" t="s">
        <v>42</v>
      </c>
      <c r="C34" t="s">
        <v>37</v>
      </c>
      <c r="D34">
        <v>0</v>
      </c>
      <c r="E34" t="s">
        <v>42</v>
      </c>
      <c r="F34" t="s">
        <v>43</v>
      </c>
      <c r="G34">
        <v>1868.771587</v>
      </c>
      <c r="H34" t="s">
        <v>37</v>
      </c>
      <c r="I34">
        <v>0</v>
      </c>
      <c r="J34">
        <v>1868.771587</v>
      </c>
      <c r="K34" t="s">
        <v>44</v>
      </c>
      <c r="L34" t="s">
        <v>45</v>
      </c>
      <c r="M34" t="s">
        <v>46</v>
      </c>
      <c r="N34" t="s">
        <v>44</v>
      </c>
      <c r="O34" t="s">
        <v>42</v>
      </c>
      <c r="P34" t="s">
        <v>42</v>
      </c>
      <c r="Q34" t="s">
        <v>42</v>
      </c>
      <c r="R34" t="s">
        <v>42</v>
      </c>
      <c r="S34" t="s">
        <v>42</v>
      </c>
      <c r="T34" t="s">
        <v>45</v>
      </c>
      <c r="U34">
        <v>0</v>
      </c>
      <c r="V34">
        <v>0</v>
      </c>
      <c r="W34">
        <v>0</v>
      </c>
      <c r="X34">
        <v>4</v>
      </c>
      <c r="Y34">
        <v>0</v>
      </c>
      <c r="Z34" t="s">
        <v>46</v>
      </c>
      <c r="AA34" t="s">
        <v>37</v>
      </c>
      <c r="AB34" t="s">
        <v>44</v>
      </c>
      <c r="AC34" t="s">
        <v>45</v>
      </c>
      <c r="AD34" t="s">
        <v>46</v>
      </c>
      <c r="AE34" t="s">
        <v>44</v>
      </c>
      <c r="AF34" t="s">
        <v>42</v>
      </c>
      <c r="AG34" t="s">
        <v>42</v>
      </c>
      <c r="AH34" t="s">
        <v>42</v>
      </c>
      <c r="AI34" t="s">
        <v>42</v>
      </c>
      <c r="AJ34" t="s">
        <v>42</v>
      </c>
      <c r="AK34" t="s">
        <v>45</v>
      </c>
      <c r="AL34">
        <v>0</v>
      </c>
      <c r="AM34">
        <v>0</v>
      </c>
      <c r="AN34">
        <v>0</v>
      </c>
      <c r="AO34">
        <v>0</v>
      </c>
      <c r="AP34">
        <v>0</v>
      </c>
      <c r="AQ34" t="s">
        <v>46</v>
      </c>
      <c r="AR34" s="6">
        <v>3.0657782300000001E-4</v>
      </c>
      <c r="AS34" s="6">
        <v>7.2772700499999994E-23</v>
      </c>
      <c r="AT34">
        <v>2</v>
      </c>
      <c r="AU34" t="s">
        <v>47</v>
      </c>
      <c r="AV34">
        <v>0</v>
      </c>
      <c r="AW34">
        <v>0</v>
      </c>
      <c r="AX34">
        <v>0</v>
      </c>
      <c r="AY34">
        <v>4</v>
      </c>
      <c r="AZ34">
        <v>0</v>
      </c>
      <c r="BA34" t="s">
        <v>46</v>
      </c>
      <c r="BB34" t="s">
        <v>37</v>
      </c>
      <c r="BC34" t="s">
        <v>47</v>
      </c>
      <c r="BD34">
        <v>0</v>
      </c>
      <c r="BE34">
        <v>0</v>
      </c>
      <c r="BF34">
        <v>0</v>
      </c>
      <c r="BG34">
        <v>0</v>
      </c>
      <c r="BH34">
        <v>0</v>
      </c>
      <c r="BI34" t="s">
        <v>46</v>
      </c>
      <c r="BJ34">
        <v>2.0677E-4</v>
      </c>
      <c r="BK34">
        <v>0</v>
      </c>
      <c r="BL34">
        <v>2.2635E-4</v>
      </c>
      <c r="BN34" s="7">
        <f t="shared" si="0"/>
        <v>4.3824744880723032E-4</v>
      </c>
    </row>
    <row r="35" spans="1:66" x14ac:dyDescent="0.35">
      <c r="A35">
        <v>0</v>
      </c>
      <c r="B35" t="s">
        <v>42</v>
      </c>
      <c r="C35" t="s">
        <v>37</v>
      </c>
      <c r="D35">
        <v>0</v>
      </c>
      <c r="E35" t="s">
        <v>42</v>
      </c>
      <c r="F35" t="s">
        <v>43</v>
      </c>
      <c r="G35">
        <v>1404.3457510000001</v>
      </c>
      <c r="H35" t="s">
        <v>37</v>
      </c>
      <c r="I35">
        <v>0</v>
      </c>
      <c r="J35">
        <v>1404.3457510000001</v>
      </c>
      <c r="K35" t="s">
        <v>44</v>
      </c>
      <c r="L35" t="s">
        <v>45</v>
      </c>
      <c r="M35" t="s">
        <v>46</v>
      </c>
      <c r="N35" t="s">
        <v>44</v>
      </c>
      <c r="O35" t="s">
        <v>42</v>
      </c>
      <c r="P35" t="s">
        <v>42</v>
      </c>
      <c r="Q35" t="s">
        <v>42</v>
      </c>
      <c r="R35" t="s">
        <v>42</v>
      </c>
      <c r="S35" t="s">
        <v>42</v>
      </c>
      <c r="T35" t="s">
        <v>45</v>
      </c>
      <c r="U35">
        <v>0</v>
      </c>
      <c r="V35">
        <v>0</v>
      </c>
      <c r="W35">
        <v>0</v>
      </c>
      <c r="X35">
        <v>3</v>
      </c>
      <c r="Y35">
        <v>0</v>
      </c>
      <c r="Z35" t="s">
        <v>46</v>
      </c>
      <c r="AA35" t="s">
        <v>37</v>
      </c>
      <c r="AB35" t="s">
        <v>44</v>
      </c>
      <c r="AC35" t="s">
        <v>45</v>
      </c>
      <c r="AD35" t="s">
        <v>46</v>
      </c>
      <c r="AE35" t="s">
        <v>44</v>
      </c>
      <c r="AF35" t="s">
        <v>42</v>
      </c>
      <c r="AG35" t="s">
        <v>42</v>
      </c>
      <c r="AH35" t="s">
        <v>42</v>
      </c>
      <c r="AI35" t="s">
        <v>42</v>
      </c>
      <c r="AJ35" t="s">
        <v>42</v>
      </c>
      <c r="AK35" t="s">
        <v>45</v>
      </c>
      <c r="AL35">
        <v>0</v>
      </c>
      <c r="AM35">
        <v>0</v>
      </c>
      <c r="AN35">
        <v>0</v>
      </c>
      <c r="AO35">
        <v>0</v>
      </c>
      <c r="AP35">
        <v>0</v>
      </c>
      <c r="AQ35" t="s">
        <v>46</v>
      </c>
      <c r="AR35" s="6">
        <v>5.5406975600000002E-3</v>
      </c>
      <c r="AS35" s="6">
        <v>1.7629593199999999E-20</v>
      </c>
      <c r="AT35">
        <v>2</v>
      </c>
      <c r="AU35" t="s">
        <v>47</v>
      </c>
      <c r="AV35">
        <v>0</v>
      </c>
      <c r="AW35">
        <v>0</v>
      </c>
      <c r="AX35">
        <v>0</v>
      </c>
      <c r="AY35">
        <v>3</v>
      </c>
      <c r="AZ35">
        <v>0</v>
      </c>
      <c r="BA35" t="s">
        <v>46</v>
      </c>
      <c r="BB35" t="s">
        <v>37</v>
      </c>
      <c r="BC35" t="s">
        <v>47</v>
      </c>
      <c r="BD35">
        <v>0</v>
      </c>
      <c r="BE35">
        <v>0</v>
      </c>
      <c r="BF35">
        <v>0</v>
      </c>
      <c r="BG35">
        <v>0</v>
      </c>
      <c r="BH35">
        <v>0</v>
      </c>
      <c r="BI35" t="s">
        <v>46</v>
      </c>
      <c r="BJ35">
        <v>-3.8584600000000002E-3</v>
      </c>
      <c r="BK35">
        <v>0</v>
      </c>
      <c r="BL35">
        <v>-3.9763799999999998E-3</v>
      </c>
      <c r="BN35" s="7">
        <f t="shared" si="0"/>
        <v>0.10616789249712257</v>
      </c>
    </row>
    <row r="36" spans="1:66" x14ac:dyDescent="0.35">
      <c r="A36">
        <v>0</v>
      </c>
      <c r="B36" t="s">
        <v>48</v>
      </c>
      <c r="C36" t="s">
        <v>37</v>
      </c>
      <c r="D36">
        <v>0</v>
      </c>
      <c r="E36" t="s">
        <v>42</v>
      </c>
      <c r="F36" t="s">
        <v>43</v>
      </c>
      <c r="G36">
        <v>1005.764644</v>
      </c>
      <c r="H36" t="s">
        <v>37</v>
      </c>
      <c r="I36">
        <v>0</v>
      </c>
      <c r="J36">
        <v>1005.764644</v>
      </c>
      <c r="K36" t="s">
        <v>44</v>
      </c>
      <c r="L36" t="s">
        <v>45</v>
      </c>
      <c r="M36" t="s">
        <v>46</v>
      </c>
      <c r="N36" t="s">
        <v>44</v>
      </c>
      <c r="O36" t="s">
        <v>42</v>
      </c>
      <c r="P36" t="s">
        <v>42</v>
      </c>
      <c r="Q36" t="s">
        <v>42</v>
      </c>
      <c r="R36" t="s">
        <v>42</v>
      </c>
      <c r="S36" t="s">
        <v>48</v>
      </c>
      <c r="T36" t="s">
        <v>45</v>
      </c>
      <c r="U36">
        <v>0</v>
      </c>
      <c r="V36">
        <v>0</v>
      </c>
      <c r="W36">
        <v>0</v>
      </c>
      <c r="X36">
        <v>1</v>
      </c>
      <c r="Y36">
        <v>0</v>
      </c>
      <c r="Z36" t="s">
        <v>49</v>
      </c>
      <c r="AA36" t="s">
        <v>37</v>
      </c>
      <c r="AB36" t="s">
        <v>44</v>
      </c>
      <c r="AC36" t="s">
        <v>45</v>
      </c>
      <c r="AD36" t="s">
        <v>46</v>
      </c>
      <c r="AE36" t="s">
        <v>44</v>
      </c>
      <c r="AF36" t="s">
        <v>42</v>
      </c>
      <c r="AG36" t="s">
        <v>42</v>
      </c>
      <c r="AH36" t="s">
        <v>42</v>
      </c>
      <c r="AI36" t="s">
        <v>42</v>
      </c>
      <c r="AJ36" t="s">
        <v>42</v>
      </c>
      <c r="AK36" t="s">
        <v>45</v>
      </c>
      <c r="AL36">
        <v>0</v>
      </c>
      <c r="AM36">
        <v>0</v>
      </c>
      <c r="AN36">
        <v>0</v>
      </c>
      <c r="AO36">
        <v>0</v>
      </c>
      <c r="AP36">
        <v>0</v>
      </c>
      <c r="AQ36" t="s">
        <v>46</v>
      </c>
      <c r="AR36" s="6">
        <v>5.23335311E-3</v>
      </c>
      <c r="AS36" s="6">
        <v>1.0831040599999999E-20</v>
      </c>
      <c r="AT36">
        <v>2</v>
      </c>
      <c r="AU36" t="s">
        <v>47</v>
      </c>
      <c r="AV36">
        <v>0</v>
      </c>
      <c r="AW36">
        <v>0</v>
      </c>
      <c r="AX36">
        <v>0</v>
      </c>
      <c r="AY36">
        <v>1</v>
      </c>
      <c r="AZ36">
        <v>0</v>
      </c>
      <c r="BA36" t="s">
        <v>49</v>
      </c>
      <c r="BB36" t="s">
        <v>37</v>
      </c>
      <c r="BC36" t="s">
        <v>47</v>
      </c>
      <c r="BD36">
        <v>0</v>
      </c>
      <c r="BE36">
        <v>0</v>
      </c>
      <c r="BF36">
        <v>0</v>
      </c>
      <c r="BG36">
        <v>0</v>
      </c>
      <c r="BH36">
        <v>0</v>
      </c>
      <c r="BI36" t="s">
        <v>46</v>
      </c>
      <c r="BJ36">
        <v>0</v>
      </c>
      <c r="BK36">
        <v>-5.2333500000000003E-3</v>
      </c>
      <c r="BL36">
        <v>0</v>
      </c>
      <c r="BN36" s="7">
        <f t="shared" si="0"/>
        <v>6.5226051503716465E-2</v>
      </c>
    </row>
    <row r="37" spans="1:66" x14ac:dyDescent="0.35">
      <c r="A37">
        <v>0</v>
      </c>
      <c r="B37" t="s">
        <v>42</v>
      </c>
      <c r="C37" t="s">
        <v>37</v>
      </c>
      <c r="D37">
        <v>0</v>
      </c>
      <c r="E37" t="s">
        <v>42</v>
      </c>
      <c r="F37" t="s">
        <v>43</v>
      </c>
      <c r="G37">
        <v>2139.666937</v>
      </c>
      <c r="H37" t="s">
        <v>37</v>
      </c>
      <c r="I37">
        <v>0</v>
      </c>
      <c r="J37">
        <v>2139.666937</v>
      </c>
      <c r="K37" t="s">
        <v>44</v>
      </c>
      <c r="L37" t="s">
        <v>45</v>
      </c>
      <c r="M37" t="s">
        <v>46</v>
      </c>
      <c r="N37" t="s">
        <v>44</v>
      </c>
      <c r="O37" t="s">
        <v>42</v>
      </c>
      <c r="P37" t="s">
        <v>42</v>
      </c>
      <c r="Q37" t="s">
        <v>42</v>
      </c>
      <c r="R37" t="s">
        <v>42</v>
      </c>
      <c r="S37" t="s">
        <v>42</v>
      </c>
      <c r="T37" t="s">
        <v>45</v>
      </c>
      <c r="U37">
        <v>0</v>
      </c>
      <c r="V37">
        <v>0</v>
      </c>
      <c r="W37">
        <v>0</v>
      </c>
      <c r="X37">
        <v>0</v>
      </c>
      <c r="Y37">
        <v>1</v>
      </c>
      <c r="Z37" t="s">
        <v>50</v>
      </c>
      <c r="AA37" t="s">
        <v>37</v>
      </c>
      <c r="AB37" t="s">
        <v>44</v>
      </c>
      <c r="AC37" t="s">
        <v>45</v>
      </c>
      <c r="AD37" t="s">
        <v>46</v>
      </c>
      <c r="AE37" t="s">
        <v>44</v>
      </c>
      <c r="AF37" t="s">
        <v>42</v>
      </c>
      <c r="AG37" t="s">
        <v>42</v>
      </c>
      <c r="AH37" t="s">
        <v>42</v>
      </c>
      <c r="AI37" t="s">
        <v>42</v>
      </c>
      <c r="AJ37" t="s">
        <v>42</v>
      </c>
      <c r="AK37" t="s">
        <v>45</v>
      </c>
      <c r="AL37">
        <v>0</v>
      </c>
      <c r="AM37">
        <v>0</v>
      </c>
      <c r="AN37">
        <v>0</v>
      </c>
      <c r="AO37">
        <v>0</v>
      </c>
      <c r="AP37">
        <v>0</v>
      </c>
      <c r="AQ37" t="s">
        <v>46</v>
      </c>
      <c r="AR37" s="6">
        <v>1.8106729100000001E-7</v>
      </c>
      <c r="AS37" s="6">
        <v>2.91371303E-29</v>
      </c>
      <c r="AT37">
        <v>2</v>
      </c>
      <c r="AU37" t="s">
        <v>47</v>
      </c>
      <c r="AV37">
        <v>0</v>
      </c>
      <c r="AW37">
        <v>0</v>
      </c>
      <c r="AX37">
        <v>0</v>
      </c>
      <c r="AY37">
        <v>0</v>
      </c>
      <c r="AZ37">
        <v>1</v>
      </c>
      <c r="BA37" t="s">
        <v>50</v>
      </c>
      <c r="BB37" t="s">
        <v>37</v>
      </c>
      <c r="BC37" t="s">
        <v>47</v>
      </c>
      <c r="BD37">
        <v>0</v>
      </c>
      <c r="BE37">
        <v>0</v>
      </c>
      <c r="BF37">
        <v>0</v>
      </c>
      <c r="BG37">
        <v>0</v>
      </c>
      <c r="BH37">
        <v>0</v>
      </c>
      <c r="BI37" t="s">
        <v>46</v>
      </c>
      <c r="BJ37">
        <v>4.0000000000000001E-8</v>
      </c>
      <c r="BK37">
        <v>0</v>
      </c>
      <c r="BL37">
        <v>-1.8E-7</v>
      </c>
      <c r="BN37" s="7">
        <f t="shared" si="0"/>
        <v>1.7546790117454624E-10</v>
      </c>
    </row>
    <row r="38" spans="1:66" x14ac:dyDescent="0.35">
      <c r="A38">
        <v>0</v>
      </c>
      <c r="B38" t="s">
        <v>42</v>
      </c>
      <c r="C38" t="s">
        <v>37</v>
      </c>
      <c r="D38">
        <v>0</v>
      </c>
      <c r="E38" t="s">
        <v>42</v>
      </c>
      <c r="F38" t="s">
        <v>43</v>
      </c>
      <c r="G38">
        <v>1296.7411070000001</v>
      </c>
      <c r="H38" t="s">
        <v>37</v>
      </c>
      <c r="I38">
        <v>0</v>
      </c>
      <c r="J38">
        <v>1296.7411070000001</v>
      </c>
      <c r="K38" t="s">
        <v>44</v>
      </c>
      <c r="L38" t="s">
        <v>45</v>
      </c>
      <c r="M38" t="s">
        <v>46</v>
      </c>
      <c r="N38" t="s">
        <v>44</v>
      </c>
      <c r="O38" t="s">
        <v>42</v>
      </c>
      <c r="P38" t="s">
        <v>42</v>
      </c>
      <c r="Q38" t="s">
        <v>42</v>
      </c>
      <c r="R38" t="s">
        <v>42</v>
      </c>
      <c r="S38" t="s">
        <v>42</v>
      </c>
      <c r="T38" t="s">
        <v>45</v>
      </c>
      <c r="U38">
        <v>0</v>
      </c>
      <c r="V38">
        <v>1</v>
      </c>
      <c r="W38">
        <v>0</v>
      </c>
      <c r="X38">
        <v>0</v>
      </c>
      <c r="Y38">
        <v>0</v>
      </c>
      <c r="Z38" t="s">
        <v>46</v>
      </c>
      <c r="AA38" t="s">
        <v>37</v>
      </c>
      <c r="AB38" t="s">
        <v>44</v>
      </c>
      <c r="AC38" t="s">
        <v>45</v>
      </c>
      <c r="AD38" t="s">
        <v>46</v>
      </c>
      <c r="AE38" t="s">
        <v>44</v>
      </c>
      <c r="AF38" t="s">
        <v>42</v>
      </c>
      <c r="AG38" t="s">
        <v>42</v>
      </c>
      <c r="AH38" t="s">
        <v>42</v>
      </c>
      <c r="AI38" t="s">
        <v>42</v>
      </c>
      <c r="AJ38" t="s">
        <v>42</v>
      </c>
      <c r="AK38" t="s">
        <v>45</v>
      </c>
      <c r="AL38">
        <v>0</v>
      </c>
      <c r="AM38">
        <v>0</v>
      </c>
      <c r="AN38">
        <v>0</v>
      </c>
      <c r="AO38">
        <v>0</v>
      </c>
      <c r="AP38">
        <v>0</v>
      </c>
      <c r="AQ38" t="s">
        <v>46</v>
      </c>
      <c r="AR38" s="6">
        <v>0.16621464799999999</v>
      </c>
      <c r="AS38" s="6">
        <v>1.4554647300000001E-17</v>
      </c>
      <c r="AT38">
        <v>2</v>
      </c>
      <c r="AU38" t="s">
        <v>47</v>
      </c>
      <c r="AV38">
        <v>0</v>
      </c>
      <c r="AW38">
        <v>1</v>
      </c>
      <c r="AX38">
        <v>0</v>
      </c>
      <c r="AY38">
        <v>0</v>
      </c>
      <c r="AZ38">
        <v>0</v>
      </c>
      <c r="BA38" t="s">
        <v>46</v>
      </c>
      <c r="BB38" t="s">
        <v>37</v>
      </c>
      <c r="BC38" t="s">
        <v>47</v>
      </c>
      <c r="BD38">
        <v>0</v>
      </c>
      <c r="BE38">
        <v>0</v>
      </c>
      <c r="BF38">
        <v>0</v>
      </c>
      <c r="BG38">
        <v>0</v>
      </c>
      <c r="BH38">
        <v>0</v>
      </c>
      <c r="BI38" t="s">
        <v>46</v>
      </c>
      <c r="BJ38">
        <v>-0.14118436000000001</v>
      </c>
      <c r="BK38">
        <v>0</v>
      </c>
      <c r="BL38">
        <v>8.7717069999999994E-2</v>
      </c>
      <c r="BN38" s="7">
        <f t="shared" si="0"/>
        <v>87.650135334939833</v>
      </c>
    </row>
    <row r="39" spans="1:66" x14ac:dyDescent="0.35">
      <c r="A39">
        <v>0</v>
      </c>
      <c r="B39" t="s">
        <v>42</v>
      </c>
      <c r="C39" t="s">
        <v>37</v>
      </c>
      <c r="D39">
        <v>0</v>
      </c>
      <c r="E39" t="s">
        <v>42</v>
      </c>
      <c r="F39" t="s">
        <v>43</v>
      </c>
      <c r="G39">
        <v>1975.998683</v>
      </c>
      <c r="H39" t="s">
        <v>37</v>
      </c>
      <c r="I39">
        <v>0</v>
      </c>
      <c r="J39">
        <v>1975.998683</v>
      </c>
      <c r="K39" t="s">
        <v>44</v>
      </c>
      <c r="L39" t="s">
        <v>45</v>
      </c>
      <c r="M39" t="s">
        <v>46</v>
      </c>
      <c r="N39" t="s">
        <v>44</v>
      </c>
      <c r="O39" t="s">
        <v>42</v>
      </c>
      <c r="P39" t="s">
        <v>42</v>
      </c>
      <c r="Q39" t="s">
        <v>42</v>
      </c>
      <c r="R39" t="s">
        <v>42</v>
      </c>
      <c r="S39" t="s">
        <v>42</v>
      </c>
      <c r="T39" t="s">
        <v>45</v>
      </c>
      <c r="U39">
        <v>1</v>
      </c>
      <c r="V39">
        <v>0</v>
      </c>
      <c r="W39">
        <v>0</v>
      </c>
      <c r="X39">
        <v>0</v>
      </c>
      <c r="Y39">
        <v>1</v>
      </c>
      <c r="Z39" t="s">
        <v>46</v>
      </c>
      <c r="AA39" t="s">
        <v>37</v>
      </c>
      <c r="AB39" t="s">
        <v>44</v>
      </c>
      <c r="AC39" t="s">
        <v>45</v>
      </c>
      <c r="AD39" t="s">
        <v>46</v>
      </c>
      <c r="AE39" t="s">
        <v>44</v>
      </c>
      <c r="AF39" t="s">
        <v>42</v>
      </c>
      <c r="AG39" t="s">
        <v>42</v>
      </c>
      <c r="AH39" t="s">
        <v>42</v>
      </c>
      <c r="AI39" t="s">
        <v>42</v>
      </c>
      <c r="AJ39" t="s">
        <v>42</v>
      </c>
      <c r="AK39" t="s">
        <v>45</v>
      </c>
      <c r="AL39">
        <v>0</v>
      </c>
      <c r="AM39">
        <v>0</v>
      </c>
      <c r="AN39">
        <v>0</v>
      </c>
      <c r="AO39">
        <v>0</v>
      </c>
      <c r="AP39">
        <v>0</v>
      </c>
      <c r="AQ39" t="s">
        <v>46</v>
      </c>
      <c r="AR39" s="6">
        <v>5.5457234499999997E-3</v>
      </c>
      <c r="AS39" s="6">
        <v>2.5209756199999999E-20</v>
      </c>
      <c r="AT39">
        <v>2</v>
      </c>
      <c r="AU39" t="s">
        <v>47</v>
      </c>
      <c r="AV39">
        <v>1</v>
      </c>
      <c r="AW39">
        <v>0</v>
      </c>
      <c r="AX39">
        <v>0</v>
      </c>
      <c r="AY39">
        <v>0</v>
      </c>
      <c r="AZ39">
        <v>1</v>
      </c>
      <c r="BA39" t="s">
        <v>46</v>
      </c>
      <c r="BB39" t="s">
        <v>37</v>
      </c>
      <c r="BC39" t="s">
        <v>47</v>
      </c>
      <c r="BD39">
        <v>0</v>
      </c>
      <c r="BE39">
        <v>0</v>
      </c>
      <c r="BF39">
        <v>0</v>
      </c>
      <c r="BG39">
        <v>0</v>
      </c>
      <c r="BH39">
        <v>0</v>
      </c>
      <c r="BI39" t="s">
        <v>46</v>
      </c>
      <c r="BJ39">
        <v>-4.1999000000000002E-4</v>
      </c>
      <c r="BK39">
        <v>0</v>
      </c>
      <c r="BL39">
        <v>5.5297999999999996E-3</v>
      </c>
      <c r="BN39" s="7">
        <f t="shared" si="0"/>
        <v>0.15181670137007294</v>
      </c>
    </row>
    <row r="40" spans="1:66" x14ac:dyDescent="0.35">
      <c r="A40">
        <v>0</v>
      </c>
      <c r="B40" t="s">
        <v>42</v>
      </c>
      <c r="C40" t="s">
        <v>37</v>
      </c>
      <c r="D40">
        <v>0</v>
      </c>
      <c r="E40" t="s">
        <v>42</v>
      </c>
      <c r="F40" t="s">
        <v>43</v>
      </c>
      <c r="G40">
        <v>1514.9162220000001</v>
      </c>
      <c r="H40" t="s">
        <v>37</v>
      </c>
      <c r="I40">
        <v>0</v>
      </c>
      <c r="J40">
        <v>1514.9162220000001</v>
      </c>
      <c r="K40" t="s">
        <v>44</v>
      </c>
      <c r="L40" t="s">
        <v>45</v>
      </c>
      <c r="M40" t="s">
        <v>46</v>
      </c>
      <c r="N40" t="s">
        <v>44</v>
      </c>
      <c r="O40" t="s">
        <v>42</v>
      </c>
      <c r="P40" t="s">
        <v>42</v>
      </c>
      <c r="Q40" t="s">
        <v>42</v>
      </c>
      <c r="R40" t="s">
        <v>42</v>
      </c>
      <c r="S40" t="s">
        <v>42</v>
      </c>
      <c r="T40" t="s">
        <v>45</v>
      </c>
      <c r="U40">
        <v>0</v>
      </c>
      <c r="V40">
        <v>0</v>
      </c>
      <c r="W40">
        <v>0</v>
      </c>
      <c r="X40">
        <v>1</v>
      </c>
      <c r="Y40">
        <v>0</v>
      </c>
      <c r="Z40" t="s">
        <v>50</v>
      </c>
      <c r="AA40" t="s">
        <v>37</v>
      </c>
      <c r="AB40" t="s">
        <v>44</v>
      </c>
      <c r="AC40" t="s">
        <v>45</v>
      </c>
      <c r="AD40" t="s">
        <v>46</v>
      </c>
      <c r="AE40" t="s">
        <v>44</v>
      </c>
      <c r="AF40" t="s">
        <v>42</v>
      </c>
      <c r="AG40" t="s">
        <v>42</v>
      </c>
      <c r="AH40" t="s">
        <v>42</v>
      </c>
      <c r="AI40" t="s">
        <v>42</v>
      </c>
      <c r="AJ40" t="s">
        <v>42</v>
      </c>
      <c r="AK40" t="s">
        <v>45</v>
      </c>
      <c r="AL40">
        <v>0</v>
      </c>
      <c r="AM40">
        <v>0</v>
      </c>
      <c r="AN40">
        <v>0</v>
      </c>
      <c r="AO40">
        <v>0</v>
      </c>
      <c r="AP40">
        <v>0</v>
      </c>
      <c r="AQ40" t="s">
        <v>46</v>
      </c>
      <c r="AR40" s="6">
        <v>1.59297103E-7</v>
      </c>
      <c r="AS40" s="6">
        <v>1.57963357E-29</v>
      </c>
      <c r="AT40">
        <v>2</v>
      </c>
      <c r="AU40" t="s">
        <v>47</v>
      </c>
      <c r="AV40">
        <v>0</v>
      </c>
      <c r="AW40">
        <v>0</v>
      </c>
      <c r="AX40">
        <v>0</v>
      </c>
      <c r="AY40">
        <v>1</v>
      </c>
      <c r="AZ40">
        <v>0</v>
      </c>
      <c r="BA40" t="s">
        <v>50</v>
      </c>
      <c r="BB40" t="s">
        <v>37</v>
      </c>
      <c r="BC40" t="s">
        <v>47</v>
      </c>
      <c r="BD40">
        <v>0</v>
      </c>
      <c r="BE40">
        <v>0</v>
      </c>
      <c r="BF40">
        <v>0</v>
      </c>
      <c r="BG40">
        <v>0</v>
      </c>
      <c r="BH40">
        <v>0</v>
      </c>
      <c r="BI40" t="s">
        <v>46</v>
      </c>
      <c r="BJ40">
        <v>-9.9999999999999995E-8</v>
      </c>
      <c r="BK40">
        <v>0</v>
      </c>
      <c r="BL40">
        <v>1.1999999999999999E-7</v>
      </c>
      <c r="BN40" s="7">
        <f t="shared" si="0"/>
        <v>9.5127757709466546E-11</v>
      </c>
    </row>
    <row r="41" spans="1:66" x14ac:dyDescent="0.35">
      <c r="A41">
        <v>0</v>
      </c>
      <c r="B41" t="s">
        <v>42</v>
      </c>
      <c r="C41" t="s">
        <v>37</v>
      </c>
      <c r="D41">
        <v>0</v>
      </c>
      <c r="E41" t="s">
        <v>42</v>
      </c>
      <c r="F41" t="s">
        <v>43</v>
      </c>
      <c r="G41">
        <v>2103.6546370000001</v>
      </c>
      <c r="H41" t="s">
        <v>37</v>
      </c>
      <c r="I41">
        <v>0</v>
      </c>
      <c r="J41">
        <v>2103.6546370000001</v>
      </c>
      <c r="K41" t="s">
        <v>44</v>
      </c>
      <c r="L41" t="s">
        <v>45</v>
      </c>
      <c r="M41" t="s">
        <v>46</v>
      </c>
      <c r="N41" t="s">
        <v>44</v>
      </c>
      <c r="O41" t="s">
        <v>42</v>
      </c>
      <c r="P41" t="s">
        <v>42</v>
      </c>
      <c r="Q41" t="s">
        <v>42</v>
      </c>
      <c r="R41" t="s">
        <v>42</v>
      </c>
      <c r="S41" t="s">
        <v>42</v>
      </c>
      <c r="T41" t="s">
        <v>45</v>
      </c>
      <c r="U41">
        <v>0</v>
      </c>
      <c r="V41">
        <v>0</v>
      </c>
      <c r="W41">
        <v>0</v>
      </c>
      <c r="X41">
        <v>2</v>
      </c>
      <c r="Y41">
        <v>0</v>
      </c>
      <c r="Z41" t="s">
        <v>50</v>
      </c>
      <c r="AA41" t="s">
        <v>37</v>
      </c>
      <c r="AB41" t="s">
        <v>44</v>
      </c>
      <c r="AC41" t="s">
        <v>45</v>
      </c>
      <c r="AD41" t="s">
        <v>46</v>
      </c>
      <c r="AE41" t="s">
        <v>44</v>
      </c>
      <c r="AF41" t="s">
        <v>42</v>
      </c>
      <c r="AG41" t="s">
        <v>42</v>
      </c>
      <c r="AH41" t="s">
        <v>42</v>
      </c>
      <c r="AI41" t="s">
        <v>42</v>
      </c>
      <c r="AJ41" t="s">
        <v>42</v>
      </c>
      <c r="AK41" t="s">
        <v>45</v>
      </c>
      <c r="AL41">
        <v>0</v>
      </c>
      <c r="AM41">
        <v>0</v>
      </c>
      <c r="AN41">
        <v>0</v>
      </c>
      <c r="AO41">
        <v>0</v>
      </c>
      <c r="AP41">
        <v>0</v>
      </c>
      <c r="AQ41" t="s">
        <v>46</v>
      </c>
      <c r="AR41" s="6">
        <v>3.8357337599999999E-8</v>
      </c>
      <c r="AS41" s="6">
        <v>1.28526078E-30</v>
      </c>
      <c r="AT41">
        <v>2</v>
      </c>
      <c r="AU41" t="s">
        <v>47</v>
      </c>
      <c r="AV41">
        <v>0</v>
      </c>
      <c r="AW41">
        <v>0</v>
      </c>
      <c r="AX41">
        <v>0</v>
      </c>
      <c r="AY41">
        <v>2</v>
      </c>
      <c r="AZ41">
        <v>0</v>
      </c>
      <c r="BA41" t="s">
        <v>50</v>
      </c>
      <c r="BB41" t="s">
        <v>37</v>
      </c>
      <c r="BC41" t="s">
        <v>47</v>
      </c>
      <c r="BD41">
        <v>0</v>
      </c>
      <c r="BE41">
        <v>0</v>
      </c>
      <c r="BF41">
        <v>0</v>
      </c>
      <c r="BG41">
        <v>0</v>
      </c>
      <c r="BH41">
        <v>0</v>
      </c>
      <c r="BI41" t="s">
        <v>46</v>
      </c>
      <c r="BJ41">
        <v>-1E-8</v>
      </c>
      <c r="BK41">
        <v>0</v>
      </c>
      <c r="BL41">
        <v>4.0000000000000001E-8</v>
      </c>
      <c r="BN41" s="7">
        <f t="shared" si="0"/>
        <v>7.7400213818778234E-12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Mok, Ryan</dc:creator>
  <cp:lastModifiedBy>Mok, Ryan</cp:lastModifiedBy>
  <dcterms:created xsi:type="dcterms:W3CDTF">2025-10-29T16:09:25Z</dcterms:created>
  <dcterms:modified xsi:type="dcterms:W3CDTF">2025-12-17T19:19:07Z</dcterms:modified>
</cp:coreProperties>
</file>