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oding Projects\PhD Code\HOPO Codes\"/>
    </mc:Choice>
  </mc:AlternateContent>
  <xr:revisionPtr revIDLastSave="0" documentId="13_ncr:1_{74B5718C-7AD2-4590-BFCE-01009B610368}" xr6:coauthVersionLast="47" xr6:coauthVersionMax="47" xr10:uidLastSave="{00000000-0000-0000-0000-000000000000}"/>
  <bookViews>
    <workbookView xWindow="-110" yWindow="-110" windowWidth="19420" windowHeight="10420" activeTab="2" xr2:uid="{C4EB389D-0EE8-41F3-8D28-A6159FF445B2}"/>
  </bookViews>
  <sheets>
    <sheet name="vibration_transition_values" sheetId="1" r:id="rId1"/>
    <sheet name="tm_values_raw" sheetId="2" r:id="rId2"/>
    <sheet name="tm_valu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G2" i="1"/>
  <c r="G3" i="1"/>
  <c r="G4" i="1"/>
  <c r="G5" i="1"/>
  <c r="G6" i="1"/>
  <c r="BM2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19" i="2"/>
  <c r="BM120" i="2"/>
  <c r="BM121" i="2"/>
  <c r="BM122" i="2"/>
  <c r="BM123" i="2"/>
  <c r="BM124" i="2"/>
  <c r="BM125" i="2"/>
  <c r="BM126" i="2"/>
  <c r="BM127" i="2"/>
  <c r="BM128" i="2"/>
  <c r="BM129" i="2"/>
  <c r="BM130" i="2"/>
  <c r="BM131" i="2"/>
  <c r="BM132" i="2"/>
  <c r="BM133" i="2"/>
  <c r="BM134" i="2"/>
  <c r="BM135" i="2"/>
  <c r="BM136" i="2"/>
  <c r="BM137" i="2"/>
  <c r="BM138" i="2"/>
  <c r="BM139" i="2"/>
  <c r="BM140" i="2"/>
  <c r="BM141" i="2"/>
  <c r="BM142" i="2"/>
  <c r="BM143" i="2"/>
  <c r="BM144" i="2"/>
  <c r="BM145" i="2"/>
  <c r="BM146" i="2"/>
  <c r="BM147" i="2"/>
  <c r="BM148" i="2"/>
  <c r="BM149" i="2"/>
  <c r="BM150" i="2"/>
  <c r="BM151" i="2"/>
  <c r="BM152" i="2"/>
  <c r="BM153" i="2"/>
  <c r="BM154" i="2"/>
  <c r="BM155" i="2"/>
  <c r="BM156" i="2"/>
  <c r="BM157" i="2"/>
  <c r="BM158" i="2"/>
  <c r="BM159" i="2"/>
  <c r="BM160" i="2"/>
  <c r="BM161" i="2"/>
  <c r="BM162" i="2"/>
  <c r="BM163" i="2"/>
  <c r="BM164" i="2"/>
  <c r="BM165" i="2"/>
  <c r="BM166" i="2"/>
  <c r="BM167" i="2"/>
  <c r="BM168" i="2"/>
  <c r="BM169" i="2"/>
  <c r="BM170" i="2"/>
  <c r="BM171" i="2"/>
  <c r="BM172" i="2"/>
  <c r="BM173" i="2"/>
  <c r="BM174" i="2"/>
  <c r="BM175" i="2"/>
  <c r="BM176" i="2"/>
  <c r="BM177" i="2"/>
  <c r="BM178" i="2"/>
  <c r="BM179" i="2"/>
  <c r="BM180" i="2"/>
  <c r="BM181" i="2"/>
  <c r="BM182" i="2"/>
  <c r="BM183" i="2"/>
  <c r="BM184" i="2"/>
  <c r="BM185" i="2"/>
  <c r="BM186" i="2"/>
  <c r="BM187" i="2"/>
  <c r="BM188" i="2"/>
  <c r="BM189" i="2"/>
  <c r="BM190" i="2"/>
  <c r="BM191" i="2"/>
  <c r="BM192" i="2"/>
  <c r="BM193" i="2"/>
  <c r="BM194" i="2"/>
  <c r="BM195" i="2"/>
  <c r="BM196" i="2"/>
  <c r="BM197" i="2"/>
  <c r="BM198" i="2"/>
  <c r="BM199" i="2"/>
  <c r="BM200" i="2"/>
  <c r="BM201" i="2"/>
  <c r="BM202" i="2"/>
  <c r="BM203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19" i="2"/>
  <c r="BM220" i="2"/>
  <c r="BM221" i="2"/>
  <c r="BM222" i="2"/>
  <c r="BM223" i="2"/>
  <c r="BM224" i="2"/>
  <c r="BM225" i="2"/>
  <c r="BM226" i="2"/>
  <c r="BM227" i="2"/>
  <c r="BM228" i="2"/>
  <c r="BM229" i="2"/>
  <c r="BM230" i="2"/>
  <c r="BM231" i="2"/>
  <c r="BM232" i="2"/>
  <c r="BM233" i="2"/>
  <c r="BM234" i="2"/>
  <c r="BM235" i="2"/>
  <c r="BM236" i="2"/>
  <c r="BM237" i="2"/>
  <c r="BM238" i="2"/>
  <c r="BM239" i="2"/>
  <c r="BM240" i="2"/>
  <c r="BM241" i="2"/>
  <c r="BM242" i="2"/>
  <c r="BM243" i="2"/>
  <c r="BM244" i="2"/>
  <c r="BM245" i="2"/>
  <c r="BM246" i="2"/>
  <c r="BM247" i="2"/>
  <c r="BM248" i="2"/>
  <c r="BM249" i="2"/>
  <c r="BM250" i="2"/>
  <c r="BM251" i="2"/>
  <c r="BM252" i="2"/>
  <c r="BM253" i="2"/>
  <c r="BM254" i="2"/>
  <c r="BM255" i="2"/>
  <c r="BM256" i="2"/>
  <c r="BM257" i="2"/>
  <c r="BM258" i="2"/>
  <c r="BM259" i="2"/>
  <c r="BM260" i="2"/>
  <c r="BM261" i="2"/>
  <c r="BM262" i="2"/>
  <c r="BM263" i="2"/>
  <c r="BM264" i="2"/>
  <c r="BM265" i="2"/>
  <c r="BM266" i="2"/>
  <c r="BM267" i="2"/>
  <c r="BM268" i="2"/>
  <c r="BM269" i="2"/>
  <c r="BM270" i="2"/>
  <c r="BM271" i="2"/>
  <c r="BM272" i="2"/>
  <c r="BM273" i="2"/>
  <c r="BM274" i="2"/>
  <c r="BM275" i="2"/>
  <c r="BM276" i="2"/>
  <c r="BM277" i="2"/>
  <c r="BM278" i="2"/>
  <c r="BM279" i="2"/>
  <c r="BM280" i="2"/>
  <c r="BM281" i="2"/>
  <c r="BM282" i="2"/>
  <c r="BM283" i="2"/>
  <c r="BM284" i="2"/>
  <c r="BM285" i="2"/>
  <c r="BM286" i="2"/>
  <c r="BM287" i="2"/>
  <c r="BM288" i="2"/>
  <c r="BM289" i="2"/>
  <c r="BM290" i="2"/>
  <c r="BM291" i="2"/>
  <c r="BM292" i="2"/>
  <c r="BM293" i="2"/>
  <c r="BM294" i="2"/>
  <c r="BM295" i="2"/>
  <c r="BM296" i="2"/>
  <c r="BM297" i="2"/>
  <c r="BM298" i="2"/>
  <c r="BM299" i="2"/>
  <c r="BM300" i="2"/>
  <c r="BM301" i="2"/>
  <c r="BM302" i="2"/>
  <c r="BM303" i="2"/>
  <c r="BM304" i="2"/>
  <c r="BM305" i="2"/>
  <c r="BM306" i="2"/>
  <c r="BM307" i="2"/>
  <c r="BM308" i="2"/>
  <c r="BM309" i="2"/>
  <c r="BM310" i="2"/>
  <c r="BM311" i="2"/>
  <c r="BM312" i="2"/>
  <c r="BM313" i="2"/>
  <c r="BM314" i="2"/>
  <c r="BM315" i="2"/>
  <c r="BM316" i="2"/>
  <c r="BM317" i="2"/>
  <c r="BM318" i="2"/>
  <c r="BM319" i="2"/>
  <c r="BM320" i="2"/>
  <c r="BM321" i="2"/>
  <c r="BM322" i="2"/>
  <c r="BM323" i="2"/>
  <c r="BM324" i="2"/>
  <c r="BM325" i="2"/>
  <c r="BM326" i="2"/>
  <c r="BM327" i="2"/>
  <c r="BM328" i="2"/>
  <c r="BM329" i="2"/>
  <c r="BM330" i="2"/>
  <c r="BM331" i="2"/>
  <c r="BM332" i="2"/>
  <c r="BM333" i="2"/>
  <c r="BM334" i="2"/>
  <c r="BM335" i="2"/>
  <c r="BM336" i="2"/>
  <c r="BM337" i="2"/>
  <c r="BM338" i="2"/>
  <c r="BM339" i="2"/>
  <c r="BM340" i="2"/>
  <c r="BM341" i="2"/>
  <c r="BM342" i="2"/>
  <c r="BM343" i="2"/>
  <c r="BM344" i="2"/>
  <c r="BM345" i="2"/>
  <c r="BM346" i="2"/>
  <c r="BM347" i="2"/>
  <c r="BM348" i="2"/>
  <c r="BM349" i="2"/>
  <c r="BM350" i="2"/>
  <c r="BM351" i="2"/>
  <c r="BM352" i="2"/>
  <c r="BM353" i="2"/>
  <c r="BM354" i="2"/>
  <c r="BM355" i="2"/>
  <c r="BM356" i="2"/>
  <c r="BM357" i="2"/>
  <c r="BM358" i="2"/>
  <c r="BM359" i="2"/>
  <c r="BM360" i="2"/>
  <c r="BM361" i="2"/>
  <c r="BM362" i="2"/>
  <c r="BM363" i="2"/>
  <c r="BM364" i="2"/>
  <c r="BM365" i="2"/>
  <c r="BM366" i="2"/>
  <c r="BM367" i="2"/>
  <c r="BM368" i="2"/>
  <c r="BM369" i="2"/>
  <c r="BM370" i="2"/>
  <c r="BM371" i="2"/>
  <c r="BM372" i="2"/>
  <c r="BM373" i="2"/>
  <c r="BM374" i="2"/>
  <c r="BM375" i="2"/>
  <c r="BM376" i="2"/>
  <c r="BM377" i="2"/>
  <c r="BM378" i="2"/>
  <c r="BM379" i="2"/>
  <c r="BM380" i="2"/>
  <c r="BM381" i="2"/>
  <c r="BM382" i="2"/>
  <c r="BM383" i="2"/>
  <c r="BM384" i="2"/>
  <c r="BM385" i="2"/>
  <c r="BM386" i="2"/>
  <c r="BM387" i="2"/>
  <c r="BM388" i="2"/>
  <c r="BM389" i="2"/>
  <c r="BM390" i="2"/>
  <c r="BM391" i="2"/>
  <c r="BM392" i="2"/>
  <c r="BM393" i="2"/>
  <c r="BM394" i="2"/>
  <c r="BM395" i="2"/>
  <c r="BM396" i="2"/>
  <c r="BM397" i="2"/>
  <c r="BM398" i="2"/>
  <c r="BM399" i="2"/>
  <c r="BM400" i="2"/>
  <c r="BM401" i="2"/>
  <c r="BM402" i="2"/>
  <c r="BM403" i="2"/>
  <c r="BM404" i="2"/>
  <c r="BM405" i="2"/>
  <c r="BM406" i="2"/>
  <c r="BM407" i="2"/>
  <c r="BM408" i="2"/>
  <c r="BM409" i="2"/>
  <c r="BM410" i="2"/>
  <c r="BM411" i="2"/>
  <c r="BM412" i="2"/>
  <c r="BM413" i="2"/>
  <c r="BM414" i="2"/>
  <c r="BM415" i="2"/>
  <c r="BM416" i="2"/>
  <c r="BM417" i="2"/>
  <c r="BM418" i="2"/>
  <c r="BM419" i="2"/>
  <c r="BM420" i="2"/>
  <c r="BM421" i="2"/>
  <c r="BM422" i="2"/>
  <c r="BM423" i="2"/>
  <c r="BM424" i="2"/>
  <c r="BM425" i="2"/>
  <c r="BM426" i="2"/>
  <c r="BM427" i="2"/>
  <c r="BM428" i="2"/>
  <c r="BM429" i="2"/>
  <c r="BM430" i="2"/>
  <c r="BM431" i="2"/>
  <c r="BM432" i="2"/>
  <c r="BM433" i="2"/>
  <c r="BM434" i="2"/>
  <c r="BM435" i="2"/>
  <c r="BM436" i="2"/>
  <c r="BM437" i="2"/>
  <c r="BM438" i="2"/>
  <c r="BM439" i="2"/>
  <c r="BM440" i="2"/>
  <c r="BM441" i="2"/>
  <c r="BM442" i="2"/>
  <c r="BM443" i="2"/>
  <c r="BM444" i="2"/>
  <c r="BM445" i="2"/>
  <c r="BM446" i="2"/>
  <c r="BM447" i="2"/>
  <c r="BM448" i="2"/>
  <c r="BM449" i="2"/>
  <c r="BM450" i="2"/>
  <c r="BM451" i="2"/>
  <c r="BM452" i="2"/>
  <c r="BM453" i="2"/>
  <c r="BM454" i="2"/>
  <c r="BM455" i="2"/>
  <c r="BM456" i="2"/>
  <c r="BM457" i="2"/>
  <c r="BM458" i="2"/>
  <c r="BM459" i="2"/>
  <c r="BM460" i="2"/>
  <c r="BM461" i="2"/>
  <c r="BM462" i="2"/>
  <c r="BM463" i="2"/>
  <c r="BM464" i="2"/>
  <c r="BM465" i="2"/>
  <c r="BM466" i="2"/>
  <c r="BM467" i="2"/>
  <c r="BM468" i="2"/>
  <c r="BM469" i="2"/>
  <c r="BM470" i="2"/>
  <c r="BM471" i="2"/>
  <c r="BM472" i="2"/>
  <c r="BM473" i="2"/>
  <c r="BM474" i="2"/>
  <c r="BM475" i="2"/>
  <c r="BM476" i="2"/>
  <c r="BM477" i="2"/>
  <c r="BM478" i="2"/>
  <c r="BM479" i="2"/>
  <c r="BM480" i="2"/>
  <c r="BM481" i="2"/>
  <c r="BM482" i="2"/>
  <c r="BM483" i="2"/>
  <c r="BM484" i="2"/>
  <c r="BM485" i="2"/>
  <c r="BM486" i="2"/>
  <c r="BM487" i="2"/>
  <c r="BM488" i="2"/>
  <c r="BM489" i="2"/>
  <c r="BM490" i="2"/>
  <c r="BM491" i="2"/>
  <c r="BM492" i="2"/>
  <c r="BM493" i="2"/>
  <c r="BM494" i="2"/>
  <c r="BM495" i="2"/>
  <c r="BM496" i="2"/>
  <c r="BM497" i="2"/>
  <c r="BM498" i="2"/>
  <c r="BM499" i="2"/>
  <c r="BM500" i="2"/>
  <c r="BM501" i="2"/>
  <c r="BM502" i="2"/>
  <c r="BM503" i="2"/>
  <c r="BM504" i="2"/>
  <c r="BM505" i="2"/>
  <c r="BM506" i="2"/>
  <c r="BM507" i="2"/>
  <c r="BM508" i="2"/>
  <c r="BM509" i="2"/>
  <c r="BM510" i="2"/>
  <c r="BM511" i="2"/>
  <c r="BM512" i="2"/>
  <c r="BM513" i="2"/>
  <c r="BM514" i="2"/>
  <c r="BM515" i="2"/>
  <c r="BM516" i="2"/>
  <c r="BM517" i="2"/>
  <c r="BM518" i="2"/>
  <c r="BM519" i="2"/>
  <c r="BM520" i="2"/>
  <c r="BM521" i="2"/>
  <c r="BM522" i="2"/>
  <c r="BM523" i="2"/>
  <c r="BM524" i="2"/>
  <c r="BM525" i="2"/>
  <c r="BM526" i="2"/>
  <c r="BM527" i="2"/>
  <c r="BM528" i="2"/>
  <c r="BM529" i="2"/>
  <c r="BM530" i="2"/>
  <c r="BM531" i="2"/>
  <c r="BM532" i="2"/>
  <c r="BM533" i="2"/>
  <c r="BM534" i="2"/>
  <c r="BM535" i="2"/>
  <c r="BM536" i="2"/>
  <c r="BM537" i="2"/>
  <c r="BM538" i="2"/>
  <c r="BM539" i="2"/>
  <c r="BM540" i="2"/>
  <c r="BM541" i="2"/>
  <c r="BM542" i="2"/>
  <c r="BM543" i="2"/>
  <c r="BM544" i="2"/>
  <c r="BM545" i="2"/>
  <c r="BM546" i="2"/>
  <c r="BM547" i="2"/>
  <c r="BM548" i="2"/>
  <c r="BM549" i="2"/>
  <c r="BM550" i="2"/>
  <c r="BM551" i="2"/>
  <c r="BM552" i="2"/>
  <c r="BM553" i="2"/>
  <c r="BM554" i="2"/>
  <c r="BM555" i="2"/>
  <c r="BM556" i="2"/>
  <c r="BM557" i="2"/>
  <c r="BM558" i="2"/>
  <c r="BM559" i="2"/>
  <c r="BM560" i="2"/>
  <c r="BM561" i="2"/>
  <c r="BM562" i="2"/>
  <c r="BM563" i="2"/>
  <c r="BM564" i="2"/>
  <c r="BM565" i="2"/>
  <c r="BM566" i="2"/>
  <c r="BM567" i="2"/>
  <c r="BM568" i="2"/>
  <c r="BM569" i="2"/>
  <c r="BM570" i="2"/>
  <c r="BM571" i="2"/>
  <c r="BM572" i="2"/>
  <c r="BM573" i="2"/>
  <c r="BM574" i="2"/>
  <c r="BM575" i="2"/>
  <c r="BM576" i="2"/>
  <c r="BM577" i="2"/>
  <c r="BM578" i="2"/>
  <c r="BM579" i="2"/>
  <c r="BM580" i="2"/>
  <c r="BM581" i="2"/>
  <c r="BM582" i="2"/>
  <c r="BM583" i="2"/>
  <c r="BM584" i="2"/>
  <c r="BM585" i="2"/>
  <c r="BM586" i="2"/>
  <c r="BM587" i="2"/>
  <c r="BM588" i="2"/>
  <c r="BM589" i="2"/>
  <c r="BM590" i="2"/>
  <c r="BM591" i="2"/>
  <c r="BM592" i="2"/>
  <c r="BM593" i="2"/>
  <c r="BM594" i="2"/>
  <c r="BM595" i="2"/>
  <c r="BM596" i="2"/>
  <c r="BM597" i="2"/>
  <c r="BM598" i="2"/>
  <c r="BM599" i="2"/>
  <c r="BM600" i="2"/>
  <c r="BM601" i="2"/>
  <c r="BM602" i="2"/>
  <c r="BM603" i="2"/>
  <c r="BM604" i="2"/>
  <c r="BM605" i="2"/>
  <c r="BM606" i="2"/>
  <c r="BM607" i="2"/>
  <c r="BM608" i="2"/>
  <c r="BM609" i="2"/>
  <c r="BM610" i="2"/>
  <c r="BM611" i="2"/>
  <c r="BM612" i="2"/>
  <c r="BM613" i="2"/>
  <c r="BM614" i="2"/>
  <c r="BM615" i="2"/>
  <c r="BM616" i="2"/>
  <c r="BM617" i="2"/>
  <c r="BM618" i="2"/>
  <c r="BM619" i="2"/>
  <c r="BM620" i="2"/>
  <c r="BM621" i="2"/>
  <c r="BM622" i="2"/>
  <c r="BM623" i="2"/>
  <c r="BM624" i="2"/>
  <c r="BM625" i="2"/>
  <c r="BM626" i="2"/>
  <c r="BM627" i="2"/>
  <c r="BM628" i="2"/>
  <c r="BM629" i="2"/>
  <c r="BM630" i="2"/>
  <c r="BM631" i="2"/>
  <c r="BM632" i="2"/>
  <c r="BM633" i="2"/>
  <c r="BM634" i="2"/>
  <c r="BM635" i="2"/>
  <c r="BM636" i="2"/>
  <c r="BM637" i="2"/>
  <c r="BM638" i="2"/>
  <c r="BM639" i="2"/>
  <c r="BM640" i="2"/>
  <c r="BM641" i="2"/>
  <c r="BM642" i="2"/>
  <c r="BM643" i="2"/>
  <c r="BM644" i="2"/>
  <c r="BM645" i="2"/>
  <c r="BM646" i="2"/>
  <c r="BM647" i="2"/>
  <c r="BM648" i="2"/>
  <c r="BM649" i="2"/>
  <c r="BM650" i="2"/>
  <c r="BM651" i="2"/>
  <c r="BM652" i="2"/>
  <c r="BM653" i="2"/>
  <c r="BM654" i="2"/>
  <c r="BM655" i="2"/>
  <c r="BM656" i="2"/>
  <c r="BM657" i="2"/>
  <c r="BM658" i="2"/>
  <c r="BM659" i="2"/>
  <c r="BM660" i="2"/>
  <c r="BM661" i="2"/>
  <c r="BM662" i="2"/>
  <c r="BM663" i="2"/>
  <c r="BM664" i="2"/>
  <c r="BM665" i="2"/>
  <c r="BM666" i="2"/>
  <c r="BM667" i="2"/>
  <c r="BM668" i="2"/>
  <c r="BM669" i="2"/>
  <c r="BM670" i="2"/>
  <c r="BM671" i="2"/>
  <c r="BM672" i="2"/>
  <c r="BM673" i="2"/>
  <c r="BM674" i="2"/>
  <c r="BM675" i="2"/>
  <c r="BM676" i="2"/>
  <c r="BM677" i="2"/>
  <c r="BM678" i="2"/>
  <c r="BM679" i="2"/>
  <c r="BM680" i="2"/>
  <c r="BM681" i="2"/>
  <c r="BM682" i="2"/>
  <c r="BM683" i="2"/>
  <c r="BM684" i="2"/>
  <c r="BM685" i="2"/>
  <c r="BM686" i="2"/>
  <c r="BM687" i="2"/>
  <c r="BM688" i="2"/>
  <c r="BM689" i="2"/>
  <c r="BM690" i="2"/>
  <c r="BM691" i="2"/>
  <c r="BM692" i="2"/>
  <c r="BM693" i="2"/>
  <c r="BM694" i="2"/>
  <c r="BM695" i="2"/>
  <c r="BM696" i="2"/>
  <c r="BM697" i="2"/>
  <c r="BM698" i="2"/>
  <c r="BM699" i="2"/>
  <c r="BM700" i="2"/>
  <c r="BM701" i="2"/>
  <c r="BM702" i="2"/>
  <c r="BM703" i="2"/>
  <c r="BM704" i="2"/>
  <c r="BM705" i="2"/>
  <c r="BM706" i="2"/>
  <c r="BM707" i="2"/>
  <c r="BM708" i="2"/>
  <c r="BM709" i="2"/>
  <c r="BM710" i="2"/>
  <c r="BM711" i="2"/>
  <c r="BM712" i="2"/>
  <c r="BM713" i="2"/>
  <c r="BM714" i="2"/>
  <c r="BM715" i="2"/>
  <c r="BM716" i="2"/>
  <c r="BM717" i="2"/>
  <c r="BM718" i="2"/>
  <c r="BM719" i="2"/>
  <c r="BM720" i="2"/>
  <c r="BM721" i="2"/>
  <c r="BM722" i="2"/>
  <c r="BM723" i="2"/>
  <c r="BM724" i="2"/>
  <c r="BM725" i="2"/>
  <c r="BM726" i="2"/>
  <c r="BM727" i="2"/>
  <c r="BM728" i="2"/>
  <c r="BM729" i="2"/>
  <c r="BM730" i="2"/>
  <c r="BM731" i="2"/>
  <c r="BM732" i="2"/>
  <c r="BM733" i="2"/>
  <c r="BM734" i="2"/>
  <c r="BM735" i="2"/>
  <c r="BM736" i="2"/>
  <c r="BM737" i="2"/>
  <c r="BM738" i="2"/>
  <c r="BM739" i="2"/>
  <c r="BM740" i="2"/>
  <c r="BM741" i="2"/>
  <c r="BM742" i="2"/>
  <c r="BM743" i="2"/>
  <c r="BM744" i="2"/>
  <c r="BM745" i="2"/>
  <c r="BM746" i="2"/>
  <c r="BM747" i="2"/>
  <c r="BM748" i="2"/>
  <c r="BM749" i="2"/>
  <c r="BM750" i="2"/>
  <c r="BM751" i="2"/>
  <c r="BM752" i="2"/>
  <c r="BM753" i="2"/>
  <c r="BM754" i="2"/>
  <c r="BM755" i="2"/>
  <c r="BM756" i="2"/>
  <c r="BM757" i="2"/>
  <c r="BM758" i="2"/>
  <c r="BM759" i="2"/>
  <c r="BM760" i="2"/>
  <c r="BM761" i="2"/>
  <c r="BM762" i="2"/>
  <c r="BM763" i="2"/>
  <c r="BM764" i="2"/>
  <c r="BM765" i="2"/>
  <c r="BM766" i="2"/>
  <c r="BM767" i="2"/>
  <c r="BM768" i="2"/>
  <c r="BM769" i="2"/>
  <c r="BM770" i="2"/>
  <c r="BM771" i="2"/>
  <c r="BM772" i="2"/>
  <c r="BM773" i="2"/>
  <c r="BM774" i="2"/>
  <c r="BM775" i="2"/>
  <c r="BM776" i="2"/>
  <c r="BM777" i="2"/>
  <c r="BM778" i="2"/>
  <c r="BM779" i="2"/>
  <c r="BM780" i="2"/>
  <c r="BM781" i="2"/>
  <c r="BM782" i="2"/>
  <c r="BM783" i="2"/>
  <c r="BM784" i="2"/>
  <c r="BM785" i="2"/>
  <c r="BM786" i="2"/>
  <c r="BM787" i="2"/>
  <c r="BM788" i="2"/>
  <c r="BM789" i="2"/>
  <c r="BM790" i="2"/>
  <c r="BM791" i="2"/>
  <c r="BM792" i="2"/>
  <c r="BM793" i="2"/>
  <c r="BM794" i="2"/>
  <c r="BM795" i="2"/>
  <c r="BM796" i="2"/>
  <c r="BM797" i="2"/>
  <c r="BM798" i="2"/>
  <c r="BM799" i="2"/>
  <c r="BM800" i="2"/>
  <c r="BM801" i="2"/>
  <c r="BM802" i="2"/>
  <c r="BM803" i="2"/>
  <c r="BM804" i="2"/>
  <c r="BM805" i="2"/>
  <c r="BM806" i="2"/>
  <c r="BM807" i="2"/>
  <c r="BM808" i="2"/>
  <c r="BM809" i="2"/>
  <c r="BM810" i="2"/>
  <c r="BM811" i="2"/>
  <c r="BM812" i="2"/>
  <c r="BM813" i="2"/>
  <c r="BM814" i="2"/>
  <c r="BM815" i="2"/>
  <c r="BM816" i="2"/>
  <c r="BM817" i="2"/>
  <c r="BM818" i="2"/>
  <c r="BM819" i="2"/>
  <c r="BM820" i="2"/>
  <c r="BM821" i="2"/>
  <c r="BM822" i="2"/>
  <c r="BM823" i="2"/>
  <c r="BM824" i="2"/>
  <c r="BM825" i="2"/>
  <c r="BM826" i="2"/>
  <c r="BM827" i="2"/>
  <c r="BM828" i="2"/>
  <c r="BM829" i="2"/>
  <c r="BM830" i="2"/>
  <c r="BM831" i="2"/>
  <c r="BM832" i="2"/>
  <c r="BM833" i="2"/>
  <c r="BM834" i="2"/>
  <c r="BM835" i="2"/>
  <c r="BM836" i="2"/>
  <c r="BM837" i="2"/>
  <c r="BM838" i="2"/>
  <c r="BM839" i="2"/>
  <c r="BM840" i="2"/>
  <c r="BM841" i="2"/>
  <c r="BM842" i="2"/>
  <c r="BM843" i="2"/>
  <c r="BM844" i="2"/>
  <c r="BM845" i="2"/>
  <c r="BM846" i="2"/>
  <c r="BM847" i="2"/>
  <c r="BM848" i="2"/>
  <c r="BM849" i="2"/>
  <c r="BM850" i="2"/>
  <c r="BM851" i="2"/>
  <c r="BM852" i="2"/>
  <c r="BM853" i="2"/>
  <c r="BM854" i="2"/>
  <c r="BM855" i="2"/>
  <c r="BM856" i="2"/>
  <c r="BM857" i="2"/>
  <c r="BM858" i="2"/>
  <c r="BM859" i="2"/>
  <c r="BM860" i="2"/>
  <c r="BM861" i="2"/>
  <c r="BM862" i="2"/>
  <c r="BM863" i="2"/>
  <c r="BM864" i="2"/>
  <c r="BM865" i="2"/>
  <c r="BM866" i="2"/>
  <c r="BM867" i="2"/>
  <c r="BM868" i="2"/>
  <c r="BM869" i="2"/>
  <c r="BM870" i="2"/>
  <c r="BM871" i="2"/>
  <c r="BM872" i="2"/>
  <c r="BM873" i="2"/>
  <c r="BM874" i="2"/>
  <c r="BM875" i="2"/>
  <c r="BM876" i="2"/>
  <c r="BM877" i="2"/>
  <c r="BM878" i="2"/>
  <c r="BM879" i="2"/>
  <c r="BM880" i="2"/>
  <c r="BM881" i="2"/>
  <c r="BM882" i="2"/>
  <c r="BM883" i="2"/>
  <c r="BM884" i="2"/>
  <c r="BM885" i="2"/>
  <c r="BM886" i="2"/>
  <c r="BM887" i="2"/>
  <c r="BM888" i="2"/>
  <c r="BM889" i="2"/>
  <c r="BM890" i="2"/>
  <c r="BM891" i="2"/>
  <c r="BM892" i="2"/>
  <c r="BM893" i="2"/>
  <c r="BM894" i="2"/>
  <c r="BM895" i="2"/>
  <c r="BM896" i="2"/>
  <c r="BM897" i="2"/>
  <c r="BM898" i="2"/>
  <c r="BM899" i="2"/>
  <c r="BM900" i="2"/>
  <c r="BM901" i="2"/>
  <c r="BM902" i="2"/>
  <c r="BM903" i="2"/>
  <c r="BM904" i="2"/>
  <c r="BM905" i="2"/>
  <c r="BM906" i="2"/>
  <c r="BM907" i="2"/>
  <c r="BM908" i="2"/>
  <c r="BM909" i="2"/>
  <c r="BM910" i="2"/>
  <c r="BM911" i="2"/>
  <c r="BM912" i="2"/>
  <c r="BM913" i="2"/>
  <c r="BM914" i="2"/>
  <c r="BM915" i="2"/>
  <c r="BM916" i="2"/>
  <c r="BM917" i="2"/>
  <c r="BM918" i="2"/>
  <c r="BM919" i="2"/>
  <c r="BM920" i="2"/>
  <c r="BM921" i="2"/>
  <c r="BM922" i="2"/>
  <c r="BM923" i="2"/>
  <c r="BM924" i="2"/>
  <c r="BM925" i="2"/>
  <c r="BM926" i="2"/>
  <c r="BM927" i="2"/>
  <c r="BM928" i="2"/>
  <c r="BM929" i="2"/>
  <c r="BM930" i="2"/>
  <c r="BM931" i="2"/>
  <c r="BM932" i="2"/>
  <c r="BM933" i="2"/>
  <c r="BM934" i="2"/>
  <c r="BM935" i="2"/>
  <c r="BM936" i="2"/>
  <c r="BM937" i="2"/>
  <c r="BM938" i="2"/>
  <c r="BM939" i="2"/>
  <c r="BM940" i="2"/>
  <c r="BM941" i="2"/>
  <c r="BM942" i="2"/>
  <c r="BM943" i="2"/>
  <c r="BM944" i="2"/>
  <c r="BM945" i="2"/>
  <c r="BM946" i="2"/>
  <c r="BM947" i="2"/>
  <c r="BM948" i="2"/>
  <c r="BM949" i="2"/>
  <c r="BM950" i="2"/>
  <c r="BM951" i="2"/>
  <c r="BM952" i="2"/>
  <c r="BM953" i="2"/>
  <c r="BM954" i="2"/>
  <c r="BM955" i="2"/>
  <c r="BM956" i="2"/>
  <c r="BM957" i="2"/>
  <c r="BM958" i="2"/>
  <c r="BM959" i="2"/>
  <c r="BM960" i="2"/>
  <c r="BM961" i="2"/>
  <c r="BM962" i="2"/>
  <c r="BM963" i="2"/>
  <c r="BM964" i="2"/>
  <c r="BM965" i="2"/>
  <c r="BM966" i="2"/>
  <c r="BM967" i="2"/>
  <c r="BM968" i="2"/>
  <c r="BM969" i="2"/>
  <c r="BM970" i="2"/>
  <c r="BM971" i="2"/>
  <c r="BM972" i="2"/>
  <c r="BM973" i="2"/>
  <c r="BM974" i="2"/>
  <c r="BM975" i="2"/>
  <c r="BM976" i="2"/>
  <c r="BM977" i="2"/>
  <c r="BM978" i="2"/>
  <c r="BM979" i="2"/>
  <c r="BM980" i="2"/>
  <c r="BM981" i="2"/>
  <c r="BM982" i="2"/>
  <c r="BM983" i="2"/>
  <c r="BM984" i="2"/>
  <c r="BM985" i="2"/>
  <c r="BM986" i="2"/>
  <c r="BM987" i="2"/>
  <c r="BM988" i="2"/>
  <c r="BM989" i="2"/>
  <c r="BM990" i="2"/>
  <c r="BM991" i="2"/>
  <c r="BM992" i="2"/>
  <c r="BM993" i="2"/>
  <c r="BM994" i="2"/>
  <c r="BM995" i="2"/>
  <c r="BM996" i="2"/>
  <c r="BM997" i="2"/>
  <c r="BM998" i="2"/>
  <c r="BM999" i="2"/>
  <c r="BM1000" i="2"/>
  <c r="BM1001" i="2"/>
  <c r="BM1002" i="2"/>
  <c r="BM1003" i="2"/>
  <c r="BM1004" i="2"/>
  <c r="BM1005" i="2"/>
  <c r="BM1006" i="2"/>
  <c r="BM1007" i="2"/>
  <c r="BM1008" i="2"/>
  <c r="BM1009" i="2"/>
  <c r="BM1010" i="2"/>
  <c r="BM1011" i="2"/>
  <c r="BM1012" i="2"/>
  <c r="BM1013" i="2"/>
  <c r="BM1" i="2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<sst xmlns="http://schemas.openxmlformats.org/spreadsheetml/2006/main" count="33438" uniqueCount="39">
  <si>
    <t>trans zero-point (0,0,0,0,0,2)</t>
  </si>
  <si>
    <t>fundamental vibrations</t>
  </si>
  <si>
    <t>torsion</t>
  </si>
  <si>
    <t>A'</t>
  </si>
  <si>
    <t>&lt;-</t>
  </si>
  <si>
    <t>D</t>
  </si>
  <si>
    <t>(A'</t>
  </si>
  <si>
    <t>;</t>
  </si>
  <si>
    <t>0)</t>
  </si>
  <si>
    <t>2)</t>
  </si>
  <si>
    <t>(</t>
  </si>
  <si>
    <t>A"</t>
  </si>
  <si>
    <t>9)</t>
  </si>
  <si>
    <t>5)</t>
  </si>
  <si>
    <t>4)</t>
  </si>
  <si>
    <t>3)</t>
  </si>
  <si>
    <t>13)</t>
  </si>
  <si>
    <t>15)</t>
  </si>
  <si>
    <t>1)</t>
  </si>
  <si>
    <t>8)</t>
  </si>
  <si>
    <t>18)</t>
  </si>
  <si>
    <t>6)</t>
  </si>
  <si>
    <t>11)</t>
  </si>
  <si>
    <t>12)</t>
  </si>
  <si>
    <t>7)</t>
  </si>
  <si>
    <t>16)</t>
  </si>
  <si>
    <t>22)</t>
  </si>
  <si>
    <t>14)</t>
  </si>
  <si>
    <t>17)</t>
  </si>
  <si>
    <t>10)</t>
  </si>
  <si>
    <t>19)</t>
  </si>
  <si>
    <t>21)</t>
  </si>
  <si>
    <t>20)</t>
  </si>
  <si>
    <t>(0,0,0,0,0,3)</t>
  </si>
  <si>
    <t>energies</t>
  </si>
  <si>
    <t>tm (original)</t>
  </si>
  <si>
    <t>tm modified</t>
  </si>
  <si>
    <t>erfort</t>
  </si>
  <si>
    <t>not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</si>
</sst>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0BBC-EC0E-4FF4-84E8-41DD11517599}">
  <dimension ref="A1:G7"/>
  <sheetViews>
    <sheetView workbookViewId="0">
      <selection activeCell="C2" sqref="C2"/>
    </sheetView>
  </sheetViews>
  <sheetFormatPr defaultRowHeight="14.5" x14ac:dyDescent="0.35"/>
  <cols>
    <col min="1" max="1" width="24.1796875" bestFit="1" customWidth="1"/>
    <col min="3" max="3" width="19.453125" bestFit="1" customWidth="1"/>
    <col min="6" max="6" width="11.7265625" customWidth="1"/>
  </cols>
  <sheetData>
    <row r="1" spans="1:7" x14ac:dyDescent="0.35">
      <c r="A1" t="s">
        <v>0</v>
      </c>
      <c r="C1" t="s">
        <v>1</v>
      </c>
      <c r="F1" t="s">
        <v>33</v>
      </c>
    </row>
    <row r="2" spans="1:7" x14ac:dyDescent="0.35">
      <c r="A2">
        <v>990.16341899999998</v>
      </c>
      <c r="C2">
        <f>1827.905722-A2</f>
        <v>837.74230299999999</v>
      </c>
      <c r="F2">
        <v>1053.6615810000001</v>
      </c>
      <c r="G2">
        <f>1915.69702-F2</f>
        <v>862.035439</v>
      </c>
    </row>
    <row r="3" spans="1:7" x14ac:dyDescent="0.35">
      <c r="C3">
        <f>2277.994723-A2</f>
        <v>1287.8313039999998</v>
      </c>
      <c r="G3">
        <f>2321.896849-F2</f>
        <v>1268.2352680000001</v>
      </c>
    </row>
    <row r="4" spans="1:7" x14ac:dyDescent="0.35">
      <c r="C4">
        <f>4624.974764-A2</f>
        <v>3634.8113449999996</v>
      </c>
      <c r="G4">
        <f>4618.877159 -F2</f>
        <v>3565.2155779999994</v>
      </c>
    </row>
    <row r="5" spans="1:7" x14ac:dyDescent="0.35">
      <c r="C5">
        <f>1406.362909-A2</f>
        <v>416.19948999999997</v>
      </c>
      <c r="G5">
        <f>1450.605139-F2</f>
        <v>396.94355799999994</v>
      </c>
    </row>
    <row r="6" spans="1:7" x14ac:dyDescent="0.35">
      <c r="C6">
        <f>1927.338129-A2</f>
        <v>937.17471</v>
      </c>
      <c r="G6">
        <f>2081.731528-F2</f>
        <v>1028.0699469999997</v>
      </c>
    </row>
    <row r="7" spans="1:7" x14ac:dyDescent="0.35">
      <c r="C7">
        <f>1442.103857-A2</f>
        <v>451.94043800000009</v>
      </c>
      <c r="D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DB5E-5D6F-4BA2-AAB7-39DE332186FE}">
  <dimension ref="A1:BM1013"/>
  <sheetViews>
    <sheetView topLeftCell="N1" workbookViewId="0">
      <selection activeCell="BM3" sqref="BM3"/>
    </sheetView>
  </sheetViews>
  <sheetFormatPr defaultRowHeight="14.5" x14ac:dyDescent="0.35"/>
  <cols>
    <col min="1" max="1" width="1.81640625" bestFit="1" customWidth="1"/>
    <col min="2" max="2" width="2.54296875" bestFit="1" customWidth="1"/>
    <col min="3" max="3" width="2.453125" bestFit="1" customWidth="1"/>
    <col min="4" max="4" width="1.81640625" bestFit="1" customWidth="1"/>
    <col min="5" max="5" width="2.26953125" bestFit="1" customWidth="1"/>
    <col min="6" max="6" width="2.08984375" bestFit="1" customWidth="1"/>
    <col min="7" max="7" width="11.81640625" bestFit="1" customWidth="1"/>
    <col min="8" max="8" width="2.453125" bestFit="1" customWidth="1"/>
    <col min="9" max="9" width="10.81640625" bestFit="1" customWidth="1"/>
    <col min="10" max="10" width="11.81640625" bestFit="1" customWidth="1"/>
    <col min="11" max="11" width="2.90625" bestFit="1" customWidth="1"/>
    <col min="12" max="12" width="1.36328125" bestFit="1" customWidth="1"/>
    <col min="13" max="13" width="2.453125" bestFit="1" customWidth="1"/>
    <col min="14" max="14" width="2.90625" bestFit="1" customWidth="1"/>
    <col min="15" max="18" width="2.26953125" bestFit="1" customWidth="1"/>
    <col min="19" max="19" width="2.54296875" bestFit="1" customWidth="1"/>
    <col min="20" max="20" width="1.36328125" bestFit="1" customWidth="1"/>
    <col min="21" max="25" width="1.81640625" bestFit="1" customWidth="1"/>
    <col min="26" max="26" width="3.453125" bestFit="1" customWidth="1"/>
    <col min="27" max="27" width="2.453125" bestFit="1" customWidth="1"/>
    <col min="28" max="28" width="2.90625" bestFit="1" customWidth="1"/>
    <col min="29" max="29" width="1.36328125" bestFit="1" customWidth="1"/>
    <col min="30" max="30" width="2.453125" bestFit="1" customWidth="1"/>
    <col min="31" max="31" width="2.90625" bestFit="1" customWidth="1"/>
    <col min="32" max="36" width="2.26953125" bestFit="1" customWidth="1"/>
    <col min="37" max="37" width="1.36328125" bestFit="1" customWidth="1"/>
    <col min="38" max="42" width="1.81640625" bestFit="1" customWidth="1"/>
    <col min="43" max="43" width="2.453125" bestFit="1" customWidth="1"/>
    <col min="44" max="45" width="8.36328125" bestFit="1" customWidth="1"/>
    <col min="46" max="46" width="2.81640625" bestFit="1" customWidth="1"/>
    <col min="47" max="47" width="1.453125" bestFit="1" customWidth="1"/>
    <col min="48" max="52" width="1.81640625" bestFit="1" customWidth="1"/>
    <col min="53" max="53" width="3.453125" bestFit="1" customWidth="1"/>
    <col min="54" max="54" width="2.453125" bestFit="1" customWidth="1"/>
    <col min="55" max="55" width="1.453125" bestFit="1" customWidth="1"/>
    <col min="56" max="60" width="1.81640625" bestFit="1" customWidth="1"/>
    <col min="61" max="61" width="2.453125" bestFit="1" customWidth="1"/>
    <col min="62" max="64" width="11.453125" bestFit="1" customWidth="1"/>
    <col min="65" max="65" width="8.7265625" style="2"/>
  </cols>
  <sheetData>
    <row r="1" spans="1:65" x14ac:dyDescent="0.35">
      <c r="A1">
        <v>0</v>
      </c>
      <c r="B1" t="s">
        <v>3</v>
      </c>
      <c r="C1" t="s">
        <v>4</v>
      </c>
      <c r="D1">
        <v>0</v>
      </c>
      <c r="E1" t="s">
        <v>3</v>
      </c>
      <c r="F1" t="s">
        <v>5</v>
      </c>
      <c r="G1">
        <v>990.16341899999998</v>
      </c>
      <c r="H1" t="s">
        <v>4</v>
      </c>
      <c r="I1">
        <v>990.16341899999998</v>
      </c>
      <c r="J1">
        <v>0</v>
      </c>
      <c r="K1" t="s">
        <v>6</v>
      </c>
      <c r="L1" t="s">
        <v>7</v>
      </c>
      <c r="M1" t="s">
        <v>8</v>
      </c>
      <c r="N1" t="s">
        <v>6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7</v>
      </c>
      <c r="U1">
        <v>0</v>
      </c>
      <c r="V1">
        <v>0</v>
      </c>
      <c r="W1">
        <v>0</v>
      </c>
      <c r="X1">
        <v>0</v>
      </c>
      <c r="Y1">
        <v>0</v>
      </c>
      <c r="Z1" t="s">
        <v>9</v>
      </c>
      <c r="AA1" t="s">
        <v>4</v>
      </c>
      <c r="AB1" t="s">
        <v>6</v>
      </c>
      <c r="AC1" t="s">
        <v>7</v>
      </c>
      <c r="AD1" t="s">
        <v>8</v>
      </c>
      <c r="AE1" t="s">
        <v>6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7</v>
      </c>
      <c r="AL1">
        <v>0</v>
      </c>
      <c r="AM1">
        <v>0</v>
      </c>
      <c r="AN1">
        <v>0</v>
      </c>
      <c r="AO1">
        <v>0</v>
      </c>
      <c r="AP1">
        <v>0</v>
      </c>
      <c r="AQ1" t="s">
        <v>9</v>
      </c>
      <c r="AR1" s="1">
        <v>3.7828577399999999</v>
      </c>
      <c r="AS1" s="1">
        <v>0</v>
      </c>
      <c r="AT1">
        <v>1</v>
      </c>
      <c r="AU1" t="s">
        <v>10</v>
      </c>
      <c r="AV1">
        <v>0</v>
      </c>
      <c r="AW1">
        <v>0</v>
      </c>
      <c r="AX1">
        <v>0</v>
      </c>
      <c r="AY1">
        <v>0</v>
      </c>
      <c r="AZ1">
        <v>0</v>
      </c>
      <c r="BA1" t="s">
        <v>9</v>
      </c>
      <c r="BB1" t="s">
        <v>4</v>
      </c>
      <c r="BC1" t="s">
        <v>10</v>
      </c>
      <c r="BD1">
        <v>0</v>
      </c>
      <c r="BE1">
        <v>0</v>
      </c>
      <c r="BF1">
        <v>0</v>
      </c>
      <c r="BG1">
        <v>0</v>
      </c>
      <c r="BH1">
        <v>0</v>
      </c>
      <c r="BI1" t="s">
        <v>9</v>
      </c>
      <c r="BJ1">
        <v>-3.5052110299999999</v>
      </c>
      <c r="BK1">
        <v>0</v>
      </c>
      <c r="BL1">
        <v>1.4225007300000001</v>
      </c>
      <c r="BM1" s="2">
        <f>AS1*10^(-5)*6.0221408*10^(23)</f>
        <v>0</v>
      </c>
    </row>
    <row r="2" spans="1:65" x14ac:dyDescent="0.35">
      <c r="A2">
        <v>0</v>
      </c>
      <c r="B2" t="s">
        <v>11</v>
      </c>
      <c r="C2" t="s">
        <v>4</v>
      </c>
      <c r="D2">
        <v>0</v>
      </c>
      <c r="E2" t="s">
        <v>3</v>
      </c>
      <c r="F2" t="s">
        <v>5</v>
      </c>
      <c r="G2">
        <v>3621.8389739999998</v>
      </c>
      <c r="H2" t="s">
        <v>4</v>
      </c>
      <c r="I2">
        <v>990.16341899999998</v>
      </c>
      <c r="J2">
        <v>2631.6755549999998</v>
      </c>
      <c r="K2" t="s">
        <v>6</v>
      </c>
      <c r="L2" t="s">
        <v>7</v>
      </c>
      <c r="M2" t="s">
        <v>8</v>
      </c>
      <c r="N2" t="s">
        <v>6</v>
      </c>
      <c r="O2" t="s">
        <v>3</v>
      </c>
      <c r="P2" t="s">
        <v>3</v>
      </c>
      <c r="Q2" t="s">
        <v>3</v>
      </c>
      <c r="R2" t="s">
        <v>3</v>
      </c>
      <c r="S2" t="s">
        <v>11</v>
      </c>
      <c r="T2" t="s">
        <v>7</v>
      </c>
      <c r="U2">
        <v>0</v>
      </c>
      <c r="V2">
        <v>0</v>
      </c>
      <c r="W2">
        <v>0</v>
      </c>
      <c r="X2">
        <v>0</v>
      </c>
      <c r="Y2">
        <v>1</v>
      </c>
      <c r="Z2" t="s">
        <v>12</v>
      </c>
      <c r="AA2" t="s">
        <v>4</v>
      </c>
      <c r="AB2" t="s">
        <v>6</v>
      </c>
      <c r="AC2" t="s">
        <v>7</v>
      </c>
      <c r="AD2" t="s">
        <v>8</v>
      </c>
      <c r="AE2" t="s">
        <v>6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7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9</v>
      </c>
      <c r="AR2" s="1">
        <v>3.2049613499999998E-4</v>
      </c>
      <c r="AS2" s="1">
        <v>7.2626110299999996E-25</v>
      </c>
      <c r="AT2">
        <v>1</v>
      </c>
      <c r="AU2" t="s">
        <v>10</v>
      </c>
      <c r="AV2">
        <v>0</v>
      </c>
      <c r="AW2">
        <v>0</v>
      </c>
      <c r="AX2">
        <v>0</v>
      </c>
      <c r="AY2">
        <v>0</v>
      </c>
      <c r="AZ2">
        <v>1</v>
      </c>
      <c r="BA2" t="s">
        <v>12</v>
      </c>
      <c r="BB2" t="s">
        <v>4</v>
      </c>
      <c r="BC2" t="s">
        <v>10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9</v>
      </c>
      <c r="BJ2">
        <v>0</v>
      </c>
      <c r="BK2">
        <v>3.2049999999999998E-4</v>
      </c>
      <c r="BL2">
        <v>0</v>
      </c>
      <c r="BM2" s="2">
        <f t="shared" ref="BM2:BM65" si="0">AS2*10^(-5)*6.0221408*10^(23)</f>
        <v>4.3736466198293026E-6</v>
      </c>
    </row>
    <row r="3" spans="1:65" x14ac:dyDescent="0.35">
      <c r="A3">
        <v>0</v>
      </c>
      <c r="B3" t="s">
        <v>11</v>
      </c>
      <c r="C3" t="s">
        <v>4</v>
      </c>
      <c r="D3">
        <v>0</v>
      </c>
      <c r="E3" t="s">
        <v>3</v>
      </c>
      <c r="F3" t="s">
        <v>5</v>
      </c>
      <c r="G3">
        <v>4095.9148749999999</v>
      </c>
      <c r="H3" t="s">
        <v>4</v>
      </c>
      <c r="I3">
        <v>990.16341899999998</v>
      </c>
      <c r="J3">
        <v>3105.751456</v>
      </c>
      <c r="K3" t="s">
        <v>6</v>
      </c>
      <c r="L3" t="s">
        <v>7</v>
      </c>
      <c r="M3" t="s">
        <v>8</v>
      </c>
      <c r="N3" t="s">
        <v>6</v>
      </c>
      <c r="O3" t="s">
        <v>3</v>
      </c>
      <c r="P3" t="s">
        <v>3</v>
      </c>
      <c r="Q3" t="s">
        <v>3</v>
      </c>
      <c r="R3" t="s">
        <v>3</v>
      </c>
      <c r="S3" t="s">
        <v>11</v>
      </c>
      <c r="T3" t="s">
        <v>7</v>
      </c>
      <c r="U3">
        <v>1</v>
      </c>
      <c r="V3">
        <v>1</v>
      </c>
      <c r="W3">
        <v>0</v>
      </c>
      <c r="X3">
        <v>1</v>
      </c>
      <c r="Y3">
        <v>0</v>
      </c>
      <c r="Z3" t="s">
        <v>13</v>
      </c>
      <c r="AA3" t="s">
        <v>4</v>
      </c>
      <c r="AB3" t="s">
        <v>6</v>
      </c>
      <c r="AC3" t="s">
        <v>7</v>
      </c>
      <c r="AD3" t="s">
        <v>8</v>
      </c>
      <c r="AE3" t="s">
        <v>6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7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9</v>
      </c>
      <c r="AR3" s="1">
        <v>3.9900575E-5</v>
      </c>
      <c r="AS3" s="1">
        <v>1.3284372200000001E-26</v>
      </c>
      <c r="AT3">
        <v>1</v>
      </c>
      <c r="AU3" t="s">
        <v>10</v>
      </c>
      <c r="AV3">
        <v>1</v>
      </c>
      <c r="AW3">
        <v>1</v>
      </c>
      <c r="AX3">
        <v>0</v>
      </c>
      <c r="AY3">
        <v>1</v>
      </c>
      <c r="AZ3">
        <v>0</v>
      </c>
      <c r="BA3" t="s">
        <v>13</v>
      </c>
      <c r="BB3" t="s">
        <v>4</v>
      </c>
      <c r="BC3" t="s">
        <v>10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9</v>
      </c>
      <c r="BJ3">
        <v>0</v>
      </c>
      <c r="BK3">
        <v>-3.9900000000000001E-5</v>
      </c>
      <c r="BL3">
        <v>0</v>
      </c>
      <c r="BM3" s="2">
        <f t="shared" si="0"/>
        <v>8.0000359828005762E-8</v>
      </c>
    </row>
    <row r="4" spans="1:65" x14ac:dyDescent="0.35">
      <c r="A4">
        <v>0</v>
      </c>
      <c r="B4" t="s">
        <v>11</v>
      </c>
      <c r="C4" t="s">
        <v>4</v>
      </c>
      <c r="D4">
        <v>0</v>
      </c>
      <c r="E4" t="s">
        <v>3</v>
      </c>
      <c r="F4" t="s">
        <v>5</v>
      </c>
      <c r="G4">
        <v>4578.22822</v>
      </c>
      <c r="H4" t="s">
        <v>4</v>
      </c>
      <c r="I4">
        <v>990.16341899999998</v>
      </c>
      <c r="J4">
        <v>3588.064801</v>
      </c>
      <c r="K4" t="s">
        <v>6</v>
      </c>
      <c r="L4" t="s">
        <v>7</v>
      </c>
      <c r="M4" t="s">
        <v>8</v>
      </c>
      <c r="N4" t="s">
        <v>6</v>
      </c>
      <c r="O4" t="s">
        <v>3</v>
      </c>
      <c r="P4" t="s">
        <v>3</v>
      </c>
      <c r="Q4" t="s">
        <v>3</v>
      </c>
      <c r="R4" t="s">
        <v>3</v>
      </c>
      <c r="S4" t="s">
        <v>11</v>
      </c>
      <c r="T4" t="s">
        <v>7</v>
      </c>
      <c r="U4">
        <v>1</v>
      </c>
      <c r="V4">
        <v>0</v>
      </c>
      <c r="W4">
        <v>0</v>
      </c>
      <c r="X4">
        <v>1</v>
      </c>
      <c r="Y4">
        <v>2</v>
      </c>
      <c r="Z4" t="s">
        <v>14</v>
      </c>
      <c r="AA4" t="s">
        <v>4</v>
      </c>
      <c r="AB4" t="s">
        <v>6</v>
      </c>
      <c r="AC4" t="s">
        <v>7</v>
      </c>
      <c r="AD4" t="s">
        <v>8</v>
      </c>
      <c r="AE4" t="s">
        <v>6</v>
      </c>
      <c r="AF4" t="s">
        <v>3</v>
      </c>
      <c r="AG4" t="s">
        <v>3</v>
      </c>
      <c r="AH4" t="s">
        <v>3</v>
      </c>
      <c r="AI4" t="s">
        <v>3</v>
      </c>
      <c r="AJ4" t="s">
        <v>3</v>
      </c>
      <c r="AK4" t="s">
        <v>7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9</v>
      </c>
      <c r="AR4" s="1">
        <v>1.6639752000000001E-7</v>
      </c>
      <c r="AS4" s="1">
        <v>2.6691324699999998E-31</v>
      </c>
      <c r="AT4">
        <v>1</v>
      </c>
      <c r="AU4" t="s">
        <v>10</v>
      </c>
      <c r="AV4">
        <v>1</v>
      </c>
      <c r="AW4">
        <v>0</v>
      </c>
      <c r="AX4">
        <v>0</v>
      </c>
      <c r="AY4">
        <v>1</v>
      </c>
      <c r="AZ4">
        <v>2</v>
      </c>
      <c r="BA4" t="s">
        <v>14</v>
      </c>
      <c r="BB4" t="s">
        <v>4</v>
      </c>
      <c r="BC4" t="s">
        <v>10</v>
      </c>
      <c r="BD4">
        <v>0</v>
      </c>
      <c r="BE4">
        <v>0</v>
      </c>
      <c r="BF4">
        <v>0</v>
      </c>
      <c r="BG4">
        <v>0</v>
      </c>
      <c r="BH4">
        <v>0</v>
      </c>
      <c r="BI4" t="s">
        <v>9</v>
      </c>
      <c r="BJ4">
        <v>0</v>
      </c>
      <c r="BK4">
        <v>1.6999999999999999E-7</v>
      </c>
      <c r="BL4">
        <v>0</v>
      </c>
      <c r="BM4" s="2">
        <f t="shared" si="0"/>
        <v>1.6073891548191773E-12</v>
      </c>
    </row>
    <row r="5" spans="1:65" x14ac:dyDescent="0.35">
      <c r="A5">
        <v>0</v>
      </c>
      <c r="B5" t="s">
        <v>3</v>
      </c>
      <c r="C5" t="s">
        <v>4</v>
      </c>
      <c r="D5">
        <v>0</v>
      </c>
      <c r="E5" t="s">
        <v>3</v>
      </c>
      <c r="F5" t="s">
        <v>5</v>
      </c>
      <c r="G5">
        <v>3118.5603379999998</v>
      </c>
      <c r="H5" t="s">
        <v>4</v>
      </c>
      <c r="I5">
        <v>990.16341899999998</v>
      </c>
      <c r="J5">
        <v>2128.3969189999998</v>
      </c>
      <c r="K5" t="s">
        <v>6</v>
      </c>
      <c r="L5" t="s">
        <v>7</v>
      </c>
      <c r="M5" t="s">
        <v>8</v>
      </c>
      <c r="N5" t="s">
        <v>6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7</v>
      </c>
      <c r="U5">
        <v>2</v>
      </c>
      <c r="V5">
        <v>0</v>
      </c>
      <c r="W5">
        <v>0</v>
      </c>
      <c r="X5">
        <v>1</v>
      </c>
      <c r="Y5">
        <v>0</v>
      </c>
      <c r="Z5" t="s">
        <v>15</v>
      </c>
      <c r="AA5" t="s">
        <v>4</v>
      </c>
      <c r="AB5" t="s">
        <v>6</v>
      </c>
      <c r="AC5" t="s">
        <v>7</v>
      </c>
      <c r="AD5" t="s">
        <v>8</v>
      </c>
      <c r="AE5" t="s">
        <v>6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7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9</v>
      </c>
      <c r="AR5" s="1">
        <v>5.8801914700000002E-4</v>
      </c>
      <c r="AS5" s="1">
        <v>1.9771369799999999E-24</v>
      </c>
      <c r="AT5">
        <v>1</v>
      </c>
      <c r="AU5" t="s">
        <v>10</v>
      </c>
      <c r="AV5">
        <v>2</v>
      </c>
      <c r="AW5">
        <v>0</v>
      </c>
      <c r="AX5">
        <v>0</v>
      </c>
      <c r="AY5">
        <v>1</v>
      </c>
      <c r="AZ5">
        <v>0</v>
      </c>
      <c r="BA5" t="s">
        <v>15</v>
      </c>
      <c r="BB5" t="s">
        <v>4</v>
      </c>
      <c r="BC5" t="s">
        <v>10</v>
      </c>
      <c r="BD5">
        <v>0</v>
      </c>
      <c r="BE5">
        <v>0</v>
      </c>
      <c r="BF5">
        <v>0</v>
      </c>
      <c r="BG5">
        <v>0</v>
      </c>
      <c r="BH5">
        <v>0</v>
      </c>
      <c r="BI5" t="s">
        <v>9</v>
      </c>
      <c r="BJ5">
        <v>-5.3824999999999999E-4</v>
      </c>
      <c r="BK5">
        <v>0</v>
      </c>
      <c r="BL5">
        <v>-2.3675000000000001E-4</v>
      </c>
      <c r="BM5" s="2">
        <f t="shared" si="0"/>
        <v>1.1906597274446782E-5</v>
      </c>
    </row>
    <row r="6" spans="1:65" x14ac:dyDescent="0.35">
      <c r="A6">
        <v>0</v>
      </c>
      <c r="B6" t="s">
        <v>3</v>
      </c>
      <c r="C6" t="s">
        <v>4</v>
      </c>
      <c r="D6">
        <v>0</v>
      </c>
      <c r="E6" t="s">
        <v>3</v>
      </c>
      <c r="F6" t="s">
        <v>5</v>
      </c>
      <c r="G6">
        <v>3346.316953</v>
      </c>
      <c r="H6" t="s">
        <v>4</v>
      </c>
      <c r="I6">
        <v>990.16341899999998</v>
      </c>
      <c r="J6">
        <v>2356.153534</v>
      </c>
      <c r="K6" t="s">
        <v>6</v>
      </c>
      <c r="L6" t="s">
        <v>7</v>
      </c>
      <c r="M6" t="s">
        <v>8</v>
      </c>
      <c r="N6" t="s">
        <v>6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7</v>
      </c>
      <c r="U6">
        <v>0</v>
      </c>
      <c r="V6">
        <v>1</v>
      </c>
      <c r="W6">
        <v>0</v>
      </c>
      <c r="X6">
        <v>0</v>
      </c>
      <c r="Y6">
        <v>1</v>
      </c>
      <c r="Z6" t="s">
        <v>15</v>
      </c>
      <c r="AA6" t="s">
        <v>4</v>
      </c>
      <c r="AB6" t="s">
        <v>6</v>
      </c>
      <c r="AC6" t="s">
        <v>7</v>
      </c>
      <c r="AD6" t="s">
        <v>8</v>
      </c>
      <c r="AE6" t="s">
        <v>6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7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9</v>
      </c>
      <c r="AR6" s="1">
        <v>1.1892957099999999E-4</v>
      </c>
      <c r="AS6" s="1">
        <v>8.9535336700000001E-26</v>
      </c>
      <c r="AT6">
        <v>1</v>
      </c>
      <c r="AU6" t="s">
        <v>10</v>
      </c>
      <c r="AV6">
        <v>0</v>
      </c>
      <c r="AW6">
        <v>1</v>
      </c>
      <c r="AX6">
        <v>0</v>
      </c>
      <c r="AY6">
        <v>0</v>
      </c>
      <c r="AZ6">
        <v>1</v>
      </c>
      <c r="BA6" t="s">
        <v>15</v>
      </c>
      <c r="BB6" t="s">
        <v>4</v>
      </c>
      <c r="BC6" t="s">
        <v>10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9</v>
      </c>
      <c r="BJ6">
        <v>1.1612000000000001E-4</v>
      </c>
      <c r="BK6">
        <v>0</v>
      </c>
      <c r="BL6">
        <v>-2.5709999999999999E-5</v>
      </c>
      <c r="BM6" s="2">
        <f t="shared" si="0"/>
        <v>5.3919440418280738E-7</v>
      </c>
    </row>
    <row r="7" spans="1:65" x14ac:dyDescent="0.35">
      <c r="A7">
        <v>0</v>
      </c>
      <c r="B7" t="s">
        <v>11</v>
      </c>
      <c r="C7" t="s">
        <v>4</v>
      </c>
      <c r="D7">
        <v>0</v>
      </c>
      <c r="E7" t="s">
        <v>3</v>
      </c>
      <c r="F7" t="s">
        <v>5</v>
      </c>
      <c r="G7">
        <v>4647.594169</v>
      </c>
      <c r="H7" t="s">
        <v>4</v>
      </c>
      <c r="I7">
        <v>990.16341899999998</v>
      </c>
      <c r="J7">
        <v>3657.43075</v>
      </c>
      <c r="K7" t="s">
        <v>6</v>
      </c>
      <c r="L7" t="s">
        <v>7</v>
      </c>
      <c r="M7" t="s">
        <v>8</v>
      </c>
      <c r="N7" t="s">
        <v>6</v>
      </c>
      <c r="O7" t="s">
        <v>3</v>
      </c>
      <c r="P7" t="s">
        <v>3</v>
      </c>
      <c r="Q7" t="s">
        <v>3</v>
      </c>
      <c r="R7" t="s">
        <v>3</v>
      </c>
      <c r="S7" t="s">
        <v>11</v>
      </c>
      <c r="T7" t="s">
        <v>7</v>
      </c>
      <c r="U7">
        <v>2</v>
      </c>
      <c r="V7">
        <v>0</v>
      </c>
      <c r="W7">
        <v>0</v>
      </c>
      <c r="X7">
        <v>0</v>
      </c>
      <c r="Y7">
        <v>0</v>
      </c>
      <c r="Z7" t="s">
        <v>16</v>
      </c>
      <c r="AA7" t="s">
        <v>4</v>
      </c>
      <c r="AB7" t="s">
        <v>6</v>
      </c>
      <c r="AC7" t="s">
        <v>7</v>
      </c>
      <c r="AD7" t="s">
        <v>8</v>
      </c>
      <c r="AE7" t="s">
        <v>6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7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9</v>
      </c>
      <c r="AR7" s="1">
        <v>1.6081163100000002E-5</v>
      </c>
      <c r="AS7" s="1">
        <v>2.5411317299999998E-27</v>
      </c>
      <c r="AT7">
        <v>1</v>
      </c>
      <c r="AU7" t="s">
        <v>10</v>
      </c>
      <c r="AV7">
        <v>2</v>
      </c>
      <c r="AW7">
        <v>0</v>
      </c>
      <c r="AX7">
        <v>0</v>
      </c>
      <c r="AY7">
        <v>0</v>
      </c>
      <c r="AZ7">
        <v>0</v>
      </c>
      <c r="BA7" t="s">
        <v>16</v>
      </c>
      <c r="BB7" t="s">
        <v>4</v>
      </c>
      <c r="BC7" t="s">
        <v>10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9</v>
      </c>
      <c r="BJ7">
        <v>0</v>
      </c>
      <c r="BK7">
        <v>1.6079999999999999E-5</v>
      </c>
      <c r="BL7">
        <v>0</v>
      </c>
      <c r="BM7" s="2">
        <f t="shared" si="0"/>
        <v>1.5303053069407579E-8</v>
      </c>
    </row>
    <row r="8" spans="1:65" x14ac:dyDescent="0.35">
      <c r="A8">
        <v>0</v>
      </c>
      <c r="B8" t="s">
        <v>3</v>
      </c>
      <c r="C8" t="s">
        <v>4</v>
      </c>
      <c r="D8">
        <v>0</v>
      </c>
      <c r="E8" t="s">
        <v>3</v>
      </c>
      <c r="F8" t="s">
        <v>5</v>
      </c>
      <c r="G8">
        <v>4198.3383590000003</v>
      </c>
      <c r="H8" t="s">
        <v>4</v>
      </c>
      <c r="I8">
        <v>990.16341899999998</v>
      </c>
      <c r="J8">
        <v>3208.1749399999999</v>
      </c>
      <c r="K8" t="s">
        <v>6</v>
      </c>
      <c r="L8" t="s">
        <v>7</v>
      </c>
      <c r="M8" t="s">
        <v>8</v>
      </c>
      <c r="N8" t="s">
        <v>6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7</v>
      </c>
      <c r="U8">
        <v>0</v>
      </c>
      <c r="V8">
        <v>0</v>
      </c>
      <c r="W8">
        <v>0</v>
      </c>
      <c r="X8">
        <v>2</v>
      </c>
      <c r="Y8">
        <v>0</v>
      </c>
      <c r="Z8" t="s">
        <v>17</v>
      </c>
      <c r="AA8" t="s">
        <v>4</v>
      </c>
      <c r="AB8" t="s">
        <v>6</v>
      </c>
      <c r="AC8" t="s">
        <v>7</v>
      </c>
      <c r="AD8" t="s">
        <v>8</v>
      </c>
      <c r="AE8" t="s">
        <v>6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7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9</v>
      </c>
      <c r="AR8" s="1">
        <v>1.05366786E-4</v>
      </c>
      <c r="AS8" s="1">
        <v>9.5693313199999999E-26</v>
      </c>
      <c r="AT8">
        <v>1</v>
      </c>
      <c r="AU8" t="s">
        <v>10</v>
      </c>
      <c r="AV8">
        <v>0</v>
      </c>
      <c r="AW8">
        <v>0</v>
      </c>
      <c r="AX8">
        <v>0</v>
      </c>
      <c r="AY8">
        <v>2</v>
      </c>
      <c r="AZ8">
        <v>0</v>
      </c>
      <c r="BA8" t="s">
        <v>17</v>
      </c>
      <c r="BB8" t="s">
        <v>4</v>
      </c>
      <c r="BC8" t="s">
        <v>10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9</v>
      </c>
      <c r="BJ8">
        <v>1.0462E-4</v>
      </c>
      <c r="BK8">
        <v>0</v>
      </c>
      <c r="BL8">
        <v>1.255E-5</v>
      </c>
      <c r="BM8" s="2">
        <f t="shared" si="0"/>
        <v>5.7627860570889849E-7</v>
      </c>
    </row>
    <row r="9" spans="1:65" x14ac:dyDescent="0.35">
      <c r="A9">
        <v>0</v>
      </c>
      <c r="B9" t="s">
        <v>11</v>
      </c>
      <c r="C9" t="s">
        <v>4</v>
      </c>
      <c r="D9">
        <v>0</v>
      </c>
      <c r="E9" t="s">
        <v>3</v>
      </c>
      <c r="F9" t="s">
        <v>5</v>
      </c>
      <c r="G9">
        <v>4776.2777059999999</v>
      </c>
      <c r="H9" t="s">
        <v>4</v>
      </c>
      <c r="I9">
        <v>990.16341899999998</v>
      </c>
      <c r="J9">
        <v>3786.1142869999999</v>
      </c>
      <c r="K9" t="s">
        <v>6</v>
      </c>
      <c r="L9" t="s">
        <v>7</v>
      </c>
      <c r="M9" t="s">
        <v>8</v>
      </c>
      <c r="N9" t="s">
        <v>6</v>
      </c>
      <c r="O9" t="s">
        <v>3</v>
      </c>
      <c r="P9" t="s">
        <v>3</v>
      </c>
      <c r="Q9" t="s">
        <v>3</v>
      </c>
      <c r="R9" t="s">
        <v>3</v>
      </c>
      <c r="S9" t="s">
        <v>11</v>
      </c>
      <c r="T9" t="s">
        <v>7</v>
      </c>
      <c r="U9">
        <v>0</v>
      </c>
      <c r="V9">
        <v>1</v>
      </c>
      <c r="W9">
        <v>0</v>
      </c>
      <c r="X9">
        <v>7</v>
      </c>
      <c r="Y9">
        <v>0</v>
      </c>
      <c r="Z9" t="s">
        <v>18</v>
      </c>
      <c r="AA9" t="s">
        <v>4</v>
      </c>
      <c r="AB9" t="s">
        <v>6</v>
      </c>
      <c r="AC9" t="s">
        <v>7</v>
      </c>
      <c r="AD9" t="s">
        <v>8</v>
      </c>
      <c r="AE9" t="s">
        <v>6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7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9</v>
      </c>
      <c r="AR9" s="1">
        <v>1.2185177699999999E-6</v>
      </c>
      <c r="AS9" s="1">
        <v>1.5103361199999999E-29</v>
      </c>
      <c r="AT9">
        <v>1</v>
      </c>
      <c r="AU9" t="s">
        <v>10</v>
      </c>
      <c r="AV9">
        <v>0</v>
      </c>
      <c r="AW9">
        <v>1</v>
      </c>
      <c r="AX9">
        <v>0</v>
      </c>
      <c r="AY9">
        <v>7</v>
      </c>
      <c r="AZ9">
        <v>0</v>
      </c>
      <c r="BA9" t="s">
        <v>18</v>
      </c>
      <c r="BB9" t="s">
        <v>4</v>
      </c>
      <c r="BC9" t="s">
        <v>10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9</v>
      </c>
      <c r="BJ9">
        <v>0</v>
      </c>
      <c r="BK9">
        <v>-1.22E-6</v>
      </c>
      <c r="BL9">
        <v>0</v>
      </c>
      <c r="BM9" s="2">
        <f t="shared" si="0"/>
        <v>9.0954567699656956E-11</v>
      </c>
    </row>
    <row r="10" spans="1:65" x14ac:dyDescent="0.35">
      <c r="A10">
        <v>0</v>
      </c>
      <c r="B10" t="s">
        <v>3</v>
      </c>
      <c r="C10" t="s">
        <v>4</v>
      </c>
      <c r="D10">
        <v>0</v>
      </c>
      <c r="E10" t="s">
        <v>3</v>
      </c>
      <c r="F10" t="s">
        <v>5</v>
      </c>
      <c r="G10">
        <v>4282.6122919999998</v>
      </c>
      <c r="H10" t="s">
        <v>4</v>
      </c>
      <c r="I10">
        <v>990.16341899999998</v>
      </c>
      <c r="J10">
        <v>3292.4488719999999</v>
      </c>
      <c r="K10" t="s">
        <v>6</v>
      </c>
      <c r="L10" t="s">
        <v>7</v>
      </c>
      <c r="M10" t="s">
        <v>8</v>
      </c>
      <c r="N10" t="s">
        <v>6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7</v>
      </c>
      <c r="U10">
        <v>1</v>
      </c>
      <c r="V10">
        <v>0</v>
      </c>
      <c r="W10">
        <v>0</v>
      </c>
      <c r="X10">
        <v>7</v>
      </c>
      <c r="Y10">
        <v>0</v>
      </c>
      <c r="Z10" t="s">
        <v>8</v>
      </c>
      <c r="AA10" t="s">
        <v>4</v>
      </c>
      <c r="AB10" t="s">
        <v>6</v>
      </c>
      <c r="AC10" t="s">
        <v>7</v>
      </c>
      <c r="AD10" t="s">
        <v>8</v>
      </c>
      <c r="AE10" t="s">
        <v>6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7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9</v>
      </c>
      <c r="AR10" s="1">
        <v>8.6898113300000004E-5</v>
      </c>
      <c r="AS10" s="1">
        <v>6.6796828599999994E-26</v>
      </c>
      <c r="AT10">
        <v>1</v>
      </c>
      <c r="AU10" t="s">
        <v>10</v>
      </c>
      <c r="AV10">
        <v>1</v>
      </c>
      <c r="AW10">
        <v>0</v>
      </c>
      <c r="AX10">
        <v>0</v>
      </c>
      <c r="AY10">
        <v>7</v>
      </c>
      <c r="AZ10">
        <v>0</v>
      </c>
      <c r="BA10" t="s">
        <v>8</v>
      </c>
      <c r="BB10" t="s">
        <v>4</v>
      </c>
      <c r="BC10" t="s">
        <v>10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9</v>
      </c>
      <c r="BJ10">
        <v>-8.6639999999999997E-5</v>
      </c>
      <c r="BK10">
        <v>0</v>
      </c>
      <c r="BL10">
        <v>-6.63E-6</v>
      </c>
      <c r="BM10" s="2">
        <f t="shared" si="0"/>
        <v>4.0225990682266686E-7</v>
      </c>
    </row>
    <row r="11" spans="1:65" x14ac:dyDescent="0.35">
      <c r="A11">
        <v>0</v>
      </c>
      <c r="B11" t="s">
        <v>11</v>
      </c>
      <c r="C11" t="s">
        <v>4</v>
      </c>
      <c r="D11">
        <v>0</v>
      </c>
      <c r="E11" t="s">
        <v>3</v>
      </c>
      <c r="F11" t="s">
        <v>5</v>
      </c>
      <c r="G11">
        <v>4712.318182</v>
      </c>
      <c r="H11" t="s">
        <v>4</v>
      </c>
      <c r="I11">
        <v>990.16341899999998</v>
      </c>
      <c r="J11">
        <v>3722.154763</v>
      </c>
      <c r="K11" t="s">
        <v>6</v>
      </c>
      <c r="L11" t="s">
        <v>7</v>
      </c>
      <c r="M11" t="s">
        <v>8</v>
      </c>
      <c r="N11" t="s">
        <v>6</v>
      </c>
      <c r="O11" t="s">
        <v>3</v>
      </c>
      <c r="P11" t="s">
        <v>3</v>
      </c>
      <c r="Q11" t="s">
        <v>3</v>
      </c>
      <c r="R11" t="s">
        <v>3</v>
      </c>
      <c r="S11" t="s">
        <v>11</v>
      </c>
      <c r="T11" t="s">
        <v>7</v>
      </c>
      <c r="U11">
        <v>3</v>
      </c>
      <c r="V11">
        <v>0</v>
      </c>
      <c r="W11">
        <v>0</v>
      </c>
      <c r="X11">
        <v>0</v>
      </c>
      <c r="Y11">
        <v>0</v>
      </c>
      <c r="Z11" t="s">
        <v>19</v>
      </c>
      <c r="AA11" t="s">
        <v>4</v>
      </c>
      <c r="AB11" t="s">
        <v>6</v>
      </c>
      <c r="AC11" t="s">
        <v>7</v>
      </c>
      <c r="AD11" t="s">
        <v>8</v>
      </c>
      <c r="AE11" t="s">
        <v>6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7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9</v>
      </c>
      <c r="AR11" s="1">
        <v>5.3282867599999997E-6</v>
      </c>
      <c r="AS11" s="1">
        <v>2.8391331600000002E-28</v>
      </c>
      <c r="AT11">
        <v>1</v>
      </c>
      <c r="AU11" t="s">
        <v>10</v>
      </c>
      <c r="AV11">
        <v>3</v>
      </c>
      <c r="AW11">
        <v>0</v>
      </c>
      <c r="AX11">
        <v>0</v>
      </c>
      <c r="AY11">
        <v>0</v>
      </c>
      <c r="AZ11">
        <v>0</v>
      </c>
      <c r="BA11" t="s">
        <v>19</v>
      </c>
      <c r="BB11" t="s">
        <v>4</v>
      </c>
      <c r="BC11" t="s">
        <v>10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9</v>
      </c>
      <c r="BJ11">
        <v>0</v>
      </c>
      <c r="BK11">
        <v>5.3299999999999998E-6</v>
      </c>
      <c r="BL11">
        <v>0</v>
      </c>
      <c r="BM11" s="2">
        <f t="shared" si="0"/>
        <v>1.7097659639468929E-9</v>
      </c>
    </row>
    <row r="12" spans="1:65" x14ac:dyDescent="0.35">
      <c r="A12">
        <v>0</v>
      </c>
      <c r="B12" t="s">
        <v>3</v>
      </c>
      <c r="C12" t="s">
        <v>4</v>
      </c>
      <c r="D12">
        <v>0</v>
      </c>
      <c r="E12" t="s">
        <v>3</v>
      </c>
      <c r="F12" t="s">
        <v>5</v>
      </c>
      <c r="G12">
        <v>2913.8423429999998</v>
      </c>
      <c r="H12" t="s">
        <v>4</v>
      </c>
      <c r="I12">
        <v>990.16341899999998</v>
      </c>
      <c r="J12">
        <v>1923.6789240000001</v>
      </c>
      <c r="K12" t="s">
        <v>6</v>
      </c>
      <c r="L12" t="s">
        <v>7</v>
      </c>
      <c r="M12" t="s">
        <v>8</v>
      </c>
      <c r="N12" t="s">
        <v>6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7</v>
      </c>
      <c r="U12">
        <v>3</v>
      </c>
      <c r="V12">
        <v>0</v>
      </c>
      <c r="W12">
        <v>0</v>
      </c>
      <c r="X12">
        <v>1</v>
      </c>
      <c r="Y12">
        <v>0</v>
      </c>
      <c r="Z12" t="s">
        <v>8</v>
      </c>
      <c r="AA12" t="s">
        <v>4</v>
      </c>
      <c r="AB12" t="s">
        <v>6</v>
      </c>
      <c r="AC12" t="s">
        <v>7</v>
      </c>
      <c r="AD12" t="s">
        <v>8</v>
      </c>
      <c r="AE12" t="s">
        <v>6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7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9</v>
      </c>
      <c r="AR12" s="1">
        <v>1.2023983600000001E-4</v>
      </c>
      <c r="AS12" s="1">
        <v>7.4714570400000005E-26</v>
      </c>
      <c r="AT12">
        <v>1</v>
      </c>
      <c r="AU12" t="s">
        <v>10</v>
      </c>
      <c r="AV12">
        <v>3</v>
      </c>
      <c r="AW12">
        <v>0</v>
      </c>
      <c r="AX12">
        <v>0</v>
      </c>
      <c r="AY12">
        <v>1</v>
      </c>
      <c r="AZ12">
        <v>0</v>
      </c>
      <c r="BA12" t="s">
        <v>8</v>
      </c>
      <c r="BB12" t="s">
        <v>4</v>
      </c>
      <c r="BC12" t="s">
        <v>10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9</v>
      </c>
      <c r="BJ12">
        <v>8.7020000000000004E-5</v>
      </c>
      <c r="BK12">
        <v>0</v>
      </c>
      <c r="BL12">
        <v>-8.2979999999999995E-5</v>
      </c>
      <c r="BM12" s="2">
        <f t="shared" si="0"/>
        <v>4.4994166276031235E-7</v>
      </c>
    </row>
    <row r="13" spans="1:65" x14ac:dyDescent="0.35">
      <c r="A13">
        <v>0</v>
      </c>
      <c r="B13" t="s">
        <v>3</v>
      </c>
      <c r="C13" t="s">
        <v>4</v>
      </c>
      <c r="D13">
        <v>0</v>
      </c>
      <c r="E13" t="s">
        <v>3</v>
      </c>
      <c r="F13" t="s">
        <v>5</v>
      </c>
      <c r="G13">
        <v>4940.3474269999997</v>
      </c>
      <c r="H13" t="s">
        <v>4</v>
      </c>
      <c r="I13">
        <v>990.16341899999998</v>
      </c>
      <c r="J13">
        <v>3950.1840080000002</v>
      </c>
      <c r="K13" t="s">
        <v>6</v>
      </c>
      <c r="L13" t="s">
        <v>7</v>
      </c>
      <c r="M13" t="s">
        <v>8</v>
      </c>
      <c r="N13" t="s">
        <v>6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7</v>
      </c>
      <c r="U13">
        <v>0</v>
      </c>
      <c r="V13">
        <v>0</v>
      </c>
      <c r="W13">
        <v>0</v>
      </c>
      <c r="X13">
        <v>0</v>
      </c>
      <c r="Y13">
        <v>1</v>
      </c>
      <c r="Z13" t="s">
        <v>20</v>
      </c>
      <c r="AA13" t="s">
        <v>4</v>
      </c>
      <c r="AB13" t="s">
        <v>6</v>
      </c>
      <c r="AC13" t="s">
        <v>7</v>
      </c>
      <c r="AD13" t="s">
        <v>8</v>
      </c>
      <c r="AE13" t="s">
        <v>6</v>
      </c>
      <c r="AF13" t="s">
        <v>3</v>
      </c>
      <c r="AG13" t="s">
        <v>3</v>
      </c>
      <c r="AH13" t="s">
        <v>3</v>
      </c>
      <c r="AI13" t="s">
        <v>3</v>
      </c>
      <c r="AJ13" t="s">
        <v>3</v>
      </c>
      <c r="AK13" t="s">
        <v>7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9</v>
      </c>
      <c r="AR13" s="1">
        <v>1.36688371E-4</v>
      </c>
      <c r="AS13" s="1">
        <v>1.98288087E-25</v>
      </c>
      <c r="AT13">
        <v>1</v>
      </c>
      <c r="AU13" t="s">
        <v>10</v>
      </c>
      <c r="AV13">
        <v>0</v>
      </c>
      <c r="AW13">
        <v>0</v>
      </c>
      <c r="AX13">
        <v>0</v>
      </c>
      <c r="AY13">
        <v>0</v>
      </c>
      <c r="AZ13">
        <v>1</v>
      </c>
      <c r="BA13" t="s">
        <v>20</v>
      </c>
      <c r="BB13" t="s">
        <v>4</v>
      </c>
      <c r="BC13" t="s">
        <v>10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9</v>
      </c>
      <c r="BJ13">
        <v>-8.7340000000000001E-5</v>
      </c>
      <c r="BK13">
        <v>0</v>
      </c>
      <c r="BL13">
        <v>1.0514999999999999E-4</v>
      </c>
      <c r="BM13" s="2">
        <f t="shared" si="0"/>
        <v>1.1941187788766495E-6</v>
      </c>
    </row>
    <row r="14" spans="1:65" x14ac:dyDescent="0.35">
      <c r="A14">
        <v>0</v>
      </c>
      <c r="B14" t="s">
        <v>11</v>
      </c>
      <c r="C14" t="s">
        <v>4</v>
      </c>
      <c r="D14">
        <v>0</v>
      </c>
      <c r="E14" t="s">
        <v>3</v>
      </c>
      <c r="F14" t="s">
        <v>5</v>
      </c>
      <c r="G14">
        <v>4358.9082619999999</v>
      </c>
      <c r="H14" t="s">
        <v>4</v>
      </c>
      <c r="I14">
        <v>990.16341899999998</v>
      </c>
      <c r="J14">
        <v>3368.7448429999999</v>
      </c>
      <c r="K14" t="s">
        <v>6</v>
      </c>
      <c r="L14" t="s">
        <v>7</v>
      </c>
      <c r="M14" t="s">
        <v>8</v>
      </c>
      <c r="N14" t="s">
        <v>6</v>
      </c>
      <c r="O14" t="s">
        <v>3</v>
      </c>
      <c r="P14" t="s">
        <v>3</v>
      </c>
      <c r="Q14" t="s">
        <v>3</v>
      </c>
      <c r="R14" t="s">
        <v>3</v>
      </c>
      <c r="S14" t="s">
        <v>11</v>
      </c>
      <c r="T14" t="s">
        <v>7</v>
      </c>
      <c r="U14">
        <v>0</v>
      </c>
      <c r="V14">
        <v>1</v>
      </c>
      <c r="W14">
        <v>0</v>
      </c>
      <c r="X14">
        <v>2</v>
      </c>
      <c r="Y14">
        <v>0</v>
      </c>
      <c r="Z14" t="s">
        <v>19</v>
      </c>
      <c r="AA14" t="s">
        <v>4</v>
      </c>
      <c r="AB14" t="s">
        <v>6</v>
      </c>
      <c r="AC14" t="s">
        <v>7</v>
      </c>
      <c r="AD14" t="s">
        <v>8</v>
      </c>
      <c r="AE14" t="s">
        <v>6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7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9</v>
      </c>
      <c r="AR14" s="1">
        <v>6.0258601200000004E-6</v>
      </c>
      <c r="AS14" s="1">
        <v>3.2864144799999998E-28</v>
      </c>
      <c r="AT14">
        <v>1</v>
      </c>
      <c r="AU14" t="s">
        <v>10</v>
      </c>
      <c r="AV14">
        <v>0</v>
      </c>
      <c r="AW14">
        <v>1</v>
      </c>
      <c r="AX14">
        <v>0</v>
      </c>
      <c r="AY14">
        <v>2</v>
      </c>
      <c r="AZ14">
        <v>0</v>
      </c>
      <c r="BA14" t="s">
        <v>19</v>
      </c>
      <c r="BB14" t="s">
        <v>4</v>
      </c>
      <c r="BC14" t="s">
        <v>10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9</v>
      </c>
      <c r="BJ14">
        <v>0</v>
      </c>
      <c r="BK14">
        <v>-6.0299999999999999E-6</v>
      </c>
      <c r="BL14">
        <v>0</v>
      </c>
      <c r="BM14" s="2">
        <f t="shared" si="0"/>
        <v>1.9791250725718784E-9</v>
      </c>
    </row>
    <row r="15" spans="1:65" x14ac:dyDescent="0.35">
      <c r="A15">
        <v>0</v>
      </c>
      <c r="B15" t="s">
        <v>3</v>
      </c>
      <c r="C15" t="s">
        <v>4</v>
      </c>
      <c r="D15">
        <v>0</v>
      </c>
      <c r="E15" t="s">
        <v>3</v>
      </c>
      <c r="F15" t="s">
        <v>5</v>
      </c>
      <c r="G15">
        <v>4876.0798960000002</v>
      </c>
      <c r="H15" t="s">
        <v>4</v>
      </c>
      <c r="I15">
        <v>990.16341899999998</v>
      </c>
      <c r="J15">
        <v>3885.9164770000002</v>
      </c>
      <c r="K15" t="s">
        <v>6</v>
      </c>
      <c r="L15" t="s">
        <v>7</v>
      </c>
      <c r="M15" t="s">
        <v>8</v>
      </c>
      <c r="N15" t="s">
        <v>6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7</v>
      </c>
      <c r="U15">
        <v>0</v>
      </c>
      <c r="V15">
        <v>1</v>
      </c>
      <c r="W15">
        <v>0</v>
      </c>
      <c r="X15">
        <v>0</v>
      </c>
      <c r="Y15">
        <v>0</v>
      </c>
      <c r="Z15" t="s">
        <v>20</v>
      </c>
      <c r="AA15" t="s">
        <v>4</v>
      </c>
      <c r="AB15" t="s">
        <v>6</v>
      </c>
      <c r="AC15" t="s">
        <v>7</v>
      </c>
      <c r="AD15" t="s">
        <v>8</v>
      </c>
      <c r="AE15" t="s">
        <v>6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7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9</v>
      </c>
      <c r="AR15" s="1">
        <v>7.2834931700000002E-5</v>
      </c>
      <c r="AS15" s="1">
        <v>5.5384604199999995E-26</v>
      </c>
      <c r="AT15">
        <v>1</v>
      </c>
      <c r="AU15" t="s">
        <v>10</v>
      </c>
      <c r="AV15">
        <v>0</v>
      </c>
      <c r="AW15">
        <v>1</v>
      </c>
      <c r="AX15">
        <v>0</v>
      </c>
      <c r="AY15">
        <v>0</v>
      </c>
      <c r="AZ15">
        <v>0</v>
      </c>
      <c r="BA15" t="s">
        <v>20</v>
      </c>
      <c r="BB15" t="s">
        <v>4</v>
      </c>
      <c r="BC15" t="s">
        <v>10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9</v>
      </c>
      <c r="BJ15">
        <v>-3.5429999999999998E-5</v>
      </c>
      <c r="BK15">
        <v>0</v>
      </c>
      <c r="BL15">
        <v>6.3639999999999994E-5</v>
      </c>
      <c r="BM15" s="2">
        <f t="shared" si="0"/>
        <v>3.3353388464467133E-7</v>
      </c>
    </row>
    <row r="16" spans="1:65" x14ac:dyDescent="0.35">
      <c r="A16">
        <v>0</v>
      </c>
      <c r="B16" t="s">
        <v>3</v>
      </c>
      <c r="C16" t="s">
        <v>4</v>
      </c>
      <c r="D16">
        <v>0</v>
      </c>
      <c r="E16" t="s">
        <v>3</v>
      </c>
      <c r="F16" t="s">
        <v>5</v>
      </c>
      <c r="G16">
        <v>3787.4788709999998</v>
      </c>
      <c r="H16" t="s">
        <v>4</v>
      </c>
      <c r="I16">
        <v>990.16341899999998</v>
      </c>
      <c r="J16">
        <v>2797.3154519999998</v>
      </c>
      <c r="K16" t="s">
        <v>6</v>
      </c>
      <c r="L16" t="s">
        <v>7</v>
      </c>
      <c r="M16" t="s">
        <v>8</v>
      </c>
      <c r="N16" t="s">
        <v>6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7</v>
      </c>
      <c r="U16">
        <v>0</v>
      </c>
      <c r="V16">
        <v>0</v>
      </c>
      <c r="W16">
        <v>0</v>
      </c>
      <c r="X16">
        <v>0</v>
      </c>
      <c r="Y16">
        <v>2</v>
      </c>
      <c r="Z16" t="s">
        <v>21</v>
      </c>
      <c r="AA16" t="s">
        <v>4</v>
      </c>
      <c r="AB16" t="s">
        <v>6</v>
      </c>
      <c r="AC16" t="s">
        <v>7</v>
      </c>
      <c r="AD16" t="s">
        <v>8</v>
      </c>
      <c r="AE16" t="s">
        <v>6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7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9</v>
      </c>
      <c r="AR16" s="1">
        <v>5.5543879699999996E-4</v>
      </c>
      <c r="AS16" s="1">
        <v>2.3186192600000002E-24</v>
      </c>
      <c r="AT16">
        <v>1</v>
      </c>
      <c r="AU16" t="s">
        <v>10</v>
      </c>
      <c r="AV16">
        <v>0</v>
      </c>
      <c r="AW16">
        <v>0</v>
      </c>
      <c r="AX16">
        <v>0</v>
      </c>
      <c r="AY16">
        <v>0</v>
      </c>
      <c r="AZ16">
        <v>2</v>
      </c>
      <c r="BA16" t="s">
        <v>21</v>
      </c>
      <c r="BB16" t="s">
        <v>4</v>
      </c>
      <c r="BC16" t="s">
        <v>10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9</v>
      </c>
      <c r="BJ16">
        <v>4.8760999999999997E-4</v>
      </c>
      <c r="BK16">
        <v>0</v>
      </c>
      <c r="BL16">
        <v>2.6600000000000001E-4</v>
      </c>
      <c r="BM16" s="2">
        <f t="shared" si="0"/>
        <v>1.396305164531181E-5</v>
      </c>
    </row>
    <row r="17" spans="1:65" x14ac:dyDescent="0.35">
      <c r="A17">
        <v>0</v>
      </c>
      <c r="B17" t="s">
        <v>3</v>
      </c>
      <c r="C17" t="s">
        <v>4</v>
      </c>
      <c r="D17">
        <v>0</v>
      </c>
      <c r="E17" t="s">
        <v>3</v>
      </c>
      <c r="F17" t="s">
        <v>5</v>
      </c>
      <c r="G17">
        <v>3499.6512600000001</v>
      </c>
      <c r="H17" t="s">
        <v>4</v>
      </c>
      <c r="I17">
        <v>990.16341899999998</v>
      </c>
      <c r="J17">
        <v>2509.4878410000001</v>
      </c>
      <c r="K17" t="s">
        <v>6</v>
      </c>
      <c r="L17" t="s">
        <v>7</v>
      </c>
      <c r="M17" t="s">
        <v>8</v>
      </c>
      <c r="N17" t="s">
        <v>6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7</v>
      </c>
      <c r="U17">
        <v>1</v>
      </c>
      <c r="V17">
        <v>0</v>
      </c>
      <c r="W17">
        <v>0</v>
      </c>
      <c r="X17">
        <v>4</v>
      </c>
      <c r="Y17">
        <v>0</v>
      </c>
      <c r="Z17" t="s">
        <v>9</v>
      </c>
      <c r="AA17" t="s">
        <v>4</v>
      </c>
      <c r="AB17" t="s">
        <v>6</v>
      </c>
      <c r="AC17" t="s">
        <v>7</v>
      </c>
      <c r="AD17" t="s">
        <v>8</v>
      </c>
      <c r="AE17" t="s">
        <v>6</v>
      </c>
      <c r="AF17" t="s">
        <v>3</v>
      </c>
      <c r="AG17" t="s">
        <v>3</v>
      </c>
      <c r="AH17" t="s">
        <v>3</v>
      </c>
      <c r="AI17" t="s">
        <v>3</v>
      </c>
      <c r="AJ17" t="s">
        <v>3</v>
      </c>
      <c r="AK17" t="s">
        <v>7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9</v>
      </c>
      <c r="AR17" s="1">
        <v>2.1592806E-4</v>
      </c>
      <c r="AS17" s="1">
        <v>3.1435259500000002E-25</v>
      </c>
      <c r="AT17">
        <v>1</v>
      </c>
      <c r="AU17" t="s">
        <v>10</v>
      </c>
      <c r="AV17">
        <v>1</v>
      </c>
      <c r="AW17">
        <v>0</v>
      </c>
      <c r="AX17">
        <v>0</v>
      </c>
      <c r="AY17">
        <v>4</v>
      </c>
      <c r="AZ17">
        <v>0</v>
      </c>
      <c r="BA17" t="s">
        <v>9</v>
      </c>
      <c r="BB17" t="s">
        <v>4</v>
      </c>
      <c r="BC17" t="s">
        <v>10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9</v>
      </c>
      <c r="BJ17">
        <v>-1.5380999999999999E-4</v>
      </c>
      <c r="BK17">
        <v>0</v>
      </c>
      <c r="BL17">
        <v>1.5155E-4</v>
      </c>
      <c r="BM17" s="2">
        <f t="shared" si="0"/>
        <v>1.8930755879353759E-6</v>
      </c>
    </row>
    <row r="18" spans="1:65" x14ac:dyDescent="0.35">
      <c r="A18">
        <v>0</v>
      </c>
      <c r="B18" t="s">
        <v>3</v>
      </c>
      <c r="C18" t="s">
        <v>4</v>
      </c>
      <c r="D18">
        <v>0</v>
      </c>
      <c r="E18" t="s">
        <v>3</v>
      </c>
      <c r="F18" t="s">
        <v>5</v>
      </c>
      <c r="G18">
        <v>3897.050534</v>
      </c>
      <c r="H18" t="s">
        <v>4</v>
      </c>
      <c r="I18">
        <v>990.16341899999998</v>
      </c>
      <c r="J18">
        <v>2906.887115</v>
      </c>
      <c r="K18" t="s">
        <v>6</v>
      </c>
      <c r="L18" t="s">
        <v>7</v>
      </c>
      <c r="M18" t="s">
        <v>8</v>
      </c>
      <c r="N18" t="s">
        <v>6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7</v>
      </c>
      <c r="U18">
        <v>0</v>
      </c>
      <c r="V18">
        <v>1</v>
      </c>
      <c r="W18">
        <v>0</v>
      </c>
      <c r="X18">
        <v>4</v>
      </c>
      <c r="Y18">
        <v>0</v>
      </c>
      <c r="Z18" t="s">
        <v>15</v>
      </c>
      <c r="AA18" t="s">
        <v>4</v>
      </c>
      <c r="AB18" t="s">
        <v>6</v>
      </c>
      <c r="AC18" t="s">
        <v>7</v>
      </c>
      <c r="AD18" t="s">
        <v>8</v>
      </c>
      <c r="AE18" t="s">
        <v>6</v>
      </c>
      <c r="AF18" t="s">
        <v>3</v>
      </c>
      <c r="AG18" t="s">
        <v>3</v>
      </c>
      <c r="AH18" t="s">
        <v>3</v>
      </c>
      <c r="AI18" t="s">
        <v>3</v>
      </c>
      <c r="AJ18" t="s">
        <v>3</v>
      </c>
      <c r="AK18" t="s">
        <v>7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9</v>
      </c>
      <c r="AR18" s="1">
        <v>2.9318673699999998E-5</v>
      </c>
      <c r="AS18" s="1">
        <v>6.7132469399999997E-27</v>
      </c>
      <c r="AT18">
        <v>1</v>
      </c>
      <c r="AU18" t="s">
        <v>10</v>
      </c>
      <c r="AV18">
        <v>0</v>
      </c>
      <c r="AW18">
        <v>1</v>
      </c>
      <c r="AX18">
        <v>0</v>
      </c>
      <c r="AY18">
        <v>4</v>
      </c>
      <c r="AZ18">
        <v>0</v>
      </c>
      <c r="BA18" t="s">
        <v>15</v>
      </c>
      <c r="BB18" t="s">
        <v>4</v>
      </c>
      <c r="BC18" t="s">
        <v>10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9</v>
      </c>
      <c r="BJ18">
        <v>-2.9050000000000001E-5</v>
      </c>
      <c r="BK18">
        <v>0</v>
      </c>
      <c r="BL18">
        <v>-3.9400000000000004E-6</v>
      </c>
      <c r="BM18" s="2">
        <f t="shared" si="0"/>
        <v>4.0428118297849151E-8</v>
      </c>
    </row>
    <row r="19" spans="1:65" x14ac:dyDescent="0.35">
      <c r="A19">
        <v>0</v>
      </c>
      <c r="B19" t="s">
        <v>3</v>
      </c>
      <c r="C19" t="s">
        <v>4</v>
      </c>
      <c r="D19">
        <v>0</v>
      </c>
      <c r="E19" t="s">
        <v>3</v>
      </c>
      <c r="F19" t="s">
        <v>5</v>
      </c>
      <c r="G19">
        <v>1053.6615810000001</v>
      </c>
      <c r="H19" t="s">
        <v>4</v>
      </c>
      <c r="I19">
        <v>990.16341899999998</v>
      </c>
      <c r="J19">
        <v>63.498162000000001</v>
      </c>
      <c r="K19" t="s">
        <v>6</v>
      </c>
      <c r="L19" t="s">
        <v>7</v>
      </c>
      <c r="M19" t="s">
        <v>8</v>
      </c>
      <c r="N19" t="s">
        <v>6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7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15</v>
      </c>
      <c r="AA19" t="s">
        <v>4</v>
      </c>
      <c r="AB19" t="s">
        <v>6</v>
      </c>
      <c r="AC19" t="s">
        <v>7</v>
      </c>
      <c r="AD19" t="s">
        <v>8</v>
      </c>
      <c r="AE19" t="s">
        <v>6</v>
      </c>
      <c r="AF19" t="s">
        <v>3</v>
      </c>
      <c r="AG19" t="s">
        <v>3</v>
      </c>
      <c r="AH19" t="s">
        <v>3</v>
      </c>
      <c r="AI19" t="s">
        <v>3</v>
      </c>
      <c r="AJ19" t="s">
        <v>3</v>
      </c>
      <c r="AK19" t="s">
        <v>7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9</v>
      </c>
      <c r="AR19" s="1">
        <v>2.2977951600000002E-5</v>
      </c>
      <c r="AS19" s="1">
        <v>2.3782805199999999E-29</v>
      </c>
      <c r="AT19">
        <v>2</v>
      </c>
      <c r="AU19" t="s">
        <v>10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15</v>
      </c>
      <c r="BB19" t="s">
        <v>4</v>
      </c>
      <c r="BC19" t="s">
        <v>10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9</v>
      </c>
      <c r="BJ19">
        <v>2.2909999999999999E-5</v>
      </c>
      <c r="BK19">
        <v>0</v>
      </c>
      <c r="BL19">
        <v>1.8199999999999999E-6</v>
      </c>
      <c r="BM19" s="2">
        <f t="shared" si="0"/>
        <v>1.4322340153337215E-10</v>
      </c>
    </row>
    <row r="20" spans="1:65" x14ac:dyDescent="0.35">
      <c r="A20">
        <v>0</v>
      </c>
      <c r="B20" t="s">
        <v>11</v>
      </c>
      <c r="C20" t="s">
        <v>4</v>
      </c>
      <c r="D20">
        <v>0</v>
      </c>
      <c r="E20" t="s">
        <v>3</v>
      </c>
      <c r="F20" t="s">
        <v>5</v>
      </c>
      <c r="G20">
        <v>3625.306889</v>
      </c>
      <c r="H20" t="s">
        <v>4</v>
      </c>
      <c r="I20">
        <v>990.16341899999998</v>
      </c>
      <c r="J20">
        <v>2635.14347</v>
      </c>
      <c r="K20" t="s">
        <v>6</v>
      </c>
      <c r="L20" t="s">
        <v>7</v>
      </c>
      <c r="M20" t="s">
        <v>8</v>
      </c>
      <c r="N20" t="s">
        <v>6</v>
      </c>
      <c r="O20" t="s">
        <v>3</v>
      </c>
      <c r="P20" t="s">
        <v>3</v>
      </c>
      <c r="Q20" t="s">
        <v>3</v>
      </c>
      <c r="R20" t="s">
        <v>3</v>
      </c>
      <c r="S20" t="s">
        <v>11</v>
      </c>
      <c r="T20" t="s">
        <v>7</v>
      </c>
      <c r="U20">
        <v>0</v>
      </c>
      <c r="V20">
        <v>1</v>
      </c>
      <c r="W20">
        <v>0</v>
      </c>
      <c r="X20">
        <v>0</v>
      </c>
      <c r="Y20">
        <v>2</v>
      </c>
      <c r="Z20" t="s">
        <v>18</v>
      </c>
      <c r="AA20" t="s">
        <v>4</v>
      </c>
      <c r="AB20" t="s">
        <v>6</v>
      </c>
      <c r="AC20" t="s">
        <v>7</v>
      </c>
      <c r="AD20" t="s">
        <v>8</v>
      </c>
      <c r="AE20" t="s">
        <v>6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7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9</v>
      </c>
      <c r="AR20" s="1">
        <v>1.18558454E-4</v>
      </c>
      <c r="AS20" s="1">
        <v>9.9514000699999996E-26</v>
      </c>
      <c r="AT20">
        <v>2</v>
      </c>
      <c r="AU20" t="s">
        <v>10</v>
      </c>
      <c r="AV20">
        <v>0</v>
      </c>
      <c r="AW20">
        <v>1</v>
      </c>
      <c r="AX20">
        <v>0</v>
      </c>
      <c r="AY20">
        <v>0</v>
      </c>
      <c r="AZ20">
        <v>2</v>
      </c>
      <c r="BA20" t="s">
        <v>18</v>
      </c>
      <c r="BB20" t="s">
        <v>4</v>
      </c>
      <c r="BC20" t="s">
        <v>10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9</v>
      </c>
      <c r="BJ20">
        <v>0</v>
      </c>
      <c r="BK20">
        <v>-1.1856E-4</v>
      </c>
      <c r="BL20">
        <v>0</v>
      </c>
      <c r="BM20" s="2">
        <f t="shared" si="0"/>
        <v>5.9928732378669846E-7</v>
      </c>
    </row>
    <row r="21" spans="1:65" x14ac:dyDescent="0.35">
      <c r="A21">
        <v>0</v>
      </c>
      <c r="B21" t="s">
        <v>3</v>
      </c>
      <c r="C21" t="s">
        <v>4</v>
      </c>
      <c r="D21">
        <v>0</v>
      </c>
      <c r="E21" t="s">
        <v>3</v>
      </c>
      <c r="F21" t="s">
        <v>5</v>
      </c>
      <c r="G21">
        <v>4824.2653120000004</v>
      </c>
      <c r="H21" t="s">
        <v>4</v>
      </c>
      <c r="I21">
        <v>990.16341899999998</v>
      </c>
      <c r="J21">
        <v>3834.101893</v>
      </c>
      <c r="K21" t="s">
        <v>6</v>
      </c>
      <c r="L21" t="s">
        <v>7</v>
      </c>
      <c r="M21" t="s">
        <v>8</v>
      </c>
      <c r="N21" t="s">
        <v>6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7</v>
      </c>
      <c r="U21">
        <v>2</v>
      </c>
      <c r="V21">
        <v>1</v>
      </c>
      <c r="W21">
        <v>0</v>
      </c>
      <c r="X21">
        <v>2</v>
      </c>
      <c r="Y21">
        <v>0</v>
      </c>
      <c r="Z21" t="s">
        <v>15</v>
      </c>
      <c r="AA21" t="s">
        <v>4</v>
      </c>
      <c r="AB21" t="s">
        <v>6</v>
      </c>
      <c r="AC21" t="s">
        <v>7</v>
      </c>
      <c r="AD21" t="s">
        <v>8</v>
      </c>
      <c r="AE21" t="s">
        <v>6</v>
      </c>
      <c r="AF21" t="s">
        <v>3</v>
      </c>
      <c r="AG21" t="s">
        <v>3</v>
      </c>
      <c r="AH21" t="s">
        <v>3</v>
      </c>
      <c r="AI21" t="s">
        <v>3</v>
      </c>
      <c r="AJ21" t="s">
        <v>3</v>
      </c>
      <c r="AK21" t="s">
        <v>7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9</v>
      </c>
      <c r="AR21" s="1">
        <v>4.4369319599999997E-5</v>
      </c>
      <c r="AS21" s="1">
        <v>2.0278944600000001E-26</v>
      </c>
      <c r="AT21">
        <v>1</v>
      </c>
      <c r="AU21" t="s">
        <v>10</v>
      </c>
      <c r="AV21">
        <v>2</v>
      </c>
      <c r="AW21">
        <v>1</v>
      </c>
      <c r="AX21">
        <v>0</v>
      </c>
      <c r="AY21">
        <v>2</v>
      </c>
      <c r="AZ21">
        <v>0</v>
      </c>
      <c r="BA21" t="s">
        <v>15</v>
      </c>
      <c r="BB21" t="s">
        <v>4</v>
      </c>
      <c r="BC21" t="s">
        <v>10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9</v>
      </c>
      <c r="BJ21">
        <v>2.389E-5</v>
      </c>
      <c r="BK21">
        <v>0</v>
      </c>
      <c r="BL21">
        <v>-3.7389999999999999E-5</v>
      </c>
      <c r="BM21" s="2">
        <f t="shared" si="0"/>
        <v>1.2212265965659969E-7</v>
      </c>
    </row>
    <row r="22" spans="1:65" x14ac:dyDescent="0.35">
      <c r="A22">
        <v>0</v>
      </c>
      <c r="B22" t="s">
        <v>11</v>
      </c>
      <c r="C22" t="s">
        <v>4</v>
      </c>
      <c r="D22">
        <v>0</v>
      </c>
      <c r="E22" t="s">
        <v>3</v>
      </c>
      <c r="F22" t="s">
        <v>5</v>
      </c>
      <c r="G22">
        <v>2606.9303749999999</v>
      </c>
      <c r="H22" t="s">
        <v>4</v>
      </c>
      <c r="I22">
        <v>990.16341899999998</v>
      </c>
      <c r="J22">
        <v>1616.7669559999999</v>
      </c>
      <c r="K22" t="s">
        <v>6</v>
      </c>
      <c r="L22" t="s">
        <v>7</v>
      </c>
      <c r="M22" t="s">
        <v>8</v>
      </c>
      <c r="N22" t="s">
        <v>6</v>
      </c>
      <c r="O22" t="s">
        <v>3</v>
      </c>
      <c r="P22" t="s">
        <v>3</v>
      </c>
      <c r="Q22" t="s">
        <v>3</v>
      </c>
      <c r="R22" t="s">
        <v>3</v>
      </c>
      <c r="S22" t="s">
        <v>11</v>
      </c>
      <c r="T22" t="s">
        <v>7</v>
      </c>
      <c r="U22">
        <v>0</v>
      </c>
      <c r="V22">
        <v>1</v>
      </c>
      <c r="W22">
        <v>0</v>
      </c>
      <c r="X22">
        <v>2</v>
      </c>
      <c r="Y22">
        <v>0</v>
      </c>
      <c r="Z22" t="s">
        <v>18</v>
      </c>
      <c r="AA22" t="s">
        <v>4</v>
      </c>
      <c r="AB22" t="s">
        <v>6</v>
      </c>
      <c r="AC22" t="s">
        <v>7</v>
      </c>
      <c r="AD22" t="s">
        <v>8</v>
      </c>
      <c r="AE22" t="s">
        <v>6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7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9</v>
      </c>
      <c r="AR22" s="1">
        <v>6.5709094199999999E-6</v>
      </c>
      <c r="AS22" s="1">
        <v>1.8747251699999999E-28</v>
      </c>
      <c r="AT22">
        <v>1</v>
      </c>
      <c r="AU22" t="s">
        <v>10</v>
      </c>
      <c r="AV22">
        <v>0</v>
      </c>
      <c r="AW22">
        <v>1</v>
      </c>
      <c r="AX22">
        <v>0</v>
      </c>
      <c r="AY22">
        <v>2</v>
      </c>
      <c r="AZ22">
        <v>0</v>
      </c>
      <c r="BA22" t="s">
        <v>18</v>
      </c>
      <c r="BB22" t="s">
        <v>4</v>
      </c>
      <c r="BC22" t="s">
        <v>10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9</v>
      </c>
      <c r="BJ22">
        <v>0</v>
      </c>
      <c r="BK22">
        <v>6.5699999999999998E-6</v>
      </c>
      <c r="BL22">
        <v>0</v>
      </c>
      <c r="BM22" s="2">
        <f t="shared" si="0"/>
        <v>1.1289858935043936E-9</v>
      </c>
    </row>
    <row r="23" spans="1:65" x14ac:dyDescent="0.35">
      <c r="A23">
        <v>0</v>
      </c>
      <c r="B23" t="s">
        <v>3</v>
      </c>
      <c r="C23" t="s">
        <v>4</v>
      </c>
      <c r="D23">
        <v>0</v>
      </c>
      <c r="E23" t="s">
        <v>3</v>
      </c>
      <c r="F23" t="s">
        <v>5</v>
      </c>
      <c r="G23">
        <v>3982.575683</v>
      </c>
      <c r="H23" t="s">
        <v>4</v>
      </c>
      <c r="I23">
        <v>990.16341899999998</v>
      </c>
      <c r="J23">
        <v>2992.4122640000001</v>
      </c>
      <c r="K23" t="s">
        <v>6</v>
      </c>
      <c r="L23" t="s">
        <v>7</v>
      </c>
      <c r="M23" t="s">
        <v>8</v>
      </c>
      <c r="N23" t="s">
        <v>6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7</v>
      </c>
      <c r="U23">
        <v>1</v>
      </c>
      <c r="V23">
        <v>1</v>
      </c>
      <c r="W23">
        <v>0</v>
      </c>
      <c r="X23">
        <v>0</v>
      </c>
      <c r="Y23">
        <v>0</v>
      </c>
      <c r="Z23" t="s">
        <v>21</v>
      </c>
      <c r="AA23" t="s">
        <v>4</v>
      </c>
      <c r="AB23" t="s">
        <v>6</v>
      </c>
      <c r="AC23" t="s">
        <v>7</v>
      </c>
      <c r="AD23" t="s">
        <v>8</v>
      </c>
      <c r="AE23" t="s">
        <v>6</v>
      </c>
      <c r="AF23" t="s">
        <v>3</v>
      </c>
      <c r="AG23" t="s">
        <v>3</v>
      </c>
      <c r="AH23" t="s">
        <v>3</v>
      </c>
      <c r="AI23" t="s">
        <v>3</v>
      </c>
      <c r="AJ23" t="s">
        <v>3</v>
      </c>
      <c r="AK23" t="s">
        <v>7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9</v>
      </c>
      <c r="AR23" s="1">
        <v>8.3532028400000002E-5</v>
      </c>
      <c r="AS23" s="1">
        <v>5.6097487799999999E-26</v>
      </c>
      <c r="AT23">
        <v>1</v>
      </c>
      <c r="AU23" t="s">
        <v>10</v>
      </c>
      <c r="AV23">
        <v>1</v>
      </c>
      <c r="AW23">
        <v>1</v>
      </c>
      <c r="AX23">
        <v>0</v>
      </c>
      <c r="AY23">
        <v>0</v>
      </c>
      <c r="AZ23">
        <v>0</v>
      </c>
      <c r="BA23" t="s">
        <v>21</v>
      </c>
      <c r="BB23" t="s">
        <v>4</v>
      </c>
      <c r="BC23" t="s">
        <v>10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9</v>
      </c>
      <c r="BJ23">
        <v>1.8099999999999999E-5</v>
      </c>
      <c r="BK23">
        <v>0</v>
      </c>
      <c r="BL23">
        <v>8.1550000000000004E-5</v>
      </c>
      <c r="BM23" s="2">
        <f t="shared" si="0"/>
        <v>3.3782697005788218E-7</v>
      </c>
    </row>
    <row r="24" spans="1:65" x14ac:dyDescent="0.35">
      <c r="A24">
        <v>0</v>
      </c>
      <c r="B24" t="s">
        <v>3</v>
      </c>
      <c r="C24" t="s">
        <v>4</v>
      </c>
      <c r="D24">
        <v>0</v>
      </c>
      <c r="E24" t="s">
        <v>3</v>
      </c>
      <c r="F24" t="s">
        <v>5</v>
      </c>
      <c r="G24">
        <v>4097.207206</v>
      </c>
      <c r="H24" t="s">
        <v>4</v>
      </c>
      <c r="I24">
        <v>990.16341899999998</v>
      </c>
      <c r="J24">
        <v>3107.0437870000001</v>
      </c>
      <c r="K24" t="s">
        <v>6</v>
      </c>
      <c r="L24" t="s">
        <v>7</v>
      </c>
      <c r="M24" t="s">
        <v>8</v>
      </c>
      <c r="N24" t="s">
        <v>6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7</v>
      </c>
      <c r="U24">
        <v>0</v>
      </c>
      <c r="V24">
        <v>1</v>
      </c>
      <c r="W24">
        <v>0</v>
      </c>
      <c r="X24">
        <v>0</v>
      </c>
      <c r="Y24">
        <v>0</v>
      </c>
      <c r="Z24" t="s">
        <v>22</v>
      </c>
      <c r="AA24" t="s">
        <v>4</v>
      </c>
      <c r="AB24" t="s">
        <v>6</v>
      </c>
      <c r="AC24" t="s">
        <v>7</v>
      </c>
      <c r="AD24" t="s">
        <v>8</v>
      </c>
      <c r="AE24" t="s">
        <v>6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7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9</v>
      </c>
      <c r="AR24" s="1">
        <v>2.9532919399999997E-4</v>
      </c>
      <c r="AS24" s="1">
        <v>7.2807507400000004E-25</v>
      </c>
      <c r="AT24">
        <v>2</v>
      </c>
      <c r="AU24" t="s">
        <v>10</v>
      </c>
      <c r="AV24">
        <v>0</v>
      </c>
      <c r="AW24">
        <v>1</v>
      </c>
      <c r="AX24">
        <v>0</v>
      </c>
      <c r="AY24">
        <v>0</v>
      </c>
      <c r="AZ24">
        <v>0</v>
      </c>
      <c r="BA24" t="s">
        <v>22</v>
      </c>
      <c r="BB24" t="s">
        <v>4</v>
      </c>
      <c r="BC24" t="s">
        <v>10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9</v>
      </c>
      <c r="BJ24">
        <v>-2.8886E-4</v>
      </c>
      <c r="BK24">
        <v>0</v>
      </c>
      <c r="BL24">
        <v>-6.1489999999999996E-5</v>
      </c>
      <c r="BM24" s="2">
        <f t="shared" si="0"/>
        <v>4.3845706085984191E-6</v>
      </c>
    </row>
    <row r="25" spans="1:65" x14ac:dyDescent="0.35">
      <c r="A25">
        <v>0</v>
      </c>
      <c r="B25" t="s">
        <v>11</v>
      </c>
      <c r="C25" t="s">
        <v>4</v>
      </c>
      <c r="D25">
        <v>0</v>
      </c>
      <c r="E25" t="s">
        <v>3</v>
      </c>
      <c r="F25" t="s">
        <v>5</v>
      </c>
      <c r="G25">
        <v>4497.5235899999998</v>
      </c>
      <c r="H25" t="s">
        <v>4</v>
      </c>
      <c r="I25">
        <v>990.16341899999998</v>
      </c>
      <c r="J25">
        <v>3507.3601709999998</v>
      </c>
      <c r="K25" t="s">
        <v>6</v>
      </c>
      <c r="L25" t="s">
        <v>7</v>
      </c>
      <c r="M25" t="s">
        <v>8</v>
      </c>
      <c r="N25" t="s">
        <v>6</v>
      </c>
      <c r="O25" t="s">
        <v>3</v>
      </c>
      <c r="P25" t="s">
        <v>3</v>
      </c>
      <c r="Q25" t="s">
        <v>3</v>
      </c>
      <c r="R25" t="s">
        <v>3</v>
      </c>
      <c r="S25" t="s">
        <v>11</v>
      </c>
      <c r="T25" t="s">
        <v>7</v>
      </c>
      <c r="U25">
        <v>1</v>
      </c>
      <c r="V25">
        <v>1</v>
      </c>
      <c r="W25">
        <v>0</v>
      </c>
      <c r="X25">
        <v>2</v>
      </c>
      <c r="Y25">
        <v>0</v>
      </c>
      <c r="Z25" t="s">
        <v>13</v>
      </c>
      <c r="AA25" t="s">
        <v>4</v>
      </c>
      <c r="AB25" t="s">
        <v>6</v>
      </c>
      <c r="AC25" t="s">
        <v>7</v>
      </c>
      <c r="AD25" t="s">
        <v>8</v>
      </c>
      <c r="AE25" t="s">
        <v>6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7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9</v>
      </c>
      <c r="AR25" s="1">
        <v>8.0009227899999998E-6</v>
      </c>
      <c r="AS25" s="1">
        <v>6.0322130100000001E-28</v>
      </c>
      <c r="AT25">
        <v>1</v>
      </c>
      <c r="AU25" t="s">
        <v>10</v>
      </c>
      <c r="AV25">
        <v>1</v>
      </c>
      <c r="AW25">
        <v>1</v>
      </c>
      <c r="AX25">
        <v>0</v>
      </c>
      <c r="AY25">
        <v>2</v>
      </c>
      <c r="AZ25">
        <v>0</v>
      </c>
      <c r="BA25" t="s">
        <v>13</v>
      </c>
      <c r="BB25" t="s">
        <v>4</v>
      </c>
      <c r="BC25" t="s">
        <v>10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9</v>
      </c>
      <c r="BJ25">
        <v>0</v>
      </c>
      <c r="BK25">
        <v>-7.9999999999999996E-6</v>
      </c>
      <c r="BL25">
        <v>0</v>
      </c>
      <c r="BM25" s="2">
        <f t="shared" si="0"/>
        <v>3.6326836081811804E-9</v>
      </c>
    </row>
    <row r="26" spans="1:65" x14ac:dyDescent="0.35">
      <c r="A26">
        <v>0</v>
      </c>
      <c r="B26" t="s">
        <v>3</v>
      </c>
      <c r="C26" t="s">
        <v>4</v>
      </c>
      <c r="D26">
        <v>0</v>
      </c>
      <c r="E26" t="s">
        <v>3</v>
      </c>
      <c r="F26" t="s">
        <v>5</v>
      </c>
      <c r="G26">
        <v>4580.1466350000001</v>
      </c>
      <c r="H26" t="s">
        <v>4</v>
      </c>
      <c r="I26">
        <v>990.16341899999998</v>
      </c>
      <c r="J26">
        <v>3589.9832160000001</v>
      </c>
      <c r="K26" t="s">
        <v>6</v>
      </c>
      <c r="L26" t="s">
        <v>7</v>
      </c>
      <c r="M26" t="s">
        <v>8</v>
      </c>
      <c r="N26" t="s">
        <v>6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7</v>
      </c>
      <c r="U26">
        <v>1</v>
      </c>
      <c r="V26">
        <v>0</v>
      </c>
      <c r="W26">
        <v>0</v>
      </c>
      <c r="X26">
        <v>6</v>
      </c>
      <c r="Y26">
        <v>0</v>
      </c>
      <c r="Z26" t="s">
        <v>9</v>
      </c>
      <c r="AA26" t="s">
        <v>4</v>
      </c>
      <c r="AB26" t="s">
        <v>6</v>
      </c>
      <c r="AC26" t="s">
        <v>7</v>
      </c>
      <c r="AD26" t="s">
        <v>8</v>
      </c>
      <c r="AE26" t="s">
        <v>6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7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9</v>
      </c>
      <c r="AR26" s="1">
        <v>5.6503342099999998E-5</v>
      </c>
      <c r="AS26" s="1">
        <v>3.07933431E-26</v>
      </c>
      <c r="AT26">
        <v>2</v>
      </c>
      <c r="AU26" t="s">
        <v>10</v>
      </c>
      <c r="AV26">
        <v>1</v>
      </c>
      <c r="AW26">
        <v>0</v>
      </c>
      <c r="AX26">
        <v>0</v>
      </c>
      <c r="AY26">
        <v>6</v>
      </c>
      <c r="AZ26">
        <v>0</v>
      </c>
      <c r="BA26" t="s">
        <v>9</v>
      </c>
      <c r="BB26" t="s">
        <v>4</v>
      </c>
      <c r="BC26" t="s">
        <v>10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9</v>
      </c>
      <c r="BJ26">
        <v>4.3590000000000001E-5</v>
      </c>
      <c r="BK26">
        <v>0</v>
      </c>
      <c r="BL26">
        <v>-3.595E-5</v>
      </c>
      <c r="BM26" s="2">
        <f t="shared" si="0"/>
        <v>1.8544184785090847E-7</v>
      </c>
    </row>
    <row r="27" spans="1:65" x14ac:dyDescent="0.35">
      <c r="A27">
        <v>0</v>
      </c>
      <c r="B27" t="s">
        <v>3</v>
      </c>
      <c r="C27" t="s">
        <v>4</v>
      </c>
      <c r="D27">
        <v>0</v>
      </c>
      <c r="E27" t="s">
        <v>3</v>
      </c>
      <c r="F27" t="s">
        <v>5</v>
      </c>
      <c r="G27">
        <v>2166.2576869999998</v>
      </c>
      <c r="H27" t="s">
        <v>4</v>
      </c>
      <c r="I27">
        <v>990.16341899999998</v>
      </c>
      <c r="J27">
        <v>1176.0942680000001</v>
      </c>
      <c r="K27" t="s">
        <v>6</v>
      </c>
      <c r="L27" t="s">
        <v>7</v>
      </c>
      <c r="M27" t="s">
        <v>8</v>
      </c>
      <c r="N27" t="s">
        <v>6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7</v>
      </c>
      <c r="U27">
        <v>0</v>
      </c>
      <c r="V27">
        <v>1</v>
      </c>
      <c r="W27">
        <v>0</v>
      </c>
      <c r="X27">
        <v>0</v>
      </c>
      <c r="Y27">
        <v>1</v>
      </c>
      <c r="Z27" t="s">
        <v>8</v>
      </c>
      <c r="AA27" t="s">
        <v>4</v>
      </c>
      <c r="AB27" t="s">
        <v>6</v>
      </c>
      <c r="AC27" t="s">
        <v>7</v>
      </c>
      <c r="AD27" t="s">
        <v>8</v>
      </c>
      <c r="AE27" t="s">
        <v>6</v>
      </c>
      <c r="AF27" t="s">
        <v>3</v>
      </c>
      <c r="AG27" t="s">
        <v>3</v>
      </c>
      <c r="AH27" t="s">
        <v>3</v>
      </c>
      <c r="AI27" t="s">
        <v>3</v>
      </c>
      <c r="AJ27" t="s">
        <v>3</v>
      </c>
      <c r="AK27" t="s">
        <v>7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9</v>
      </c>
      <c r="AR27" s="1">
        <v>1.0113106900000001E-5</v>
      </c>
      <c r="AS27" s="1">
        <v>3.22062304E-28</v>
      </c>
      <c r="AT27">
        <v>1</v>
      </c>
      <c r="AU27" t="s">
        <v>10</v>
      </c>
      <c r="AV27">
        <v>0</v>
      </c>
      <c r="AW27">
        <v>1</v>
      </c>
      <c r="AX27">
        <v>0</v>
      </c>
      <c r="AY27">
        <v>0</v>
      </c>
      <c r="AZ27">
        <v>1</v>
      </c>
      <c r="BA27" t="s">
        <v>8</v>
      </c>
      <c r="BB27" t="s">
        <v>4</v>
      </c>
      <c r="BC27" t="s">
        <v>10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9</v>
      </c>
      <c r="BJ27">
        <v>-4.4100000000000001E-6</v>
      </c>
      <c r="BK27">
        <v>0</v>
      </c>
      <c r="BL27">
        <v>-9.0999999999999993E-6</v>
      </c>
      <c r="BM27" s="2">
        <f t="shared" si="0"/>
        <v>1.9395045410604031E-9</v>
      </c>
    </row>
    <row r="28" spans="1:65" x14ac:dyDescent="0.35">
      <c r="A28">
        <v>0</v>
      </c>
      <c r="B28" t="s">
        <v>3</v>
      </c>
      <c r="C28" t="s">
        <v>4</v>
      </c>
      <c r="D28">
        <v>0</v>
      </c>
      <c r="E28" t="s">
        <v>3</v>
      </c>
      <c r="F28" t="s">
        <v>5</v>
      </c>
      <c r="G28">
        <v>3119.102527</v>
      </c>
      <c r="H28" t="s">
        <v>4</v>
      </c>
      <c r="I28">
        <v>990.16341899999998</v>
      </c>
      <c r="J28">
        <v>2128.939108</v>
      </c>
      <c r="K28" t="s">
        <v>6</v>
      </c>
      <c r="L28" t="s">
        <v>7</v>
      </c>
      <c r="M28" t="s">
        <v>8</v>
      </c>
      <c r="N28" t="s">
        <v>6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7</v>
      </c>
      <c r="U28">
        <v>0</v>
      </c>
      <c r="V28">
        <v>1</v>
      </c>
      <c r="W28">
        <v>0</v>
      </c>
      <c r="X28">
        <v>2</v>
      </c>
      <c r="Y28">
        <v>0</v>
      </c>
      <c r="Z28" t="s">
        <v>15</v>
      </c>
      <c r="AA28" t="s">
        <v>4</v>
      </c>
      <c r="AB28" t="s">
        <v>6</v>
      </c>
      <c r="AC28" t="s">
        <v>7</v>
      </c>
      <c r="AD28" t="s">
        <v>8</v>
      </c>
      <c r="AE28" t="s">
        <v>6</v>
      </c>
      <c r="AF28" t="s">
        <v>3</v>
      </c>
      <c r="AG28" t="s">
        <v>3</v>
      </c>
      <c r="AH28" t="s">
        <v>3</v>
      </c>
      <c r="AI28" t="s">
        <v>3</v>
      </c>
      <c r="AJ28" t="s">
        <v>3</v>
      </c>
      <c r="AK28" t="s">
        <v>7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9</v>
      </c>
      <c r="AR28" s="1">
        <v>1.4428031999999999E-4</v>
      </c>
      <c r="AS28" s="1">
        <v>1.19063508E-25</v>
      </c>
      <c r="AT28">
        <v>2</v>
      </c>
      <c r="AU28" t="s">
        <v>10</v>
      </c>
      <c r="AV28">
        <v>0</v>
      </c>
      <c r="AW28">
        <v>1</v>
      </c>
      <c r="AX28">
        <v>0</v>
      </c>
      <c r="AY28">
        <v>2</v>
      </c>
      <c r="AZ28">
        <v>0</v>
      </c>
      <c r="BA28" t="s">
        <v>15</v>
      </c>
      <c r="BB28" t="s">
        <v>4</v>
      </c>
      <c r="BC28" t="s">
        <v>10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9</v>
      </c>
      <c r="BJ28">
        <v>-1.2528999999999999E-4</v>
      </c>
      <c r="BK28">
        <v>0</v>
      </c>
      <c r="BL28">
        <v>-7.1550000000000004E-5</v>
      </c>
      <c r="BM28" s="2">
        <f t="shared" si="0"/>
        <v>7.1701720931792634E-7</v>
      </c>
    </row>
    <row r="29" spans="1:65" x14ac:dyDescent="0.35">
      <c r="A29">
        <v>0</v>
      </c>
      <c r="B29" t="s">
        <v>3</v>
      </c>
      <c r="C29" t="s">
        <v>4</v>
      </c>
      <c r="D29">
        <v>0</v>
      </c>
      <c r="E29" t="s">
        <v>3</v>
      </c>
      <c r="F29" t="s">
        <v>5</v>
      </c>
      <c r="G29">
        <v>3350.9988400000002</v>
      </c>
      <c r="H29" t="s">
        <v>4</v>
      </c>
      <c r="I29">
        <v>990.16341899999998</v>
      </c>
      <c r="J29">
        <v>2360.8354210000002</v>
      </c>
      <c r="K29" t="s">
        <v>6</v>
      </c>
      <c r="L29" t="s">
        <v>7</v>
      </c>
      <c r="M29" t="s">
        <v>8</v>
      </c>
      <c r="N29" t="s">
        <v>6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7</v>
      </c>
      <c r="U29">
        <v>2</v>
      </c>
      <c r="V29">
        <v>1</v>
      </c>
      <c r="W29">
        <v>0</v>
      </c>
      <c r="X29">
        <v>1</v>
      </c>
      <c r="Y29">
        <v>0</v>
      </c>
      <c r="Z29" t="s">
        <v>8</v>
      </c>
      <c r="AA29" t="s">
        <v>4</v>
      </c>
      <c r="AB29" t="s">
        <v>6</v>
      </c>
      <c r="AC29" t="s">
        <v>7</v>
      </c>
      <c r="AD29" t="s">
        <v>8</v>
      </c>
      <c r="AE29" t="s">
        <v>6</v>
      </c>
      <c r="AF29" t="s">
        <v>3</v>
      </c>
      <c r="AG29" t="s">
        <v>3</v>
      </c>
      <c r="AH29" t="s">
        <v>3</v>
      </c>
      <c r="AI29" t="s">
        <v>3</v>
      </c>
      <c r="AJ29" t="s">
        <v>3</v>
      </c>
      <c r="AK29" t="s">
        <v>7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9</v>
      </c>
      <c r="AR29" s="1">
        <v>1.2683428E-4</v>
      </c>
      <c r="AS29" s="1">
        <v>1.02035266E-25</v>
      </c>
      <c r="AT29">
        <v>2</v>
      </c>
      <c r="AU29" t="s">
        <v>10</v>
      </c>
      <c r="AV29">
        <v>2</v>
      </c>
      <c r="AW29">
        <v>1</v>
      </c>
      <c r="AX29">
        <v>0</v>
      </c>
      <c r="AY29">
        <v>1</v>
      </c>
      <c r="AZ29">
        <v>0</v>
      </c>
      <c r="BA29" t="s">
        <v>8</v>
      </c>
      <c r="BB29" t="s">
        <v>4</v>
      </c>
      <c r="BC29" t="s">
        <v>10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9</v>
      </c>
      <c r="BJ29">
        <v>1.2601999999999999E-4</v>
      </c>
      <c r="BK29">
        <v>0</v>
      </c>
      <c r="BL29">
        <v>-1.438E-5</v>
      </c>
      <c r="BM29" s="2">
        <f t="shared" si="0"/>
        <v>6.1447073841745283E-7</v>
      </c>
    </row>
    <row r="30" spans="1:65" x14ac:dyDescent="0.35">
      <c r="A30">
        <v>0</v>
      </c>
      <c r="B30" t="s">
        <v>3</v>
      </c>
      <c r="C30" t="s">
        <v>4</v>
      </c>
      <c r="D30">
        <v>0</v>
      </c>
      <c r="E30" t="s">
        <v>3</v>
      </c>
      <c r="F30" t="s">
        <v>5</v>
      </c>
      <c r="G30">
        <v>4647.9766399999999</v>
      </c>
      <c r="H30" t="s">
        <v>4</v>
      </c>
      <c r="I30">
        <v>990.16341899999998</v>
      </c>
      <c r="J30">
        <v>3657.8132209999999</v>
      </c>
      <c r="K30" t="s">
        <v>6</v>
      </c>
      <c r="L30" t="s">
        <v>7</v>
      </c>
      <c r="M30" t="s">
        <v>8</v>
      </c>
      <c r="N30" t="s">
        <v>6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7</v>
      </c>
      <c r="U30">
        <v>0</v>
      </c>
      <c r="V30">
        <v>0</v>
      </c>
      <c r="W30">
        <v>0</v>
      </c>
      <c r="X30">
        <v>8</v>
      </c>
      <c r="Y30">
        <v>1</v>
      </c>
      <c r="Z30" t="s">
        <v>8</v>
      </c>
      <c r="AA30" t="s">
        <v>4</v>
      </c>
      <c r="AB30" t="s">
        <v>6</v>
      </c>
      <c r="AC30" t="s">
        <v>7</v>
      </c>
      <c r="AD30" t="s">
        <v>8</v>
      </c>
      <c r="AE30" t="s">
        <v>6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7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9</v>
      </c>
      <c r="AR30" s="1">
        <v>1.9270924800000001E-5</v>
      </c>
      <c r="AS30" s="1">
        <v>3.6495792100000001E-27</v>
      </c>
      <c r="AT30">
        <v>2</v>
      </c>
      <c r="AU30" t="s">
        <v>10</v>
      </c>
      <c r="AV30">
        <v>0</v>
      </c>
      <c r="AW30">
        <v>0</v>
      </c>
      <c r="AX30">
        <v>0</v>
      </c>
      <c r="AY30">
        <v>8</v>
      </c>
      <c r="AZ30">
        <v>1</v>
      </c>
      <c r="BA30" t="s">
        <v>8</v>
      </c>
      <c r="BB30" t="s">
        <v>4</v>
      </c>
      <c r="BC30" t="s">
        <v>10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9</v>
      </c>
      <c r="BJ30">
        <v>1.4049999999999999E-5</v>
      </c>
      <c r="BK30">
        <v>0</v>
      </c>
      <c r="BL30">
        <v>-1.3190000000000001E-5</v>
      </c>
      <c r="BM30" s="2">
        <f t="shared" si="0"/>
        <v>2.1978279863372768E-8</v>
      </c>
    </row>
    <row r="31" spans="1:65" x14ac:dyDescent="0.35">
      <c r="A31">
        <v>0</v>
      </c>
      <c r="B31" t="s">
        <v>11</v>
      </c>
      <c r="C31" t="s">
        <v>4</v>
      </c>
      <c r="D31">
        <v>0</v>
      </c>
      <c r="E31" t="s">
        <v>3</v>
      </c>
      <c r="F31" t="s">
        <v>5</v>
      </c>
      <c r="G31">
        <v>4777.2505350000001</v>
      </c>
      <c r="H31" t="s">
        <v>4</v>
      </c>
      <c r="I31">
        <v>990.16341899999998</v>
      </c>
      <c r="J31">
        <v>3787.0871160000002</v>
      </c>
      <c r="K31" t="s">
        <v>6</v>
      </c>
      <c r="L31" t="s">
        <v>7</v>
      </c>
      <c r="M31" t="s">
        <v>8</v>
      </c>
      <c r="N31" t="s">
        <v>6</v>
      </c>
      <c r="O31" t="s">
        <v>3</v>
      </c>
      <c r="P31" t="s">
        <v>3</v>
      </c>
      <c r="Q31" t="s">
        <v>3</v>
      </c>
      <c r="R31" t="s">
        <v>3</v>
      </c>
      <c r="S31" t="s">
        <v>11</v>
      </c>
      <c r="T31" t="s">
        <v>7</v>
      </c>
      <c r="U31">
        <v>4</v>
      </c>
      <c r="V31">
        <v>0</v>
      </c>
      <c r="W31">
        <v>0</v>
      </c>
      <c r="X31">
        <v>0</v>
      </c>
      <c r="Y31">
        <v>0</v>
      </c>
      <c r="Z31" t="s">
        <v>14</v>
      </c>
      <c r="AA31" t="s">
        <v>4</v>
      </c>
      <c r="AB31" t="s">
        <v>6</v>
      </c>
      <c r="AC31" t="s">
        <v>7</v>
      </c>
      <c r="AD31" t="s">
        <v>8</v>
      </c>
      <c r="AE31" t="s">
        <v>6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7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9</v>
      </c>
      <c r="AR31" s="1">
        <v>1.19996516E-5</v>
      </c>
      <c r="AS31" s="1">
        <v>1.4650711800000001E-27</v>
      </c>
      <c r="AT31">
        <v>2</v>
      </c>
      <c r="AU31" t="s">
        <v>10</v>
      </c>
      <c r="AV31">
        <v>4</v>
      </c>
      <c r="AW31">
        <v>0</v>
      </c>
      <c r="AX31">
        <v>0</v>
      </c>
      <c r="AY31">
        <v>0</v>
      </c>
      <c r="AZ31">
        <v>0</v>
      </c>
      <c r="BA31" t="s">
        <v>14</v>
      </c>
      <c r="BB31" t="s">
        <v>4</v>
      </c>
      <c r="BC31" t="s">
        <v>10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9</v>
      </c>
      <c r="BJ31">
        <v>0</v>
      </c>
      <c r="BK31">
        <v>-1.2E-5</v>
      </c>
      <c r="BL31">
        <v>0</v>
      </c>
      <c r="BM31" s="2">
        <f t="shared" si="0"/>
        <v>8.8228649279821443E-9</v>
      </c>
    </row>
    <row r="32" spans="1:65" x14ac:dyDescent="0.35">
      <c r="A32">
        <v>0</v>
      </c>
      <c r="B32" t="s">
        <v>3</v>
      </c>
      <c r="C32" t="s">
        <v>4</v>
      </c>
      <c r="D32">
        <v>0</v>
      </c>
      <c r="E32" t="s">
        <v>3</v>
      </c>
      <c r="F32" t="s">
        <v>5</v>
      </c>
      <c r="G32">
        <v>4199.9324420000003</v>
      </c>
      <c r="H32" t="s">
        <v>4</v>
      </c>
      <c r="I32">
        <v>990.16341899999998</v>
      </c>
      <c r="J32">
        <v>3209.7690229999998</v>
      </c>
      <c r="K32" t="s">
        <v>6</v>
      </c>
      <c r="L32" t="s">
        <v>7</v>
      </c>
      <c r="M32" t="s">
        <v>8</v>
      </c>
      <c r="N32" t="s">
        <v>6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7</v>
      </c>
      <c r="U32">
        <v>5</v>
      </c>
      <c r="V32">
        <v>0</v>
      </c>
      <c r="W32">
        <v>0</v>
      </c>
      <c r="X32">
        <v>0</v>
      </c>
      <c r="Y32">
        <v>0</v>
      </c>
      <c r="Z32" t="s">
        <v>8</v>
      </c>
      <c r="AA32" t="s">
        <v>4</v>
      </c>
      <c r="AB32" t="s">
        <v>6</v>
      </c>
      <c r="AC32" t="s">
        <v>7</v>
      </c>
      <c r="AD32" t="s">
        <v>8</v>
      </c>
      <c r="AE32" t="s">
        <v>6</v>
      </c>
      <c r="AF32" t="s">
        <v>3</v>
      </c>
      <c r="AG32" t="s">
        <v>3</v>
      </c>
      <c r="AH32" t="s">
        <v>3</v>
      </c>
      <c r="AI32" t="s">
        <v>3</v>
      </c>
      <c r="AJ32" t="s">
        <v>3</v>
      </c>
      <c r="AK32" t="s">
        <v>7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9</v>
      </c>
      <c r="AR32" s="1">
        <v>9.2533024800000002E-5</v>
      </c>
      <c r="AS32" s="1">
        <v>7.3838587800000003E-26</v>
      </c>
      <c r="AT32">
        <v>2</v>
      </c>
      <c r="AU32" t="s">
        <v>10</v>
      </c>
      <c r="AV32">
        <v>5</v>
      </c>
      <c r="AW32">
        <v>0</v>
      </c>
      <c r="AX32">
        <v>0</v>
      </c>
      <c r="AY32">
        <v>0</v>
      </c>
      <c r="AZ32">
        <v>0</v>
      </c>
      <c r="BA32" t="s">
        <v>8</v>
      </c>
      <c r="BB32" t="s">
        <v>4</v>
      </c>
      <c r="BC32" t="s">
        <v>10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9</v>
      </c>
      <c r="BJ32">
        <v>7.9569999999999999E-5</v>
      </c>
      <c r="BK32">
        <v>0</v>
      </c>
      <c r="BL32">
        <v>4.7240000000000002E-5</v>
      </c>
      <c r="BM32" s="2">
        <f t="shared" si="0"/>
        <v>4.4466637220476221E-7</v>
      </c>
    </row>
    <row r="33" spans="1:65" x14ac:dyDescent="0.35">
      <c r="A33">
        <v>0</v>
      </c>
      <c r="B33" t="s">
        <v>11</v>
      </c>
      <c r="C33" t="s">
        <v>4</v>
      </c>
      <c r="D33">
        <v>0</v>
      </c>
      <c r="E33" t="s">
        <v>3</v>
      </c>
      <c r="F33" t="s">
        <v>5</v>
      </c>
      <c r="G33">
        <v>4285.6384459999999</v>
      </c>
      <c r="H33" t="s">
        <v>4</v>
      </c>
      <c r="I33">
        <v>990.16341899999998</v>
      </c>
      <c r="J33">
        <v>3295.475027</v>
      </c>
      <c r="K33" t="s">
        <v>6</v>
      </c>
      <c r="L33" t="s">
        <v>7</v>
      </c>
      <c r="M33" t="s">
        <v>8</v>
      </c>
      <c r="N33" t="s">
        <v>6</v>
      </c>
      <c r="O33" t="s">
        <v>3</v>
      </c>
      <c r="P33" t="s">
        <v>3</v>
      </c>
      <c r="Q33" t="s">
        <v>3</v>
      </c>
      <c r="R33" t="s">
        <v>3</v>
      </c>
      <c r="S33" t="s">
        <v>11</v>
      </c>
      <c r="T33" t="s">
        <v>7</v>
      </c>
      <c r="U33">
        <v>4</v>
      </c>
      <c r="V33">
        <v>0</v>
      </c>
      <c r="W33">
        <v>0</v>
      </c>
      <c r="X33">
        <v>1</v>
      </c>
      <c r="Y33">
        <v>0</v>
      </c>
      <c r="Z33" t="s">
        <v>18</v>
      </c>
      <c r="AA33" t="s">
        <v>4</v>
      </c>
      <c r="AB33" t="s">
        <v>6</v>
      </c>
      <c r="AC33" t="s">
        <v>7</v>
      </c>
      <c r="AD33" t="s">
        <v>8</v>
      </c>
      <c r="AE33" t="s">
        <v>6</v>
      </c>
      <c r="AF33" t="s">
        <v>3</v>
      </c>
      <c r="AG33" t="s">
        <v>3</v>
      </c>
      <c r="AH33" t="s">
        <v>3</v>
      </c>
      <c r="AI33" t="s">
        <v>3</v>
      </c>
      <c r="AJ33" t="s">
        <v>3</v>
      </c>
      <c r="AK33" t="s">
        <v>7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9</v>
      </c>
      <c r="AR33" s="1">
        <v>2.35450963E-5</v>
      </c>
      <c r="AS33" s="1">
        <v>4.90834496E-27</v>
      </c>
      <c r="AT33">
        <v>2</v>
      </c>
      <c r="AU33" t="s">
        <v>10</v>
      </c>
      <c r="AV33">
        <v>4</v>
      </c>
      <c r="AW33">
        <v>0</v>
      </c>
      <c r="AX33">
        <v>0</v>
      </c>
      <c r="AY33">
        <v>1</v>
      </c>
      <c r="AZ33">
        <v>0</v>
      </c>
      <c r="BA33" t="s">
        <v>18</v>
      </c>
      <c r="BB33" t="s">
        <v>4</v>
      </c>
      <c r="BC33" t="s">
        <v>10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9</v>
      </c>
      <c r="BJ33">
        <v>0</v>
      </c>
      <c r="BK33">
        <v>-2.355E-5</v>
      </c>
      <c r="BL33">
        <v>0</v>
      </c>
      <c r="BM33" s="2">
        <f t="shared" si="0"/>
        <v>2.9558744444090366E-8</v>
      </c>
    </row>
    <row r="34" spans="1:65" x14ac:dyDescent="0.35">
      <c r="A34">
        <v>0</v>
      </c>
      <c r="B34" t="s">
        <v>3</v>
      </c>
      <c r="C34" t="s">
        <v>4</v>
      </c>
      <c r="D34">
        <v>0</v>
      </c>
      <c r="E34" t="s">
        <v>3</v>
      </c>
      <c r="F34" t="s">
        <v>5</v>
      </c>
      <c r="G34">
        <v>2929.9143130000002</v>
      </c>
      <c r="H34" t="s">
        <v>4</v>
      </c>
      <c r="I34">
        <v>990.16341899999998</v>
      </c>
      <c r="J34">
        <v>1939.750894</v>
      </c>
      <c r="K34" t="s">
        <v>6</v>
      </c>
      <c r="L34" t="s">
        <v>7</v>
      </c>
      <c r="M34" t="s">
        <v>8</v>
      </c>
      <c r="N34" t="s">
        <v>6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7</v>
      </c>
      <c r="U34">
        <v>1</v>
      </c>
      <c r="V34">
        <v>0</v>
      </c>
      <c r="W34">
        <v>0</v>
      </c>
      <c r="X34">
        <v>4</v>
      </c>
      <c r="Y34">
        <v>0</v>
      </c>
      <c r="Z34" t="s">
        <v>8</v>
      </c>
      <c r="AA34" t="s">
        <v>4</v>
      </c>
      <c r="AB34" t="s">
        <v>6</v>
      </c>
      <c r="AC34" t="s">
        <v>7</v>
      </c>
      <c r="AD34" t="s">
        <v>8</v>
      </c>
      <c r="AE34" t="s">
        <v>6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7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9</v>
      </c>
      <c r="AR34" s="1">
        <v>1.9907406400000001E-5</v>
      </c>
      <c r="AS34" s="1">
        <v>2.0651627799999999E-27</v>
      </c>
      <c r="AT34">
        <v>2</v>
      </c>
      <c r="AU34" t="s">
        <v>10</v>
      </c>
      <c r="AV34">
        <v>1</v>
      </c>
      <c r="AW34">
        <v>0</v>
      </c>
      <c r="AX34">
        <v>0</v>
      </c>
      <c r="AY34">
        <v>4</v>
      </c>
      <c r="AZ34">
        <v>0</v>
      </c>
      <c r="BA34" t="s">
        <v>8</v>
      </c>
      <c r="BB34" t="s">
        <v>4</v>
      </c>
      <c r="BC34" t="s">
        <v>10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9</v>
      </c>
      <c r="BJ34">
        <v>1.0530000000000001E-5</v>
      </c>
      <c r="BK34">
        <v>0</v>
      </c>
      <c r="BL34">
        <v>-1.6900000000000001E-5</v>
      </c>
      <c r="BM34" s="2">
        <f t="shared" si="0"/>
        <v>1.2436701036079423E-8</v>
      </c>
    </row>
    <row r="35" spans="1:65" x14ac:dyDescent="0.35">
      <c r="A35">
        <v>0</v>
      </c>
      <c r="B35" t="s">
        <v>11</v>
      </c>
      <c r="C35" t="s">
        <v>4</v>
      </c>
      <c r="D35">
        <v>0</v>
      </c>
      <c r="E35" t="s">
        <v>3</v>
      </c>
      <c r="F35" t="s">
        <v>5</v>
      </c>
      <c r="G35">
        <v>4942.7157049999996</v>
      </c>
      <c r="H35" t="s">
        <v>4</v>
      </c>
      <c r="I35">
        <v>990.16341899999998</v>
      </c>
      <c r="J35">
        <v>3952.5522860000001</v>
      </c>
      <c r="K35" t="s">
        <v>6</v>
      </c>
      <c r="L35" t="s">
        <v>7</v>
      </c>
      <c r="M35" t="s">
        <v>8</v>
      </c>
      <c r="N35" t="s">
        <v>6</v>
      </c>
      <c r="O35" t="s">
        <v>3</v>
      </c>
      <c r="P35" t="s">
        <v>3</v>
      </c>
      <c r="Q35" t="s">
        <v>3</v>
      </c>
      <c r="R35" t="s">
        <v>3</v>
      </c>
      <c r="S35" t="s">
        <v>11</v>
      </c>
      <c r="T35" t="s">
        <v>7</v>
      </c>
      <c r="U35">
        <v>1</v>
      </c>
      <c r="V35">
        <v>1</v>
      </c>
      <c r="W35">
        <v>0</v>
      </c>
      <c r="X35">
        <v>0</v>
      </c>
      <c r="Y35">
        <v>0</v>
      </c>
      <c r="Z35" t="s">
        <v>23</v>
      </c>
      <c r="AA35" t="s">
        <v>4</v>
      </c>
      <c r="AB35" t="s">
        <v>6</v>
      </c>
      <c r="AC35" t="s">
        <v>7</v>
      </c>
      <c r="AD35" t="s">
        <v>8</v>
      </c>
      <c r="AE35" t="s">
        <v>6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7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9</v>
      </c>
      <c r="AR35" s="1">
        <v>2.5714037300000001E-5</v>
      </c>
      <c r="AS35" s="1">
        <v>7.0215715099999994E-27</v>
      </c>
      <c r="AT35">
        <v>2</v>
      </c>
      <c r="AU35" t="s">
        <v>10</v>
      </c>
      <c r="AV35">
        <v>1</v>
      </c>
      <c r="AW35">
        <v>1</v>
      </c>
      <c r="AX35">
        <v>0</v>
      </c>
      <c r="AY35">
        <v>0</v>
      </c>
      <c r="AZ35">
        <v>0</v>
      </c>
      <c r="BA35" t="s">
        <v>23</v>
      </c>
      <c r="BB35" t="s">
        <v>4</v>
      </c>
      <c r="BC35" t="s">
        <v>10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9</v>
      </c>
      <c r="BJ35">
        <v>0</v>
      </c>
      <c r="BK35">
        <v>2.5709999999999999E-5</v>
      </c>
      <c r="BL35">
        <v>0</v>
      </c>
      <c r="BM35" s="2">
        <f t="shared" si="0"/>
        <v>4.2284892270488613E-8</v>
      </c>
    </row>
    <row r="36" spans="1:65" x14ac:dyDescent="0.35">
      <c r="A36">
        <v>0</v>
      </c>
      <c r="B36" t="s">
        <v>3</v>
      </c>
      <c r="C36" t="s">
        <v>4</v>
      </c>
      <c r="D36">
        <v>0</v>
      </c>
      <c r="E36" t="s">
        <v>3</v>
      </c>
      <c r="F36" t="s">
        <v>5</v>
      </c>
      <c r="G36">
        <v>4715.6215590000002</v>
      </c>
      <c r="H36" t="s">
        <v>4</v>
      </c>
      <c r="I36">
        <v>990.16341899999998</v>
      </c>
      <c r="J36">
        <v>3725.4581400000002</v>
      </c>
      <c r="K36" t="s">
        <v>6</v>
      </c>
      <c r="L36" t="s">
        <v>7</v>
      </c>
      <c r="M36" t="s">
        <v>8</v>
      </c>
      <c r="N36" t="s">
        <v>6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7</v>
      </c>
      <c r="U36">
        <v>2</v>
      </c>
      <c r="V36">
        <v>1</v>
      </c>
      <c r="W36">
        <v>0</v>
      </c>
      <c r="X36">
        <v>4</v>
      </c>
      <c r="Y36">
        <v>0</v>
      </c>
      <c r="Z36" t="s">
        <v>8</v>
      </c>
      <c r="AA36" t="s">
        <v>4</v>
      </c>
      <c r="AB36" t="s">
        <v>6</v>
      </c>
      <c r="AC36" t="s">
        <v>7</v>
      </c>
      <c r="AD36" t="s">
        <v>8</v>
      </c>
      <c r="AE36" t="s">
        <v>6</v>
      </c>
      <c r="AF36" t="s">
        <v>3</v>
      </c>
      <c r="AG36" t="s">
        <v>3</v>
      </c>
      <c r="AH36" t="s">
        <v>3</v>
      </c>
      <c r="AI36" t="s">
        <v>3</v>
      </c>
      <c r="AJ36" t="s">
        <v>3</v>
      </c>
      <c r="AK36" t="s">
        <v>7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9</v>
      </c>
      <c r="AR36" s="1">
        <v>2.1665903500000001E-4</v>
      </c>
      <c r="AS36" s="1">
        <v>4.6983941999999998E-25</v>
      </c>
      <c r="AT36">
        <v>2</v>
      </c>
      <c r="AU36" t="s">
        <v>10</v>
      </c>
      <c r="AV36">
        <v>2</v>
      </c>
      <c r="AW36">
        <v>1</v>
      </c>
      <c r="AX36">
        <v>0</v>
      </c>
      <c r="AY36">
        <v>4</v>
      </c>
      <c r="AZ36">
        <v>0</v>
      </c>
      <c r="BA36" t="s">
        <v>8</v>
      </c>
      <c r="BB36" t="s">
        <v>4</v>
      </c>
      <c r="BC36" t="s">
        <v>10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9</v>
      </c>
      <c r="BJ36">
        <v>-1.4716999999999999E-4</v>
      </c>
      <c r="BK36">
        <v>0</v>
      </c>
      <c r="BL36">
        <v>1.5899999999999999E-4</v>
      </c>
      <c r="BM36" s="2">
        <f t="shared" si="0"/>
        <v>2.8294391406303357E-6</v>
      </c>
    </row>
    <row r="37" spans="1:65" x14ac:dyDescent="0.35">
      <c r="A37">
        <v>0</v>
      </c>
      <c r="B37" t="s">
        <v>3</v>
      </c>
      <c r="C37" t="s">
        <v>4</v>
      </c>
      <c r="D37">
        <v>0</v>
      </c>
      <c r="E37" t="s">
        <v>3</v>
      </c>
      <c r="F37" t="s">
        <v>5</v>
      </c>
      <c r="G37">
        <v>4876.6532610000004</v>
      </c>
      <c r="H37" t="s">
        <v>4</v>
      </c>
      <c r="I37">
        <v>990.16341899999998</v>
      </c>
      <c r="J37">
        <v>3886.489842</v>
      </c>
      <c r="K37" t="s">
        <v>6</v>
      </c>
      <c r="L37" t="s">
        <v>7</v>
      </c>
      <c r="M37" t="s">
        <v>8</v>
      </c>
      <c r="N37" t="s">
        <v>6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7</v>
      </c>
      <c r="U37">
        <v>2</v>
      </c>
      <c r="V37">
        <v>0</v>
      </c>
      <c r="W37">
        <v>0</v>
      </c>
      <c r="X37">
        <v>1</v>
      </c>
      <c r="Y37">
        <v>0</v>
      </c>
      <c r="Z37" t="s">
        <v>22</v>
      </c>
      <c r="AA37" t="s">
        <v>4</v>
      </c>
      <c r="AB37" t="s">
        <v>6</v>
      </c>
      <c r="AC37" t="s">
        <v>7</v>
      </c>
      <c r="AD37" t="s">
        <v>8</v>
      </c>
      <c r="AE37" t="s">
        <v>6</v>
      </c>
      <c r="AF37" t="s">
        <v>3</v>
      </c>
      <c r="AG37" t="s">
        <v>3</v>
      </c>
      <c r="AH37" t="s">
        <v>3</v>
      </c>
      <c r="AI37" t="s">
        <v>3</v>
      </c>
      <c r="AJ37" t="s">
        <v>3</v>
      </c>
      <c r="AK37" t="s">
        <v>7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9</v>
      </c>
      <c r="AR37" s="1">
        <v>2.6433242200000001E-5</v>
      </c>
      <c r="AS37" s="1">
        <v>7.29582768E-27</v>
      </c>
      <c r="AT37">
        <v>2</v>
      </c>
      <c r="AU37" t="s">
        <v>10</v>
      </c>
      <c r="AV37">
        <v>2</v>
      </c>
      <c r="AW37">
        <v>0</v>
      </c>
      <c r="AX37">
        <v>0</v>
      </c>
      <c r="AY37">
        <v>1</v>
      </c>
      <c r="AZ37">
        <v>0</v>
      </c>
      <c r="BA37" t="s">
        <v>22</v>
      </c>
      <c r="BB37" t="s">
        <v>4</v>
      </c>
      <c r="BC37" t="s">
        <v>10</v>
      </c>
      <c r="BD37">
        <v>0</v>
      </c>
      <c r="BE37">
        <v>0</v>
      </c>
      <c r="BF37">
        <v>0</v>
      </c>
      <c r="BG37">
        <v>0</v>
      </c>
      <c r="BH37">
        <v>0</v>
      </c>
      <c r="BI37" t="s">
        <v>9</v>
      </c>
      <c r="BJ37">
        <v>1.417E-5</v>
      </c>
      <c r="BK37">
        <v>0</v>
      </c>
      <c r="BL37">
        <v>-2.2310000000000002E-5</v>
      </c>
      <c r="BM37" s="2">
        <f t="shared" si="0"/>
        <v>4.3936501541497345E-8</v>
      </c>
    </row>
    <row r="38" spans="1:65" x14ac:dyDescent="0.35">
      <c r="A38">
        <v>0</v>
      </c>
      <c r="B38" t="s">
        <v>3</v>
      </c>
      <c r="C38" t="s">
        <v>4</v>
      </c>
      <c r="D38">
        <v>0</v>
      </c>
      <c r="E38" t="s">
        <v>3</v>
      </c>
      <c r="F38" t="s">
        <v>5</v>
      </c>
      <c r="G38">
        <v>4360.4854519999999</v>
      </c>
      <c r="H38" t="s">
        <v>4</v>
      </c>
      <c r="I38">
        <v>990.16341899999998</v>
      </c>
      <c r="J38">
        <v>3370.3220329999999</v>
      </c>
      <c r="K38" t="s">
        <v>6</v>
      </c>
      <c r="L38" t="s">
        <v>7</v>
      </c>
      <c r="M38" t="s">
        <v>8</v>
      </c>
      <c r="N38" t="s">
        <v>6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7</v>
      </c>
      <c r="U38">
        <v>1</v>
      </c>
      <c r="V38">
        <v>1</v>
      </c>
      <c r="W38">
        <v>0</v>
      </c>
      <c r="X38">
        <v>1</v>
      </c>
      <c r="Y38">
        <v>0</v>
      </c>
      <c r="Z38" t="s">
        <v>24</v>
      </c>
      <c r="AA38" t="s">
        <v>4</v>
      </c>
      <c r="AB38" t="s">
        <v>6</v>
      </c>
      <c r="AC38" t="s">
        <v>7</v>
      </c>
      <c r="AD38" t="s">
        <v>8</v>
      </c>
      <c r="AE38" t="s">
        <v>6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7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9</v>
      </c>
      <c r="AR38" s="1">
        <v>1.1201668499999999E-4</v>
      </c>
      <c r="AS38" s="1">
        <v>1.13619522E-25</v>
      </c>
      <c r="AT38">
        <v>2</v>
      </c>
      <c r="AU38" t="s">
        <v>10</v>
      </c>
      <c r="AV38">
        <v>1</v>
      </c>
      <c r="AW38">
        <v>1</v>
      </c>
      <c r="AX38">
        <v>0</v>
      </c>
      <c r="AY38">
        <v>1</v>
      </c>
      <c r="AZ38">
        <v>0</v>
      </c>
      <c r="BA38" t="s">
        <v>24</v>
      </c>
      <c r="BB38" t="s">
        <v>4</v>
      </c>
      <c r="BC38" t="s">
        <v>10</v>
      </c>
      <c r="BD38">
        <v>0</v>
      </c>
      <c r="BE38">
        <v>0</v>
      </c>
      <c r="BF38">
        <v>0</v>
      </c>
      <c r="BG38">
        <v>0</v>
      </c>
      <c r="BH38">
        <v>0</v>
      </c>
      <c r="BI38" t="s">
        <v>9</v>
      </c>
      <c r="BJ38">
        <v>-1.1085E-4</v>
      </c>
      <c r="BK38">
        <v>0</v>
      </c>
      <c r="BL38">
        <v>1.611E-5</v>
      </c>
      <c r="BM38" s="2">
        <f t="shared" si="0"/>
        <v>6.8423275911269761E-7</v>
      </c>
    </row>
    <row r="39" spans="1:65" x14ac:dyDescent="0.35">
      <c r="A39">
        <v>0</v>
      </c>
      <c r="B39" t="s">
        <v>11</v>
      </c>
      <c r="C39" t="s">
        <v>4</v>
      </c>
      <c r="D39">
        <v>0</v>
      </c>
      <c r="E39" t="s">
        <v>3</v>
      </c>
      <c r="F39" t="s">
        <v>5</v>
      </c>
      <c r="G39">
        <v>3790.2588639999999</v>
      </c>
      <c r="H39" t="s">
        <v>4</v>
      </c>
      <c r="I39">
        <v>990.16341899999998</v>
      </c>
      <c r="J39">
        <v>2800.0954449999999</v>
      </c>
      <c r="K39" t="s">
        <v>6</v>
      </c>
      <c r="L39" t="s">
        <v>7</v>
      </c>
      <c r="M39" t="s">
        <v>8</v>
      </c>
      <c r="N39" t="s">
        <v>6</v>
      </c>
      <c r="O39" t="s">
        <v>3</v>
      </c>
      <c r="P39" t="s">
        <v>3</v>
      </c>
      <c r="Q39" t="s">
        <v>3</v>
      </c>
      <c r="R39" t="s">
        <v>3</v>
      </c>
      <c r="S39" t="s">
        <v>11</v>
      </c>
      <c r="T39" t="s">
        <v>7</v>
      </c>
      <c r="U39">
        <v>1</v>
      </c>
      <c r="V39">
        <v>0</v>
      </c>
      <c r="W39">
        <v>0</v>
      </c>
      <c r="X39">
        <v>4</v>
      </c>
      <c r="Y39">
        <v>1</v>
      </c>
      <c r="Z39" t="s">
        <v>18</v>
      </c>
      <c r="AA39" t="s">
        <v>4</v>
      </c>
      <c r="AB39" t="s">
        <v>6</v>
      </c>
      <c r="AC39" t="s">
        <v>7</v>
      </c>
      <c r="AD39" t="s">
        <v>8</v>
      </c>
      <c r="AE39" t="s">
        <v>6</v>
      </c>
      <c r="AF39" t="s">
        <v>3</v>
      </c>
      <c r="AG39" t="s">
        <v>3</v>
      </c>
      <c r="AH39" t="s">
        <v>3</v>
      </c>
      <c r="AI39" t="s">
        <v>3</v>
      </c>
      <c r="AJ39" t="s">
        <v>3</v>
      </c>
      <c r="AK39" t="s">
        <v>7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9</v>
      </c>
      <c r="AR39" s="1">
        <v>7.2804187499999999E-5</v>
      </c>
      <c r="AS39" s="1">
        <v>3.9875040099999998E-26</v>
      </c>
      <c r="AT39">
        <v>2</v>
      </c>
      <c r="AU39" t="s">
        <v>10</v>
      </c>
      <c r="AV39">
        <v>1</v>
      </c>
      <c r="AW39">
        <v>0</v>
      </c>
      <c r="AX39">
        <v>0</v>
      </c>
      <c r="AY39">
        <v>4</v>
      </c>
      <c r="AZ39">
        <v>1</v>
      </c>
      <c r="BA39" t="s">
        <v>18</v>
      </c>
      <c r="BB39" t="s">
        <v>4</v>
      </c>
      <c r="BC39" t="s">
        <v>10</v>
      </c>
      <c r="BD39">
        <v>0</v>
      </c>
      <c r="BE39">
        <v>0</v>
      </c>
      <c r="BF39">
        <v>0</v>
      </c>
      <c r="BG39">
        <v>0</v>
      </c>
      <c r="BH39">
        <v>0</v>
      </c>
      <c r="BI39" t="s">
        <v>9</v>
      </c>
      <c r="BJ39">
        <v>0</v>
      </c>
      <c r="BK39">
        <v>-7.2799999999999994E-5</v>
      </c>
      <c r="BL39">
        <v>0</v>
      </c>
      <c r="BM39" s="2">
        <f t="shared" si="0"/>
        <v>2.4013310588784607E-7</v>
      </c>
    </row>
    <row r="40" spans="1:65" x14ac:dyDescent="0.35">
      <c r="A40">
        <v>0</v>
      </c>
      <c r="B40" t="s">
        <v>11</v>
      </c>
      <c r="C40" t="s">
        <v>4</v>
      </c>
      <c r="D40">
        <v>0</v>
      </c>
      <c r="E40" t="s">
        <v>3</v>
      </c>
      <c r="F40" t="s">
        <v>5</v>
      </c>
      <c r="G40">
        <v>3503.1980039999999</v>
      </c>
      <c r="H40" t="s">
        <v>4</v>
      </c>
      <c r="I40">
        <v>990.16341899999998</v>
      </c>
      <c r="J40">
        <v>2513.0345849999999</v>
      </c>
      <c r="K40" t="s">
        <v>6</v>
      </c>
      <c r="L40" t="s">
        <v>7</v>
      </c>
      <c r="M40" t="s">
        <v>8</v>
      </c>
      <c r="N40" t="s">
        <v>6</v>
      </c>
      <c r="O40" t="s">
        <v>3</v>
      </c>
      <c r="P40" t="s">
        <v>3</v>
      </c>
      <c r="Q40" t="s">
        <v>3</v>
      </c>
      <c r="R40" t="s">
        <v>3</v>
      </c>
      <c r="S40" t="s">
        <v>11</v>
      </c>
      <c r="T40" t="s">
        <v>7</v>
      </c>
      <c r="U40">
        <v>0</v>
      </c>
      <c r="V40">
        <v>1</v>
      </c>
      <c r="W40">
        <v>0</v>
      </c>
      <c r="X40">
        <v>0</v>
      </c>
      <c r="Y40">
        <v>0</v>
      </c>
      <c r="Z40" t="s">
        <v>19</v>
      </c>
      <c r="AA40" t="s">
        <v>4</v>
      </c>
      <c r="AB40" t="s">
        <v>6</v>
      </c>
      <c r="AC40" t="s">
        <v>7</v>
      </c>
      <c r="AD40" t="s">
        <v>8</v>
      </c>
      <c r="AE40" t="s">
        <v>6</v>
      </c>
      <c r="AF40" t="s">
        <v>3</v>
      </c>
      <c r="AG40" t="s">
        <v>3</v>
      </c>
      <c r="AH40" t="s">
        <v>3</v>
      </c>
      <c r="AI40" t="s">
        <v>3</v>
      </c>
      <c r="AJ40" t="s">
        <v>3</v>
      </c>
      <c r="AK40" t="s">
        <v>7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9</v>
      </c>
      <c r="AR40" s="1">
        <v>3.9441685100000003E-5</v>
      </c>
      <c r="AS40" s="1">
        <v>1.0503238200000001E-26</v>
      </c>
      <c r="AT40">
        <v>2</v>
      </c>
      <c r="AU40" t="s">
        <v>10</v>
      </c>
      <c r="AV40">
        <v>0</v>
      </c>
      <c r="AW40">
        <v>1</v>
      </c>
      <c r="AX40">
        <v>0</v>
      </c>
      <c r="AY40">
        <v>0</v>
      </c>
      <c r="AZ40">
        <v>0</v>
      </c>
      <c r="BA40" t="s">
        <v>19</v>
      </c>
      <c r="BB40" t="s">
        <v>4</v>
      </c>
      <c r="BC40" t="s">
        <v>10</v>
      </c>
      <c r="BD40">
        <v>0</v>
      </c>
      <c r="BE40">
        <v>0</v>
      </c>
      <c r="BF40">
        <v>0</v>
      </c>
      <c r="BG40">
        <v>0</v>
      </c>
      <c r="BH40">
        <v>0</v>
      </c>
      <c r="BI40" t="s">
        <v>9</v>
      </c>
      <c r="BJ40">
        <v>0</v>
      </c>
      <c r="BK40">
        <v>-3.9440000000000002E-5</v>
      </c>
      <c r="BL40">
        <v>0</v>
      </c>
      <c r="BM40" s="2">
        <f t="shared" si="0"/>
        <v>6.3251979296338546E-8</v>
      </c>
    </row>
    <row r="41" spans="1:65" x14ac:dyDescent="0.35">
      <c r="A41">
        <v>0</v>
      </c>
      <c r="B41" t="s">
        <v>3</v>
      </c>
      <c r="C41" t="s">
        <v>4</v>
      </c>
      <c r="D41">
        <v>0</v>
      </c>
      <c r="E41" t="s">
        <v>3</v>
      </c>
      <c r="F41" t="s">
        <v>5</v>
      </c>
      <c r="G41">
        <v>1186.5084059999999</v>
      </c>
      <c r="H41" t="s">
        <v>4</v>
      </c>
      <c r="I41">
        <v>990.16341899999998</v>
      </c>
      <c r="J41">
        <v>196.34498600000001</v>
      </c>
      <c r="K41" t="s">
        <v>6</v>
      </c>
      <c r="L41" t="s">
        <v>7</v>
      </c>
      <c r="M41" t="s">
        <v>8</v>
      </c>
      <c r="N41" t="s">
        <v>6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7</v>
      </c>
      <c r="U41">
        <v>0</v>
      </c>
      <c r="V41">
        <v>0</v>
      </c>
      <c r="W41">
        <v>0</v>
      </c>
      <c r="X41">
        <v>3</v>
      </c>
      <c r="Y41">
        <v>0</v>
      </c>
      <c r="Z41" t="s">
        <v>8</v>
      </c>
      <c r="AA41" t="s">
        <v>4</v>
      </c>
      <c r="AB41" t="s">
        <v>6</v>
      </c>
      <c r="AC41" t="s">
        <v>7</v>
      </c>
      <c r="AD41" t="s">
        <v>8</v>
      </c>
      <c r="AE41" t="s">
        <v>6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7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9</v>
      </c>
      <c r="AR41" s="1">
        <v>8.3613186299999999E-7</v>
      </c>
      <c r="AS41" s="1">
        <v>2.2587711900000002E-31</v>
      </c>
      <c r="AT41">
        <v>3</v>
      </c>
      <c r="AU41" t="s">
        <v>10</v>
      </c>
      <c r="AV41">
        <v>0</v>
      </c>
      <c r="AW41">
        <v>0</v>
      </c>
      <c r="AX41">
        <v>0</v>
      </c>
      <c r="AY41">
        <v>3</v>
      </c>
      <c r="AZ41">
        <v>0</v>
      </c>
      <c r="BA41" t="s">
        <v>8</v>
      </c>
      <c r="BB41" t="s">
        <v>4</v>
      </c>
      <c r="BC41" t="s">
        <v>10</v>
      </c>
      <c r="BD41">
        <v>0</v>
      </c>
      <c r="BE41">
        <v>0</v>
      </c>
      <c r="BF41">
        <v>0</v>
      </c>
      <c r="BG41">
        <v>0</v>
      </c>
      <c r="BH41">
        <v>0</v>
      </c>
      <c r="BI41" t="s">
        <v>9</v>
      </c>
      <c r="BJ41">
        <v>-8.1999999999999998E-7</v>
      </c>
      <c r="BK41">
        <v>0</v>
      </c>
      <c r="BL41">
        <v>-1.6E-7</v>
      </c>
      <c r="BM41" s="2">
        <f t="shared" si="0"/>
        <v>1.3602638141163552E-12</v>
      </c>
    </row>
    <row r="42" spans="1:65" x14ac:dyDescent="0.35">
      <c r="A42">
        <v>0</v>
      </c>
      <c r="B42" t="s">
        <v>3</v>
      </c>
      <c r="C42" t="s">
        <v>4</v>
      </c>
      <c r="D42">
        <v>0</v>
      </c>
      <c r="E42" t="s">
        <v>3</v>
      </c>
      <c r="F42" t="s">
        <v>5</v>
      </c>
      <c r="G42">
        <v>3630.97181</v>
      </c>
      <c r="H42" t="s">
        <v>4</v>
      </c>
      <c r="I42">
        <v>990.16341899999998</v>
      </c>
      <c r="J42">
        <v>2640.808391</v>
      </c>
      <c r="K42" t="s">
        <v>6</v>
      </c>
      <c r="L42" t="s">
        <v>7</v>
      </c>
      <c r="M42" t="s">
        <v>8</v>
      </c>
      <c r="N42" t="s">
        <v>6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7</v>
      </c>
      <c r="U42">
        <v>0</v>
      </c>
      <c r="V42">
        <v>0</v>
      </c>
      <c r="W42">
        <v>0</v>
      </c>
      <c r="X42">
        <v>2</v>
      </c>
      <c r="Y42">
        <v>0</v>
      </c>
      <c r="Z42" t="s">
        <v>22</v>
      </c>
      <c r="AA42" t="s">
        <v>4</v>
      </c>
      <c r="AB42" t="s">
        <v>6</v>
      </c>
      <c r="AC42" t="s">
        <v>7</v>
      </c>
      <c r="AD42" t="s">
        <v>8</v>
      </c>
      <c r="AE42" t="s">
        <v>6</v>
      </c>
      <c r="AF42" t="s">
        <v>3</v>
      </c>
      <c r="AG42" t="s">
        <v>3</v>
      </c>
      <c r="AH42" t="s">
        <v>3</v>
      </c>
      <c r="AI42" t="s">
        <v>3</v>
      </c>
      <c r="AJ42" t="s">
        <v>3</v>
      </c>
      <c r="AK42" t="s">
        <v>7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9</v>
      </c>
      <c r="AR42" s="1">
        <v>1.9714976500000001E-4</v>
      </c>
      <c r="AS42" s="1">
        <v>2.7576828700000002E-25</v>
      </c>
      <c r="AT42">
        <v>3</v>
      </c>
      <c r="AU42" t="s">
        <v>10</v>
      </c>
      <c r="AV42">
        <v>0</v>
      </c>
      <c r="AW42">
        <v>0</v>
      </c>
      <c r="AX42">
        <v>0</v>
      </c>
      <c r="AY42">
        <v>2</v>
      </c>
      <c r="AZ42">
        <v>0</v>
      </c>
      <c r="BA42" t="s">
        <v>22</v>
      </c>
      <c r="BB42" t="s">
        <v>4</v>
      </c>
      <c r="BC42" t="s">
        <v>10</v>
      </c>
      <c r="BD42">
        <v>0</v>
      </c>
      <c r="BE42">
        <v>0</v>
      </c>
      <c r="BF42">
        <v>0</v>
      </c>
      <c r="BG42">
        <v>0</v>
      </c>
      <c r="BH42">
        <v>0</v>
      </c>
      <c r="BI42" t="s">
        <v>9</v>
      </c>
      <c r="BJ42">
        <v>1.3992E-4</v>
      </c>
      <c r="BK42">
        <v>0</v>
      </c>
      <c r="BL42">
        <v>-1.3888999999999999E-4</v>
      </c>
      <c r="BM42" s="2">
        <f t="shared" si="0"/>
        <v>1.6607154524888098E-6</v>
      </c>
    </row>
    <row r="43" spans="1:65" x14ac:dyDescent="0.35">
      <c r="A43">
        <v>0</v>
      </c>
      <c r="B43" t="s">
        <v>3</v>
      </c>
      <c r="C43" t="s">
        <v>4</v>
      </c>
      <c r="D43">
        <v>0</v>
      </c>
      <c r="E43" t="s">
        <v>3</v>
      </c>
      <c r="F43" t="s">
        <v>5</v>
      </c>
      <c r="G43">
        <v>3897.16014</v>
      </c>
      <c r="H43" t="s">
        <v>4</v>
      </c>
      <c r="I43">
        <v>990.16341899999998</v>
      </c>
      <c r="J43">
        <v>2906.996721</v>
      </c>
      <c r="K43" t="s">
        <v>6</v>
      </c>
      <c r="L43" t="s">
        <v>7</v>
      </c>
      <c r="M43" t="s">
        <v>8</v>
      </c>
      <c r="N43" t="s">
        <v>6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7</v>
      </c>
      <c r="U43">
        <v>3</v>
      </c>
      <c r="V43">
        <v>0</v>
      </c>
      <c r="W43">
        <v>0</v>
      </c>
      <c r="X43">
        <v>1</v>
      </c>
      <c r="Y43">
        <v>0</v>
      </c>
      <c r="Z43" t="s">
        <v>9</v>
      </c>
      <c r="AA43" t="s">
        <v>4</v>
      </c>
      <c r="AB43" t="s">
        <v>6</v>
      </c>
      <c r="AC43" t="s">
        <v>7</v>
      </c>
      <c r="AD43" t="s">
        <v>8</v>
      </c>
      <c r="AE43" t="s">
        <v>6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7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9</v>
      </c>
      <c r="AR43" s="1">
        <v>4.7186620899999999E-5</v>
      </c>
      <c r="AS43" s="1">
        <v>1.7389941099999999E-26</v>
      </c>
      <c r="AT43">
        <v>2</v>
      </c>
      <c r="AU43" t="s">
        <v>10</v>
      </c>
      <c r="AV43">
        <v>3</v>
      </c>
      <c r="AW43">
        <v>0</v>
      </c>
      <c r="AX43">
        <v>0</v>
      </c>
      <c r="AY43">
        <v>1</v>
      </c>
      <c r="AZ43">
        <v>0</v>
      </c>
      <c r="BA43" t="s">
        <v>9</v>
      </c>
      <c r="BB43" t="s">
        <v>4</v>
      </c>
      <c r="BC43" t="s">
        <v>10</v>
      </c>
      <c r="BD43">
        <v>0</v>
      </c>
      <c r="BE43">
        <v>0</v>
      </c>
      <c r="BF43">
        <v>0</v>
      </c>
      <c r="BG43">
        <v>0</v>
      </c>
      <c r="BH43">
        <v>0</v>
      </c>
      <c r="BI43" t="s">
        <v>9</v>
      </c>
      <c r="BJ43">
        <v>4.6730000000000002E-5</v>
      </c>
      <c r="BK43">
        <v>0</v>
      </c>
      <c r="BL43">
        <v>6.55E-6</v>
      </c>
      <c r="BM43" s="2">
        <f t="shared" si="0"/>
        <v>1.0472467380790688E-7</v>
      </c>
    </row>
    <row r="44" spans="1:65" x14ac:dyDescent="0.35">
      <c r="A44">
        <v>0</v>
      </c>
      <c r="B44" t="s">
        <v>3</v>
      </c>
      <c r="C44" t="s">
        <v>4</v>
      </c>
      <c r="D44">
        <v>0</v>
      </c>
      <c r="E44" t="s">
        <v>3</v>
      </c>
      <c r="F44" t="s">
        <v>5</v>
      </c>
      <c r="G44">
        <v>4825.2140099999997</v>
      </c>
      <c r="H44" t="s">
        <v>4</v>
      </c>
      <c r="I44">
        <v>990.16341899999998</v>
      </c>
      <c r="J44">
        <v>3835.0505910000002</v>
      </c>
      <c r="K44" t="s">
        <v>6</v>
      </c>
      <c r="L44" t="s">
        <v>7</v>
      </c>
      <c r="M44" t="s">
        <v>8</v>
      </c>
      <c r="N44" t="s">
        <v>6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7</v>
      </c>
      <c r="U44">
        <v>1</v>
      </c>
      <c r="V44">
        <v>0</v>
      </c>
      <c r="W44">
        <v>0</v>
      </c>
      <c r="X44">
        <v>1</v>
      </c>
      <c r="Y44">
        <v>3</v>
      </c>
      <c r="Z44" t="s">
        <v>9</v>
      </c>
      <c r="AA44" t="s">
        <v>4</v>
      </c>
      <c r="AB44" t="s">
        <v>6</v>
      </c>
      <c r="AC44" t="s">
        <v>7</v>
      </c>
      <c r="AD44" t="s">
        <v>8</v>
      </c>
      <c r="AE44" t="s">
        <v>6</v>
      </c>
      <c r="AF44" t="s">
        <v>3</v>
      </c>
      <c r="AG44" t="s">
        <v>3</v>
      </c>
      <c r="AH44" t="s">
        <v>3</v>
      </c>
      <c r="AI44" t="s">
        <v>3</v>
      </c>
      <c r="AJ44" t="s">
        <v>3</v>
      </c>
      <c r="AK44" t="s">
        <v>7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9</v>
      </c>
      <c r="AR44" s="1">
        <v>2.5215404099999998E-5</v>
      </c>
      <c r="AS44" s="1">
        <v>6.5511738199999996E-27</v>
      </c>
      <c r="AT44">
        <v>2</v>
      </c>
      <c r="AU44" t="s">
        <v>10</v>
      </c>
      <c r="AV44">
        <v>1</v>
      </c>
      <c r="AW44">
        <v>0</v>
      </c>
      <c r="AX44">
        <v>0</v>
      </c>
      <c r="AY44">
        <v>1</v>
      </c>
      <c r="AZ44">
        <v>3</v>
      </c>
      <c r="BA44" t="s">
        <v>9</v>
      </c>
      <c r="BB44" t="s">
        <v>4</v>
      </c>
      <c r="BC44" t="s">
        <v>10</v>
      </c>
      <c r="BD44">
        <v>0</v>
      </c>
      <c r="BE44">
        <v>0</v>
      </c>
      <c r="BF44">
        <v>0</v>
      </c>
      <c r="BG44">
        <v>0</v>
      </c>
      <c r="BH44">
        <v>0</v>
      </c>
      <c r="BI44" t="s">
        <v>9</v>
      </c>
      <c r="BJ44">
        <v>-6.3300000000000004E-6</v>
      </c>
      <c r="BK44">
        <v>0</v>
      </c>
      <c r="BL44">
        <v>2.4409999999999998E-5</v>
      </c>
      <c r="BM44" s="2">
        <f t="shared" si="0"/>
        <v>3.9452091149313857E-8</v>
      </c>
    </row>
    <row r="45" spans="1:65" x14ac:dyDescent="0.35">
      <c r="A45">
        <v>0</v>
      </c>
      <c r="B45" t="s">
        <v>11</v>
      </c>
      <c r="C45" t="s">
        <v>4</v>
      </c>
      <c r="D45">
        <v>0</v>
      </c>
      <c r="E45" t="s">
        <v>3</v>
      </c>
      <c r="F45" t="s">
        <v>5</v>
      </c>
      <c r="G45">
        <v>4098.8330939999996</v>
      </c>
      <c r="H45" t="s">
        <v>4</v>
      </c>
      <c r="I45">
        <v>990.16341899999998</v>
      </c>
      <c r="J45">
        <v>3108.6696750000001</v>
      </c>
      <c r="K45" t="s">
        <v>6</v>
      </c>
      <c r="L45" t="s">
        <v>7</v>
      </c>
      <c r="M45" t="s">
        <v>8</v>
      </c>
      <c r="N45" t="s">
        <v>6</v>
      </c>
      <c r="O45" t="s">
        <v>3</v>
      </c>
      <c r="P45" t="s">
        <v>3</v>
      </c>
      <c r="Q45" t="s">
        <v>3</v>
      </c>
      <c r="R45" t="s">
        <v>3</v>
      </c>
      <c r="S45" t="s">
        <v>11</v>
      </c>
      <c r="T45" t="s">
        <v>7</v>
      </c>
      <c r="U45">
        <v>0</v>
      </c>
      <c r="V45">
        <v>0</v>
      </c>
      <c r="W45">
        <v>0</v>
      </c>
      <c r="X45">
        <v>4</v>
      </c>
      <c r="Y45">
        <v>1</v>
      </c>
      <c r="Z45" t="s">
        <v>14</v>
      </c>
      <c r="AA45" t="s">
        <v>4</v>
      </c>
      <c r="AB45" t="s">
        <v>6</v>
      </c>
      <c r="AC45" t="s">
        <v>7</v>
      </c>
      <c r="AD45" t="s">
        <v>8</v>
      </c>
      <c r="AE45" t="s">
        <v>6</v>
      </c>
      <c r="AF45" t="s">
        <v>3</v>
      </c>
      <c r="AG45" t="s">
        <v>3</v>
      </c>
      <c r="AH45" t="s">
        <v>3</v>
      </c>
      <c r="AI45" t="s">
        <v>3</v>
      </c>
      <c r="AJ45" t="s">
        <v>3</v>
      </c>
      <c r="AK45" t="s">
        <v>7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9</v>
      </c>
      <c r="AR45" s="1">
        <v>5.9026314200000001E-6</v>
      </c>
      <c r="AS45" s="1">
        <v>2.9099259599999998E-28</v>
      </c>
      <c r="AT45">
        <v>3</v>
      </c>
      <c r="AU45" t="s">
        <v>10</v>
      </c>
      <c r="AV45">
        <v>0</v>
      </c>
      <c r="AW45">
        <v>0</v>
      </c>
      <c r="AX45">
        <v>0</v>
      </c>
      <c r="AY45">
        <v>4</v>
      </c>
      <c r="AZ45">
        <v>1</v>
      </c>
      <c r="BA45" t="s">
        <v>14</v>
      </c>
      <c r="BB45" t="s">
        <v>4</v>
      </c>
      <c r="BC45" t="s">
        <v>10</v>
      </c>
      <c r="BD45">
        <v>0</v>
      </c>
      <c r="BE45">
        <v>0</v>
      </c>
      <c r="BF45">
        <v>0</v>
      </c>
      <c r="BG45">
        <v>0</v>
      </c>
      <c r="BH45">
        <v>0</v>
      </c>
      <c r="BI45" t="s">
        <v>9</v>
      </c>
      <c r="BJ45">
        <v>0</v>
      </c>
      <c r="BK45">
        <v>-5.9000000000000003E-6</v>
      </c>
      <c r="BL45">
        <v>0</v>
      </c>
      <c r="BM45" s="2">
        <f t="shared" si="0"/>
        <v>1.7523983848695166E-9</v>
      </c>
    </row>
    <row r="46" spans="1:65" x14ac:dyDescent="0.35">
      <c r="A46">
        <v>0</v>
      </c>
      <c r="B46" t="s">
        <v>11</v>
      </c>
      <c r="C46" t="s">
        <v>4</v>
      </c>
      <c r="D46">
        <v>0</v>
      </c>
      <c r="E46" t="s">
        <v>3</v>
      </c>
      <c r="F46" t="s">
        <v>5</v>
      </c>
      <c r="G46">
        <v>2618.1769300000001</v>
      </c>
      <c r="H46" t="s">
        <v>4</v>
      </c>
      <c r="I46">
        <v>990.16341899999998</v>
      </c>
      <c r="J46">
        <v>1628.0135110000001</v>
      </c>
      <c r="K46" t="s">
        <v>6</v>
      </c>
      <c r="L46" t="s">
        <v>7</v>
      </c>
      <c r="M46" t="s">
        <v>8</v>
      </c>
      <c r="N46" t="s">
        <v>6</v>
      </c>
      <c r="O46" t="s">
        <v>3</v>
      </c>
      <c r="P46" t="s">
        <v>3</v>
      </c>
      <c r="Q46" t="s">
        <v>3</v>
      </c>
      <c r="R46" t="s">
        <v>3</v>
      </c>
      <c r="S46" t="s">
        <v>11</v>
      </c>
      <c r="T46" t="s">
        <v>7</v>
      </c>
      <c r="U46">
        <v>2</v>
      </c>
      <c r="V46">
        <v>0</v>
      </c>
      <c r="W46">
        <v>0</v>
      </c>
      <c r="X46">
        <v>1</v>
      </c>
      <c r="Y46">
        <v>0</v>
      </c>
      <c r="Z46" t="s">
        <v>18</v>
      </c>
      <c r="AA46" t="s">
        <v>4</v>
      </c>
      <c r="AB46" t="s">
        <v>6</v>
      </c>
      <c r="AC46" t="s">
        <v>7</v>
      </c>
      <c r="AD46" t="s">
        <v>8</v>
      </c>
      <c r="AE46" t="s">
        <v>6</v>
      </c>
      <c r="AF46" t="s">
        <v>3</v>
      </c>
      <c r="AG46" t="s">
        <v>3</v>
      </c>
      <c r="AH46" t="s">
        <v>3</v>
      </c>
      <c r="AI46" t="s">
        <v>3</v>
      </c>
      <c r="AJ46" t="s">
        <v>3</v>
      </c>
      <c r="AK46" t="s">
        <v>7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9</v>
      </c>
      <c r="AR46" s="1">
        <v>9.6415686999999997E-6</v>
      </c>
      <c r="AS46" s="1">
        <v>4.0644518499999996E-28</v>
      </c>
      <c r="AT46">
        <v>2</v>
      </c>
      <c r="AU46" t="s">
        <v>10</v>
      </c>
      <c r="AV46">
        <v>2</v>
      </c>
      <c r="AW46">
        <v>0</v>
      </c>
      <c r="AX46">
        <v>0</v>
      </c>
      <c r="AY46">
        <v>1</v>
      </c>
      <c r="AZ46">
        <v>0</v>
      </c>
      <c r="BA46" t="s">
        <v>18</v>
      </c>
      <c r="BB46" t="s">
        <v>4</v>
      </c>
      <c r="BC46" t="s">
        <v>10</v>
      </c>
      <c r="BD46">
        <v>0</v>
      </c>
      <c r="BE46">
        <v>0</v>
      </c>
      <c r="BF46">
        <v>0</v>
      </c>
      <c r="BG46">
        <v>0</v>
      </c>
      <c r="BH46">
        <v>0</v>
      </c>
      <c r="BI46" t="s">
        <v>9</v>
      </c>
      <c r="BJ46">
        <v>0</v>
      </c>
      <c r="BK46">
        <v>9.6399999999999992E-6</v>
      </c>
      <c r="BL46">
        <v>0</v>
      </c>
      <c r="BM46" s="2">
        <f t="shared" si="0"/>
        <v>2.4476701315520477E-9</v>
      </c>
    </row>
    <row r="47" spans="1:65" x14ac:dyDescent="0.35">
      <c r="A47">
        <v>0</v>
      </c>
      <c r="B47" t="s">
        <v>11</v>
      </c>
      <c r="C47" t="s">
        <v>4</v>
      </c>
      <c r="D47">
        <v>0</v>
      </c>
      <c r="E47" t="s">
        <v>3</v>
      </c>
      <c r="F47" t="s">
        <v>5</v>
      </c>
      <c r="G47">
        <v>4582.7941039999996</v>
      </c>
      <c r="H47" t="s">
        <v>4</v>
      </c>
      <c r="I47">
        <v>990.16341899999998</v>
      </c>
      <c r="J47">
        <v>3592.6306850000001</v>
      </c>
      <c r="K47" t="s">
        <v>6</v>
      </c>
      <c r="L47" t="s">
        <v>7</v>
      </c>
      <c r="M47" t="s">
        <v>8</v>
      </c>
      <c r="N47" t="s">
        <v>6</v>
      </c>
      <c r="O47" t="s">
        <v>3</v>
      </c>
      <c r="P47" t="s">
        <v>3</v>
      </c>
      <c r="Q47" t="s">
        <v>3</v>
      </c>
      <c r="R47" t="s">
        <v>3</v>
      </c>
      <c r="S47" t="s">
        <v>11</v>
      </c>
      <c r="T47" t="s">
        <v>7</v>
      </c>
      <c r="U47">
        <v>0</v>
      </c>
      <c r="V47">
        <v>0</v>
      </c>
      <c r="W47">
        <v>0</v>
      </c>
      <c r="X47">
        <v>0</v>
      </c>
      <c r="Y47">
        <v>3</v>
      </c>
      <c r="Z47" t="s">
        <v>13</v>
      </c>
      <c r="AA47" t="s">
        <v>4</v>
      </c>
      <c r="AB47" t="s">
        <v>6</v>
      </c>
      <c r="AC47" t="s">
        <v>7</v>
      </c>
      <c r="AD47" t="s">
        <v>8</v>
      </c>
      <c r="AE47" t="s">
        <v>6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7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9</v>
      </c>
      <c r="AR47" s="1">
        <v>1.5504464800000001E-5</v>
      </c>
      <c r="AS47" s="1">
        <v>2.32029009E-27</v>
      </c>
      <c r="AT47">
        <v>3</v>
      </c>
      <c r="AU47" t="s">
        <v>10</v>
      </c>
      <c r="AV47">
        <v>0</v>
      </c>
      <c r="AW47">
        <v>0</v>
      </c>
      <c r="AX47">
        <v>0</v>
      </c>
      <c r="AY47">
        <v>0</v>
      </c>
      <c r="AZ47">
        <v>3</v>
      </c>
      <c r="BA47" t="s">
        <v>13</v>
      </c>
      <c r="BB47" t="s">
        <v>4</v>
      </c>
      <c r="BC47" t="s">
        <v>10</v>
      </c>
      <c r="BD47">
        <v>0</v>
      </c>
      <c r="BE47">
        <v>0</v>
      </c>
      <c r="BF47">
        <v>0</v>
      </c>
      <c r="BG47">
        <v>0</v>
      </c>
      <c r="BH47">
        <v>0</v>
      </c>
      <c r="BI47" t="s">
        <v>9</v>
      </c>
      <c r="BJ47">
        <v>0</v>
      </c>
      <c r="BK47">
        <v>1.5500000000000001E-5</v>
      </c>
      <c r="BL47">
        <v>0</v>
      </c>
      <c r="BM47" s="2">
        <f t="shared" si="0"/>
        <v>1.3973113618824672E-8</v>
      </c>
    </row>
    <row r="48" spans="1:65" x14ac:dyDescent="0.35">
      <c r="A48">
        <v>0</v>
      </c>
      <c r="B48" t="s">
        <v>3</v>
      </c>
      <c r="C48" t="s">
        <v>4</v>
      </c>
      <c r="D48">
        <v>0</v>
      </c>
      <c r="E48" t="s">
        <v>3</v>
      </c>
      <c r="F48" t="s">
        <v>5</v>
      </c>
      <c r="G48">
        <v>3983.6636560000002</v>
      </c>
      <c r="H48" t="s">
        <v>4</v>
      </c>
      <c r="I48">
        <v>990.16341899999998</v>
      </c>
      <c r="J48">
        <v>2993.5002370000002</v>
      </c>
      <c r="K48" t="s">
        <v>6</v>
      </c>
      <c r="L48" t="s">
        <v>7</v>
      </c>
      <c r="M48" t="s">
        <v>8</v>
      </c>
      <c r="N48" t="s">
        <v>6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7</v>
      </c>
      <c r="U48">
        <v>1</v>
      </c>
      <c r="V48">
        <v>0</v>
      </c>
      <c r="W48">
        <v>0</v>
      </c>
      <c r="X48">
        <v>1</v>
      </c>
      <c r="Y48">
        <v>2</v>
      </c>
      <c r="Z48" t="s">
        <v>9</v>
      </c>
      <c r="AA48" t="s">
        <v>4</v>
      </c>
      <c r="AB48" t="s">
        <v>6</v>
      </c>
      <c r="AC48" t="s">
        <v>7</v>
      </c>
      <c r="AD48" t="s">
        <v>8</v>
      </c>
      <c r="AE48" t="s">
        <v>6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7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9</v>
      </c>
      <c r="AR48" s="1">
        <v>2.19616301E-4</v>
      </c>
      <c r="AS48" s="1">
        <v>3.87904104E-25</v>
      </c>
      <c r="AT48">
        <v>2</v>
      </c>
      <c r="AU48" t="s">
        <v>10</v>
      </c>
      <c r="AV48">
        <v>1</v>
      </c>
      <c r="AW48">
        <v>0</v>
      </c>
      <c r="AX48">
        <v>0</v>
      </c>
      <c r="AY48">
        <v>1</v>
      </c>
      <c r="AZ48">
        <v>2</v>
      </c>
      <c r="BA48" t="s">
        <v>9</v>
      </c>
      <c r="BB48" t="s">
        <v>4</v>
      </c>
      <c r="BC48" t="s">
        <v>10</v>
      </c>
      <c r="BD48">
        <v>0</v>
      </c>
      <c r="BE48">
        <v>0</v>
      </c>
      <c r="BF48">
        <v>0</v>
      </c>
      <c r="BG48">
        <v>0</v>
      </c>
      <c r="BH48">
        <v>0</v>
      </c>
      <c r="BI48" t="s">
        <v>9</v>
      </c>
      <c r="BJ48">
        <v>1.9557999999999999E-4</v>
      </c>
      <c r="BK48">
        <v>0</v>
      </c>
      <c r="BL48">
        <v>9.9889999999999994E-5</v>
      </c>
      <c r="BM48" s="2">
        <f t="shared" si="0"/>
        <v>2.3360131311858433E-6</v>
      </c>
    </row>
    <row r="49" spans="1:65" x14ac:dyDescent="0.35">
      <c r="A49">
        <v>0</v>
      </c>
      <c r="B49" t="s">
        <v>11</v>
      </c>
      <c r="C49" t="s">
        <v>4</v>
      </c>
      <c r="D49">
        <v>0</v>
      </c>
      <c r="E49" t="s">
        <v>3</v>
      </c>
      <c r="F49" t="s">
        <v>5</v>
      </c>
      <c r="G49">
        <v>3122.939042</v>
      </c>
      <c r="H49" t="s">
        <v>4</v>
      </c>
      <c r="I49">
        <v>990.16341899999998</v>
      </c>
      <c r="J49">
        <v>2132.775623</v>
      </c>
      <c r="K49" t="s">
        <v>6</v>
      </c>
      <c r="L49" t="s">
        <v>7</v>
      </c>
      <c r="M49" t="s">
        <v>8</v>
      </c>
      <c r="N49" t="s">
        <v>6</v>
      </c>
      <c r="O49" t="s">
        <v>3</v>
      </c>
      <c r="P49" t="s">
        <v>3</v>
      </c>
      <c r="Q49" t="s">
        <v>3</v>
      </c>
      <c r="R49" t="s">
        <v>3</v>
      </c>
      <c r="S49" t="s">
        <v>11</v>
      </c>
      <c r="T49" t="s">
        <v>7</v>
      </c>
      <c r="U49">
        <v>0</v>
      </c>
      <c r="V49">
        <v>0</v>
      </c>
      <c r="W49">
        <v>0</v>
      </c>
      <c r="X49">
        <v>5</v>
      </c>
      <c r="Y49">
        <v>0</v>
      </c>
      <c r="Z49" t="s">
        <v>14</v>
      </c>
      <c r="AA49" t="s">
        <v>4</v>
      </c>
      <c r="AB49" t="s">
        <v>6</v>
      </c>
      <c r="AC49" t="s">
        <v>7</v>
      </c>
      <c r="AD49" t="s">
        <v>8</v>
      </c>
      <c r="AE49" t="s">
        <v>6</v>
      </c>
      <c r="AF49" t="s">
        <v>3</v>
      </c>
      <c r="AG49" t="s">
        <v>3</v>
      </c>
      <c r="AH49" t="s">
        <v>3</v>
      </c>
      <c r="AI49" t="s">
        <v>3</v>
      </c>
      <c r="AJ49" t="s">
        <v>3</v>
      </c>
      <c r="AK49" t="s">
        <v>7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9</v>
      </c>
      <c r="AR49" s="1">
        <v>3.23230569E-5</v>
      </c>
      <c r="AS49" s="1">
        <v>5.9864800200000001E-27</v>
      </c>
      <c r="AT49">
        <v>3</v>
      </c>
      <c r="AU49" t="s">
        <v>10</v>
      </c>
      <c r="AV49">
        <v>0</v>
      </c>
      <c r="AW49">
        <v>0</v>
      </c>
      <c r="AX49">
        <v>0</v>
      </c>
      <c r="AY49">
        <v>5</v>
      </c>
      <c r="AZ49">
        <v>0</v>
      </c>
      <c r="BA49" t="s">
        <v>14</v>
      </c>
      <c r="BB49" t="s">
        <v>4</v>
      </c>
      <c r="BC49" t="s">
        <v>10</v>
      </c>
      <c r="BD49">
        <v>0</v>
      </c>
      <c r="BE49">
        <v>0</v>
      </c>
      <c r="BF49">
        <v>0</v>
      </c>
      <c r="BG49">
        <v>0</v>
      </c>
      <c r="BH49">
        <v>0</v>
      </c>
      <c r="BI49" t="s">
        <v>9</v>
      </c>
      <c r="BJ49">
        <v>0</v>
      </c>
      <c r="BK49">
        <v>-3.2320000000000002E-5</v>
      </c>
      <c r="BL49">
        <v>0</v>
      </c>
      <c r="BM49" s="2">
        <f t="shared" si="0"/>
        <v>3.6051425576826813E-8</v>
      </c>
    </row>
    <row r="50" spans="1:65" x14ac:dyDescent="0.35">
      <c r="A50">
        <v>0</v>
      </c>
      <c r="B50" t="s">
        <v>3</v>
      </c>
      <c r="C50" t="s">
        <v>4</v>
      </c>
      <c r="D50">
        <v>0</v>
      </c>
      <c r="E50" t="s">
        <v>3</v>
      </c>
      <c r="F50" t="s">
        <v>5</v>
      </c>
      <c r="G50">
        <v>4499.8323229999996</v>
      </c>
      <c r="H50" t="s">
        <v>4</v>
      </c>
      <c r="I50">
        <v>990.16341899999998</v>
      </c>
      <c r="J50">
        <v>3509.6689040000001</v>
      </c>
      <c r="K50" t="s">
        <v>6</v>
      </c>
      <c r="L50" t="s">
        <v>7</v>
      </c>
      <c r="M50" t="s">
        <v>8</v>
      </c>
      <c r="N50" t="s">
        <v>6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7</v>
      </c>
      <c r="U50">
        <v>0</v>
      </c>
      <c r="V50">
        <v>1</v>
      </c>
      <c r="W50">
        <v>0</v>
      </c>
      <c r="X50">
        <v>1</v>
      </c>
      <c r="Y50">
        <v>0</v>
      </c>
      <c r="Z50" t="s">
        <v>22</v>
      </c>
      <c r="AA50" t="s">
        <v>4</v>
      </c>
      <c r="AB50" t="s">
        <v>6</v>
      </c>
      <c r="AC50" t="s">
        <v>7</v>
      </c>
      <c r="AD50" t="s">
        <v>8</v>
      </c>
      <c r="AE50" t="s">
        <v>6</v>
      </c>
      <c r="AF50" t="s">
        <v>3</v>
      </c>
      <c r="AG50" t="s">
        <v>3</v>
      </c>
      <c r="AH50" t="s">
        <v>3</v>
      </c>
      <c r="AI50" t="s">
        <v>3</v>
      </c>
      <c r="AJ50" t="s">
        <v>3</v>
      </c>
      <c r="AK50" t="s">
        <v>7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9</v>
      </c>
      <c r="AR50" s="1">
        <v>9.81933398E-5</v>
      </c>
      <c r="AS50" s="1">
        <v>9.0917263499999996E-26</v>
      </c>
      <c r="AT50">
        <v>2</v>
      </c>
      <c r="AU50" t="s">
        <v>10</v>
      </c>
      <c r="AV50">
        <v>0</v>
      </c>
      <c r="AW50">
        <v>1</v>
      </c>
      <c r="AX50">
        <v>0</v>
      </c>
      <c r="AY50">
        <v>1</v>
      </c>
      <c r="AZ50">
        <v>0</v>
      </c>
      <c r="BA50" t="s">
        <v>22</v>
      </c>
      <c r="BB50" t="s">
        <v>4</v>
      </c>
      <c r="BC50" t="s">
        <v>10</v>
      </c>
      <c r="BD50">
        <v>0</v>
      </c>
      <c r="BE50">
        <v>0</v>
      </c>
      <c r="BF50">
        <v>0</v>
      </c>
      <c r="BG50">
        <v>0</v>
      </c>
      <c r="BH50">
        <v>0</v>
      </c>
      <c r="BI50" t="s">
        <v>9</v>
      </c>
      <c r="BJ50">
        <v>8.4499999999999994E-5</v>
      </c>
      <c r="BK50">
        <v>0</v>
      </c>
      <c r="BL50">
        <v>-5.0019999999999999E-5</v>
      </c>
      <c r="BM50" s="2">
        <f t="shared" si="0"/>
        <v>5.4751656194770079E-7</v>
      </c>
    </row>
    <row r="51" spans="1:65" x14ac:dyDescent="0.35">
      <c r="A51">
        <v>0</v>
      </c>
      <c r="B51" t="s">
        <v>3</v>
      </c>
      <c r="C51" t="s">
        <v>4</v>
      </c>
      <c r="D51">
        <v>0</v>
      </c>
      <c r="E51" t="s">
        <v>3</v>
      </c>
      <c r="F51" t="s">
        <v>5</v>
      </c>
      <c r="G51">
        <v>3364.6896259999999</v>
      </c>
      <c r="H51" t="s">
        <v>4</v>
      </c>
      <c r="I51">
        <v>990.16341899999998</v>
      </c>
      <c r="J51">
        <v>2374.526206</v>
      </c>
      <c r="K51" t="s">
        <v>6</v>
      </c>
      <c r="L51" t="s">
        <v>7</v>
      </c>
      <c r="M51" t="s">
        <v>8</v>
      </c>
      <c r="N51" t="s">
        <v>6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7</v>
      </c>
      <c r="U51">
        <v>4</v>
      </c>
      <c r="V51">
        <v>0</v>
      </c>
      <c r="W51">
        <v>0</v>
      </c>
      <c r="X51">
        <v>0</v>
      </c>
      <c r="Y51">
        <v>0</v>
      </c>
      <c r="Z51" t="s">
        <v>8</v>
      </c>
      <c r="AA51" t="s">
        <v>4</v>
      </c>
      <c r="AB51" t="s">
        <v>6</v>
      </c>
      <c r="AC51" t="s">
        <v>7</v>
      </c>
      <c r="AD51" t="s">
        <v>8</v>
      </c>
      <c r="AE51" t="s">
        <v>6</v>
      </c>
      <c r="AF51" t="s">
        <v>3</v>
      </c>
      <c r="AG51" t="s">
        <v>3</v>
      </c>
      <c r="AH51" t="s">
        <v>3</v>
      </c>
      <c r="AI51" t="s">
        <v>3</v>
      </c>
      <c r="AJ51" t="s">
        <v>3</v>
      </c>
      <c r="AK51" t="s">
        <v>7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9</v>
      </c>
      <c r="AR51" s="1">
        <v>9.2115696399999996E-4</v>
      </c>
      <c r="AS51" s="1">
        <v>5.4132221599999998E-24</v>
      </c>
      <c r="AT51">
        <v>3</v>
      </c>
      <c r="AU51" t="s">
        <v>10</v>
      </c>
      <c r="AV51">
        <v>4</v>
      </c>
      <c r="AW51">
        <v>0</v>
      </c>
      <c r="AX51">
        <v>0</v>
      </c>
      <c r="AY51">
        <v>0</v>
      </c>
      <c r="AZ51">
        <v>0</v>
      </c>
      <c r="BA51" t="s">
        <v>8</v>
      </c>
      <c r="BB51" t="s">
        <v>4</v>
      </c>
      <c r="BC51" t="s">
        <v>10</v>
      </c>
      <c r="BD51">
        <v>0</v>
      </c>
      <c r="BE51">
        <v>0</v>
      </c>
      <c r="BF51">
        <v>0</v>
      </c>
      <c r="BG51">
        <v>0</v>
      </c>
      <c r="BH51">
        <v>0</v>
      </c>
      <c r="BI51" t="s">
        <v>9</v>
      </c>
      <c r="BJ51">
        <v>-9.0326999999999996E-4</v>
      </c>
      <c r="BK51">
        <v>0</v>
      </c>
      <c r="BL51">
        <v>1.8065E-4</v>
      </c>
      <c r="BM51" s="2">
        <f t="shared" si="0"/>
        <v>3.2599186029200125E-5</v>
      </c>
    </row>
    <row r="52" spans="1:65" x14ac:dyDescent="0.35">
      <c r="A52">
        <v>0</v>
      </c>
      <c r="B52" t="s">
        <v>11</v>
      </c>
      <c r="C52" t="s">
        <v>4</v>
      </c>
      <c r="D52">
        <v>0</v>
      </c>
      <c r="E52" t="s">
        <v>3</v>
      </c>
      <c r="F52" t="s">
        <v>5</v>
      </c>
      <c r="G52">
        <v>2181.8092329999999</v>
      </c>
      <c r="H52" t="s">
        <v>4</v>
      </c>
      <c r="I52">
        <v>990.16341899999998</v>
      </c>
      <c r="J52">
        <v>1191.645814</v>
      </c>
      <c r="K52" t="s">
        <v>6</v>
      </c>
      <c r="L52" t="s">
        <v>7</v>
      </c>
      <c r="M52" t="s">
        <v>8</v>
      </c>
      <c r="N52" t="s">
        <v>6</v>
      </c>
      <c r="O52" t="s">
        <v>3</v>
      </c>
      <c r="P52" t="s">
        <v>3</v>
      </c>
      <c r="Q52" t="s">
        <v>3</v>
      </c>
      <c r="R52" t="s">
        <v>3</v>
      </c>
      <c r="S52" t="s">
        <v>11</v>
      </c>
      <c r="T52" t="s">
        <v>7</v>
      </c>
      <c r="U52">
        <v>0</v>
      </c>
      <c r="V52">
        <v>1</v>
      </c>
      <c r="W52">
        <v>0</v>
      </c>
      <c r="X52">
        <v>1</v>
      </c>
      <c r="Y52">
        <v>0</v>
      </c>
      <c r="Z52" t="s">
        <v>18</v>
      </c>
      <c r="AA52" t="s">
        <v>4</v>
      </c>
      <c r="AB52" t="s">
        <v>6</v>
      </c>
      <c r="AC52" t="s">
        <v>7</v>
      </c>
      <c r="AD52" t="s">
        <v>8</v>
      </c>
      <c r="AE52" t="s">
        <v>6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7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9</v>
      </c>
      <c r="AR52" s="1">
        <v>3.3920900400000002E-5</v>
      </c>
      <c r="AS52" s="1">
        <v>3.6721319600000001E-27</v>
      </c>
      <c r="AT52">
        <v>2</v>
      </c>
      <c r="AU52" t="s">
        <v>10</v>
      </c>
      <c r="AV52">
        <v>0</v>
      </c>
      <c r="AW52">
        <v>1</v>
      </c>
      <c r="AX52">
        <v>0</v>
      </c>
      <c r="AY52">
        <v>1</v>
      </c>
      <c r="AZ52">
        <v>0</v>
      </c>
      <c r="BA52" t="s">
        <v>18</v>
      </c>
      <c r="BB52" t="s">
        <v>4</v>
      </c>
      <c r="BC52" t="s">
        <v>10</v>
      </c>
      <c r="BD52">
        <v>0</v>
      </c>
      <c r="BE52">
        <v>0</v>
      </c>
      <c r="BF52">
        <v>0</v>
      </c>
      <c r="BG52">
        <v>0</v>
      </c>
      <c r="BH52">
        <v>0</v>
      </c>
      <c r="BI52" t="s">
        <v>9</v>
      </c>
      <c r="BJ52">
        <v>0</v>
      </c>
      <c r="BK52">
        <v>3.392E-5</v>
      </c>
      <c r="BL52">
        <v>0</v>
      </c>
      <c r="BM52" s="2">
        <f t="shared" si="0"/>
        <v>2.2114095699299971E-8</v>
      </c>
    </row>
    <row r="53" spans="1:65" x14ac:dyDescent="0.35">
      <c r="A53">
        <v>0</v>
      </c>
      <c r="B53" t="s">
        <v>11</v>
      </c>
      <c r="C53" t="s">
        <v>4</v>
      </c>
      <c r="D53">
        <v>0</v>
      </c>
      <c r="E53" t="s">
        <v>3</v>
      </c>
      <c r="F53" t="s">
        <v>5</v>
      </c>
      <c r="G53">
        <v>4649.8040000000001</v>
      </c>
      <c r="H53" t="s">
        <v>4</v>
      </c>
      <c r="I53">
        <v>990.16341899999998</v>
      </c>
      <c r="J53">
        <v>3659.6405810000001</v>
      </c>
      <c r="K53" t="s">
        <v>6</v>
      </c>
      <c r="L53" t="s">
        <v>7</v>
      </c>
      <c r="M53" t="s">
        <v>8</v>
      </c>
      <c r="N53" t="s">
        <v>6</v>
      </c>
      <c r="O53" t="s">
        <v>3</v>
      </c>
      <c r="P53" t="s">
        <v>3</v>
      </c>
      <c r="Q53" t="s">
        <v>3</v>
      </c>
      <c r="R53" t="s">
        <v>3</v>
      </c>
      <c r="S53" t="s">
        <v>11</v>
      </c>
      <c r="T53" t="s">
        <v>7</v>
      </c>
      <c r="U53">
        <v>0</v>
      </c>
      <c r="V53">
        <v>1</v>
      </c>
      <c r="W53">
        <v>0</v>
      </c>
      <c r="X53">
        <v>2</v>
      </c>
      <c r="Y53">
        <v>1</v>
      </c>
      <c r="Z53" t="s">
        <v>13</v>
      </c>
      <c r="AA53" t="s">
        <v>4</v>
      </c>
      <c r="AB53" t="s">
        <v>6</v>
      </c>
      <c r="AC53" t="s">
        <v>7</v>
      </c>
      <c r="AD53" t="s">
        <v>8</v>
      </c>
      <c r="AE53" t="s">
        <v>6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7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9</v>
      </c>
      <c r="AR53" s="1">
        <v>1.31075297E-5</v>
      </c>
      <c r="AS53" s="1">
        <v>1.6892591799999999E-27</v>
      </c>
      <c r="AT53">
        <v>3</v>
      </c>
      <c r="AU53" t="s">
        <v>10</v>
      </c>
      <c r="AV53">
        <v>0</v>
      </c>
      <c r="AW53">
        <v>1</v>
      </c>
      <c r="AX53">
        <v>0</v>
      </c>
      <c r="AY53">
        <v>2</v>
      </c>
      <c r="AZ53">
        <v>1</v>
      </c>
      <c r="BA53" t="s">
        <v>13</v>
      </c>
      <c r="BB53" t="s">
        <v>4</v>
      </c>
      <c r="BC53" t="s">
        <v>10</v>
      </c>
      <c r="BD53">
        <v>0</v>
      </c>
      <c r="BE53">
        <v>0</v>
      </c>
      <c r="BF53">
        <v>0</v>
      </c>
      <c r="BG53">
        <v>0</v>
      </c>
      <c r="BH53">
        <v>0</v>
      </c>
      <c r="BI53" t="s">
        <v>9</v>
      </c>
      <c r="BJ53">
        <v>0</v>
      </c>
      <c r="BK53">
        <v>-1.311E-5</v>
      </c>
      <c r="BL53">
        <v>0</v>
      </c>
      <c r="BM53" s="2">
        <f t="shared" si="0"/>
        <v>1.0172956629652543E-8</v>
      </c>
    </row>
    <row r="54" spans="1:65" x14ac:dyDescent="0.35">
      <c r="A54">
        <v>0</v>
      </c>
      <c r="B54" t="s">
        <v>3</v>
      </c>
      <c r="C54" t="s">
        <v>4</v>
      </c>
      <c r="D54">
        <v>0</v>
      </c>
      <c r="E54" t="s">
        <v>3</v>
      </c>
      <c r="F54" t="s">
        <v>5</v>
      </c>
      <c r="G54">
        <v>4777.6198919999997</v>
      </c>
      <c r="H54" t="s">
        <v>4</v>
      </c>
      <c r="I54">
        <v>990.16341899999998</v>
      </c>
      <c r="J54">
        <v>3787.4564730000002</v>
      </c>
      <c r="K54" t="s">
        <v>6</v>
      </c>
      <c r="L54" t="s">
        <v>7</v>
      </c>
      <c r="M54" t="s">
        <v>8</v>
      </c>
      <c r="N54" t="s">
        <v>6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7</v>
      </c>
      <c r="U54">
        <v>0</v>
      </c>
      <c r="V54">
        <v>2</v>
      </c>
      <c r="W54">
        <v>0</v>
      </c>
      <c r="X54">
        <v>1</v>
      </c>
      <c r="Y54">
        <v>0</v>
      </c>
      <c r="Z54" t="s">
        <v>24</v>
      </c>
      <c r="AA54" t="s">
        <v>4</v>
      </c>
      <c r="AB54" t="s">
        <v>6</v>
      </c>
      <c r="AC54" t="s">
        <v>7</v>
      </c>
      <c r="AD54" t="s">
        <v>8</v>
      </c>
      <c r="AE54" t="s">
        <v>6</v>
      </c>
      <c r="AF54" t="s">
        <v>3</v>
      </c>
      <c r="AG54" t="s">
        <v>3</v>
      </c>
      <c r="AH54" t="s">
        <v>3</v>
      </c>
      <c r="AI54" t="s">
        <v>3</v>
      </c>
      <c r="AJ54" t="s">
        <v>3</v>
      </c>
      <c r="AK54" t="s">
        <v>7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9</v>
      </c>
      <c r="AR54" s="1">
        <v>5.6231326000000003E-5</v>
      </c>
      <c r="AS54" s="1">
        <v>3.2175140899999997E-26</v>
      </c>
      <c r="AT54">
        <v>3</v>
      </c>
      <c r="AU54" t="s">
        <v>10</v>
      </c>
      <c r="AV54">
        <v>0</v>
      </c>
      <c r="AW54">
        <v>2</v>
      </c>
      <c r="AX54">
        <v>0</v>
      </c>
      <c r="AY54">
        <v>1</v>
      </c>
      <c r="AZ54">
        <v>0</v>
      </c>
      <c r="BA54" t="s">
        <v>24</v>
      </c>
      <c r="BB54" t="s">
        <v>4</v>
      </c>
      <c r="BC54" t="s">
        <v>10</v>
      </c>
      <c r="BD54">
        <v>0</v>
      </c>
      <c r="BE54">
        <v>0</v>
      </c>
      <c r="BF54">
        <v>0</v>
      </c>
      <c r="BG54">
        <v>0</v>
      </c>
      <c r="BH54">
        <v>0</v>
      </c>
      <c r="BI54" t="s">
        <v>9</v>
      </c>
      <c r="BJ54">
        <v>-3.3120000000000001E-5</v>
      </c>
      <c r="BK54">
        <v>0</v>
      </c>
      <c r="BL54">
        <v>4.5439999999999999E-5</v>
      </c>
      <c r="BM54" s="2">
        <f t="shared" si="0"/>
        <v>1.937632287596387E-7</v>
      </c>
    </row>
    <row r="55" spans="1:65" x14ac:dyDescent="0.35">
      <c r="A55">
        <v>0</v>
      </c>
      <c r="B55" t="s">
        <v>11</v>
      </c>
      <c r="C55" t="s">
        <v>4</v>
      </c>
      <c r="D55">
        <v>0</v>
      </c>
      <c r="E55" t="s">
        <v>3</v>
      </c>
      <c r="F55" t="s">
        <v>5</v>
      </c>
      <c r="G55">
        <v>4205.0799120000001</v>
      </c>
      <c r="H55" t="s">
        <v>4</v>
      </c>
      <c r="I55">
        <v>990.16341899999998</v>
      </c>
      <c r="J55">
        <v>3214.9164930000002</v>
      </c>
      <c r="K55" t="s">
        <v>6</v>
      </c>
      <c r="L55" t="s">
        <v>7</v>
      </c>
      <c r="M55" t="s">
        <v>8</v>
      </c>
      <c r="N55" t="s">
        <v>6</v>
      </c>
      <c r="O55" t="s">
        <v>3</v>
      </c>
      <c r="P55" t="s">
        <v>3</v>
      </c>
      <c r="Q55" t="s">
        <v>3</v>
      </c>
      <c r="R55" t="s">
        <v>3</v>
      </c>
      <c r="S55" t="s">
        <v>11</v>
      </c>
      <c r="T55" t="s">
        <v>7</v>
      </c>
      <c r="U55">
        <v>1</v>
      </c>
      <c r="V55">
        <v>0</v>
      </c>
      <c r="W55">
        <v>0</v>
      </c>
      <c r="X55">
        <v>0</v>
      </c>
      <c r="Y55">
        <v>0</v>
      </c>
      <c r="Z55" t="s">
        <v>25</v>
      </c>
      <c r="AA55" t="s">
        <v>4</v>
      </c>
      <c r="AB55" t="s">
        <v>6</v>
      </c>
      <c r="AC55" t="s">
        <v>7</v>
      </c>
      <c r="AD55" t="s">
        <v>8</v>
      </c>
      <c r="AE55" t="s">
        <v>6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7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9</v>
      </c>
      <c r="AR55" s="1">
        <v>8.1221615400000003E-5</v>
      </c>
      <c r="AS55" s="1">
        <v>5.6980863500000001E-26</v>
      </c>
      <c r="AT55">
        <v>3</v>
      </c>
      <c r="AU55" t="s">
        <v>10</v>
      </c>
      <c r="AV55">
        <v>1</v>
      </c>
      <c r="AW55">
        <v>0</v>
      </c>
      <c r="AX55">
        <v>0</v>
      </c>
      <c r="AY55">
        <v>0</v>
      </c>
      <c r="AZ55">
        <v>0</v>
      </c>
      <c r="BA55" t="s">
        <v>25</v>
      </c>
      <c r="BB55" t="s">
        <v>4</v>
      </c>
      <c r="BC55" t="s">
        <v>10</v>
      </c>
      <c r="BD55">
        <v>0</v>
      </c>
      <c r="BE55">
        <v>0</v>
      </c>
      <c r="BF55">
        <v>0</v>
      </c>
      <c r="BG55">
        <v>0</v>
      </c>
      <c r="BH55">
        <v>0</v>
      </c>
      <c r="BI55" t="s">
        <v>9</v>
      </c>
      <c r="BJ55">
        <v>0</v>
      </c>
      <c r="BK55">
        <v>-8.1219999999999998E-5</v>
      </c>
      <c r="BL55">
        <v>0</v>
      </c>
      <c r="BM55" s="2">
        <f t="shared" si="0"/>
        <v>3.4314678290258081E-7</v>
      </c>
    </row>
    <row r="56" spans="1:65" x14ac:dyDescent="0.35">
      <c r="A56">
        <v>0</v>
      </c>
      <c r="B56" t="s">
        <v>3</v>
      </c>
      <c r="C56" t="s">
        <v>4</v>
      </c>
      <c r="D56">
        <v>0</v>
      </c>
      <c r="E56" t="s">
        <v>3</v>
      </c>
      <c r="F56" t="s">
        <v>5</v>
      </c>
      <c r="G56">
        <v>4286.0305090000002</v>
      </c>
      <c r="H56" t="s">
        <v>4</v>
      </c>
      <c r="I56">
        <v>990.16341899999998</v>
      </c>
      <c r="J56">
        <v>3295.8670900000002</v>
      </c>
      <c r="K56" t="s">
        <v>6</v>
      </c>
      <c r="L56" t="s">
        <v>7</v>
      </c>
      <c r="M56" t="s">
        <v>8</v>
      </c>
      <c r="N56" t="s">
        <v>6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7</v>
      </c>
      <c r="U56">
        <v>0</v>
      </c>
      <c r="V56">
        <v>0</v>
      </c>
      <c r="W56">
        <v>0</v>
      </c>
      <c r="X56">
        <v>3</v>
      </c>
      <c r="Y56">
        <v>1</v>
      </c>
      <c r="Z56" t="s">
        <v>24</v>
      </c>
      <c r="AA56" t="s">
        <v>4</v>
      </c>
      <c r="AB56" t="s">
        <v>6</v>
      </c>
      <c r="AC56" t="s">
        <v>7</v>
      </c>
      <c r="AD56" t="s">
        <v>8</v>
      </c>
      <c r="AE56" t="s">
        <v>6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7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9</v>
      </c>
      <c r="AR56" s="1">
        <v>1.7891958799999999E-4</v>
      </c>
      <c r="AS56" s="1">
        <v>2.8346639499999999E-25</v>
      </c>
      <c r="AT56">
        <v>3</v>
      </c>
      <c r="AU56" t="s">
        <v>10</v>
      </c>
      <c r="AV56">
        <v>0</v>
      </c>
      <c r="AW56">
        <v>0</v>
      </c>
      <c r="AX56">
        <v>0</v>
      </c>
      <c r="AY56">
        <v>3</v>
      </c>
      <c r="AZ56">
        <v>1</v>
      </c>
      <c r="BA56" t="s">
        <v>24</v>
      </c>
      <c r="BB56" t="s">
        <v>4</v>
      </c>
      <c r="BC56" t="s">
        <v>10</v>
      </c>
      <c r="BD56">
        <v>0</v>
      </c>
      <c r="BE56">
        <v>0</v>
      </c>
      <c r="BF56">
        <v>0</v>
      </c>
      <c r="BG56">
        <v>0</v>
      </c>
      <c r="BH56">
        <v>0</v>
      </c>
      <c r="BI56" t="s">
        <v>9</v>
      </c>
      <c r="BJ56">
        <v>-1.7890000000000001E-4</v>
      </c>
      <c r="BK56">
        <v>0</v>
      </c>
      <c r="BL56">
        <v>2.7499999999999999E-6</v>
      </c>
      <c r="BM56" s="2">
        <f t="shared" si="0"/>
        <v>1.7070745427584158E-6</v>
      </c>
    </row>
    <row r="57" spans="1:65" x14ac:dyDescent="0.35">
      <c r="A57">
        <v>0</v>
      </c>
      <c r="B57" t="s">
        <v>3</v>
      </c>
      <c r="C57" t="s">
        <v>4</v>
      </c>
      <c r="D57">
        <v>0</v>
      </c>
      <c r="E57" t="s">
        <v>3</v>
      </c>
      <c r="F57" t="s">
        <v>5</v>
      </c>
      <c r="G57">
        <v>2931.8003709999998</v>
      </c>
      <c r="H57" t="s">
        <v>4</v>
      </c>
      <c r="I57">
        <v>990.16341899999998</v>
      </c>
      <c r="J57">
        <v>1941.6369520000001</v>
      </c>
      <c r="K57" t="s">
        <v>6</v>
      </c>
      <c r="L57" t="s">
        <v>7</v>
      </c>
      <c r="M57" t="s">
        <v>8</v>
      </c>
      <c r="N57" t="s">
        <v>6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7</v>
      </c>
      <c r="U57">
        <v>1</v>
      </c>
      <c r="V57">
        <v>0</v>
      </c>
      <c r="W57">
        <v>0</v>
      </c>
      <c r="X57">
        <v>0</v>
      </c>
      <c r="Y57">
        <v>1</v>
      </c>
      <c r="Z57" t="s">
        <v>15</v>
      </c>
      <c r="AA57" t="s">
        <v>4</v>
      </c>
      <c r="AB57" t="s">
        <v>6</v>
      </c>
      <c r="AC57" t="s">
        <v>7</v>
      </c>
      <c r="AD57" t="s">
        <v>8</v>
      </c>
      <c r="AE57" t="s">
        <v>6</v>
      </c>
      <c r="AF57" t="s">
        <v>3</v>
      </c>
      <c r="AG57" t="s">
        <v>3</v>
      </c>
      <c r="AH57" t="s">
        <v>3</v>
      </c>
      <c r="AI57" t="s">
        <v>3</v>
      </c>
      <c r="AJ57" t="s">
        <v>3</v>
      </c>
      <c r="AK57" t="s">
        <v>7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9</v>
      </c>
      <c r="AR57" s="1">
        <v>9.54182796E-5</v>
      </c>
      <c r="AS57" s="1">
        <v>4.7490910400000001E-26</v>
      </c>
      <c r="AT57">
        <v>3</v>
      </c>
      <c r="AU57" t="s">
        <v>10</v>
      </c>
      <c r="AV57">
        <v>1</v>
      </c>
      <c r="AW57">
        <v>0</v>
      </c>
      <c r="AX57">
        <v>0</v>
      </c>
      <c r="AY57">
        <v>0</v>
      </c>
      <c r="AZ57">
        <v>1</v>
      </c>
      <c r="BA57" t="s">
        <v>15</v>
      </c>
      <c r="BB57" t="s">
        <v>4</v>
      </c>
      <c r="BC57" t="s">
        <v>10</v>
      </c>
      <c r="BD57">
        <v>0</v>
      </c>
      <c r="BE57">
        <v>0</v>
      </c>
      <c r="BF57">
        <v>0</v>
      </c>
      <c r="BG57">
        <v>0</v>
      </c>
      <c r="BH57">
        <v>0</v>
      </c>
      <c r="BI57" t="s">
        <v>9</v>
      </c>
      <c r="BJ57">
        <v>-7.0209999999999994E-5</v>
      </c>
      <c r="BK57">
        <v>0</v>
      </c>
      <c r="BL57">
        <v>6.4620000000000001E-5</v>
      </c>
      <c r="BM57" s="2">
        <f t="shared" si="0"/>
        <v>2.8599694914898435E-7</v>
      </c>
    </row>
    <row r="58" spans="1:65" x14ac:dyDescent="0.35">
      <c r="A58">
        <v>0</v>
      </c>
      <c r="B58" t="s">
        <v>3</v>
      </c>
      <c r="C58" t="s">
        <v>4</v>
      </c>
      <c r="D58">
        <v>0</v>
      </c>
      <c r="E58" t="s">
        <v>3</v>
      </c>
      <c r="F58" t="s">
        <v>5</v>
      </c>
      <c r="G58">
        <v>4944.7355100000004</v>
      </c>
      <c r="H58" t="s">
        <v>4</v>
      </c>
      <c r="I58">
        <v>990.16341899999998</v>
      </c>
      <c r="J58">
        <v>3954.572091</v>
      </c>
      <c r="K58" t="s">
        <v>6</v>
      </c>
      <c r="L58" t="s">
        <v>7</v>
      </c>
      <c r="M58" t="s">
        <v>8</v>
      </c>
      <c r="N58" t="s">
        <v>6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7</v>
      </c>
      <c r="U58">
        <v>1</v>
      </c>
      <c r="V58">
        <v>0</v>
      </c>
      <c r="W58">
        <v>0</v>
      </c>
      <c r="X58">
        <v>3</v>
      </c>
      <c r="Y58">
        <v>0</v>
      </c>
      <c r="Z58" t="s">
        <v>22</v>
      </c>
      <c r="AA58" t="s">
        <v>4</v>
      </c>
      <c r="AB58" t="s">
        <v>6</v>
      </c>
      <c r="AC58" t="s">
        <v>7</v>
      </c>
      <c r="AD58" t="s">
        <v>8</v>
      </c>
      <c r="AE58" t="s">
        <v>6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7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9</v>
      </c>
      <c r="AR58" s="1">
        <v>1.04069715E-4</v>
      </c>
      <c r="AS58" s="1">
        <v>1.15070603E-25</v>
      </c>
      <c r="AT58">
        <v>3</v>
      </c>
      <c r="AU58" t="s">
        <v>10</v>
      </c>
      <c r="AV58">
        <v>1</v>
      </c>
      <c r="AW58">
        <v>0</v>
      </c>
      <c r="AX58">
        <v>0</v>
      </c>
      <c r="AY58">
        <v>3</v>
      </c>
      <c r="AZ58">
        <v>0</v>
      </c>
      <c r="BA58" t="s">
        <v>22</v>
      </c>
      <c r="BB58" t="s">
        <v>4</v>
      </c>
      <c r="BC58" t="s">
        <v>10</v>
      </c>
      <c r="BD58">
        <v>0</v>
      </c>
      <c r="BE58">
        <v>0</v>
      </c>
      <c r="BF58">
        <v>0</v>
      </c>
      <c r="BG58">
        <v>0</v>
      </c>
      <c r="BH58">
        <v>0</v>
      </c>
      <c r="BI58" t="s">
        <v>9</v>
      </c>
      <c r="BJ58">
        <v>-6.071E-5</v>
      </c>
      <c r="BK58">
        <v>0</v>
      </c>
      <c r="BL58">
        <v>8.4530000000000006E-5</v>
      </c>
      <c r="BM58" s="2">
        <f t="shared" si="0"/>
        <v>6.929713732069023E-7</v>
      </c>
    </row>
    <row r="59" spans="1:65" x14ac:dyDescent="0.35">
      <c r="A59">
        <v>0</v>
      </c>
      <c r="B59" t="s">
        <v>3</v>
      </c>
      <c r="C59" t="s">
        <v>4</v>
      </c>
      <c r="D59">
        <v>0</v>
      </c>
      <c r="E59" t="s">
        <v>3</v>
      </c>
      <c r="F59" t="s">
        <v>5</v>
      </c>
      <c r="G59">
        <v>4878.1522679999998</v>
      </c>
      <c r="H59" t="s">
        <v>4</v>
      </c>
      <c r="I59">
        <v>990.16341899999998</v>
      </c>
      <c r="J59">
        <v>3887.9888489999998</v>
      </c>
      <c r="K59" t="s">
        <v>6</v>
      </c>
      <c r="L59" t="s">
        <v>7</v>
      </c>
      <c r="M59" t="s">
        <v>8</v>
      </c>
      <c r="N59" t="s">
        <v>6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7</v>
      </c>
      <c r="U59">
        <v>1</v>
      </c>
      <c r="V59">
        <v>1</v>
      </c>
      <c r="W59">
        <v>0</v>
      </c>
      <c r="X59">
        <v>2</v>
      </c>
      <c r="Y59">
        <v>1</v>
      </c>
      <c r="Z59" t="s">
        <v>9</v>
      </c>
      <c r="AA59" t="s">
        <v>4</v>
      </c>
      <c r="AB59" t="s">
        <v>6</v>
      </c>
      <c r="AC59" t="s">
        <v>7</v>
      </c>
      <c r="AD59" t="s">
        <v>8</v>
      </c>
      <c r="AE59" t="s">
        <v>6</v>
      </c>
      <c r="AF59" t="s">
        <v>3</v>
      </c>
      <c r="AG59" t="s">
        <v>3</v>
      </c>
      <c r="AH59" t="s">
        <v>3</v>
      </c>
      <c r="AI59" t="s">
        <v>3</v>
      </c>
      <c r="AJ59" t="s">
        <v>3</v>
      </c>
      <c r="AK59" t="s">
        <v>7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9</v>
      </c>
      <c r="AR59" s="1">
        <v>4.2001911900000003E-5</v>
      </c>
      <c r="AS59" s="1">
        <v>1.84280461E-26</v>
      </c>
      <c r="AT59">
        <v>3</v>
      </c>
      <c r="AU59" t="s">
        <v>10</v>
      </c>
      <c r="AV59">
        <v>1</v>
      </c>
      <c r="AW59">
        <v>1</v>
      </c>
      <c r="AX59">
        <v>0</v>
      </c>
      <c r="AY59">
        <v>2</v>
      </c>
      <c r="AZ59">
        <v>1</v>
      </c>
      <c r="BA59" t="s">
        <v>9</v>
      </c>
      <c r="BB59" t="s">
        <v>4</v>
      </c>
      <c r="BC59" t="s">
        <v>10</v>
      </c>
      <c r="BD59">
        <v>0</v>
      </c>
      <c r="BE59">
        <v>0</v>
      </c>
      <c r="BF59">
        <v>0</v>
      </c>
      <c r="BG59">
        <v>0</v>
      </c>
      <c r="BH59">
        <v>0</v>
      </c>
      <c r="BI59" t="s">
        <v>9</v>
      </c>
      <c r="BJ59">
        <v>3.0110000000000001E-5</v>
      </c>
      <c r="BK59">
        <v>0</v>
      </c>
      <c r="BL59">
        <v>-2.9289999999999999E-5</v>
      </c>
      <c r="BM59" s="2">
        <f t="shared" si="0"/>
        <v>1.1097628828309088E-7</v>
      </c>
    </row>
    <row r="60" spans="1:65" x14ac:dyDescent="0.35">
      <c r="A60">
        <v>0</v>
      </c>
      <c r="B60" t="s">
        <v>3</v>
      </c>
      <c r="C60" t="s">
        <v>4</v>
      </c>
      <c r="D60">
        <v>0</v>
      </c>
      <c r="E60" t="s">
        <v>3</v>
      </c>
      <c r="F60" t="s">
        <v>5</v>
      </c>
      <c r="G60">
        <v>4716.751972</v>
      </c>
      <c r="H60" t="s">
        <v>4</v>
      </c>
      <c r="I60">
        <v>990.16341899999998</v>
      </c>
      <c r="J60">
        <v>3726.588553</v>
      </c>
      <c r="K60" t="s">
        <v>6</v>
      </c>
      <c r="L60" t="s">
        <v>7</v>
      </c>
      <c r="M60" t="s">
        <v>8</v>
      </c>
      <c r="N60" t="s">
        <v>6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7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26</v>
      </c>
      <c r="AA60" t="s">
        <v>4</v>
      </c>
      <c r="AB60" t="s">
        <v>6</v>
      </c>
      <c r="AC60" t="s">
        <v>7</v>
      </c>
      <c r="AD60" t="s">
        <v>8</v>
      </c>
      <c r="AE60" t="s">
        <v>6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7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9</v>
      </c>
      <c r="AR60" s="1">
        <v>2.5026981300000002E-4</v>
      </c>
      <c r="AS60" s="1">
        <v>6.2711117700000002E-25</v>
      </c>
      <c r="AT60">
        <v>3</v>
      </c>
      <c r="AU60" t="s">
        <v>10</v>
      </c>
      <c r="AV60">
        <v>0</v>
      </c>
      <c r="AW60">
        <v>0</v>
      </c>
      <c r="AX60">
        <v>0</v>
      </c>
      <c r="AY60">
        <v>0</v>
      </c>
      <c r="AZ60">
        <v>0</v>
      </c>
      <c r="BA60" t="s">
        <v>26</v>
      </c>
      <c r="BB60" t="s">
        <v>4</v>
      </c>
      <c r="BC60" t="s">
        <v>10</v>
      </c>
      <c r="BD60">
        <v>0</v>
      </c>
      <c r="BE60">
        <v>0</v>
      </c>
      <c r="BF60">
        <v>0</v>
      </c>
      <c r="BG60">
        <v>0</v>
      </c>
      <c r="BH60">
        <v>0</v>
      </c>
      <c r="BI60" t="s">
        <v>9</v>
      </c>
      <c r="BJ60">
        <v>1.6961E-4</v>
      </c>
      <c r="BK60">
        <v>0</v>
      </c>
      <c r="BL60">
        <v>-1.8403000000000001E-4</v>
      </c>
      <c r="BM60" s="2">
        <f t="shared" si="0"/>
        <v>3.7765518051477212E-6</v>
      </c>
    </row>
    <row r="61" spans="1:65" x14ac:dyDescent="0.35">
      <c r="A61">
        <v>0</v>
      </c>
      <c r="B61" t="s">
        <v>11</v>
      </c>
      <c r="C61" t="s">
        <v>4</v>
      </c>
      <c r="D61">
        <v>0</v>
      </c>
      <c r="E61" t="s">
        <v>3</v>
      </c>
      <c r="F61" t="s">
        <v>5</v>
      </c>
      <c r="G61">
        <v>4363.4484110000003</v>
      </c>
      <c r="H61" t="s">
        <v>4</v>
      </c>
      <c r="I61">
        <v>990.16341899999998</v>
      </c>
      <c r="J61">
        <v>3373.2849919999999</v>
      </c>
      <c r="K61" t="s">
        <v>6</v>
      </c>
      <c r="L61" t="s">
        <v>7</v>
      </c>
      <c r="M61" t="s">
        <v>8</v>
      </c>
      <c r="N61" t="s">
        <v>6</v>
      </c>
      <c r="O61" t="s">
        <v>3</v>
      </c>
      <c r="P61" t="s">
        <v>3</v>
      </c>
      <c r="Q61" t="s">
        <v>3</v>
      </c>
      <c r="R61" t="s">
        <v>3</v>
      </c>
      <c r="S61" t="s">
        <v>11</v>
      </c>
      <c r="T61" t="s">
        <v>7</v>
      </c>
      <c r="U61">
        <v>3</v>
      </c>
      <c r="V61">
        <v>0</v>
      </c>
      <c r="W61">
        <v>0</v>
      </c>
      <c r="X61">
        <v>1</v>
      </c>
      <c r="Y61">
        <v>0</v>
      </c>
      <c r="Z61" t="s">
        <v>14</v>
      </c>
      <c r="AA61" t="s">
        <v>4</v>
      </c>
      <c r="AB61" t="s">
        <v>6</v>
      </c>
      <c r="AC61" t="s">
        <v>7</v>
      </c>
      <c r="AD61" t="s">
        <v>8</v>
      </c>
      <c r="AE61" t="s">
        <v>6</v>
      </c>
      <c r="AF61" t="s">
        <v>3</v>
      </c>
      <c r="AG61" t="s">
        <v>3</v>
      </c>
      <c r="AH61" t="s">
        <v>3</v>
      </c>
      <c r="AI61" t="s">
        <v>3</v>
      </c>
      <c r="AJ61" t="s">
        <v>3</v>
      </c>
      <c r="AK61" t="s">
        <v>7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9</v>
      </c>
      <c r="AR61" s="1">
        <v>1.3728850699999999E-5</v>
      </c>
      <c r="AS61" s="1">
        <v>1.7081953199999999E-27</v>
      </c>
      <c r="AT61">
        <v>3</v>
      </c>
      <c r="AU61" t="s">
        <v>10</v>
      </c>
      <c r="AV61">
        <v>3</v>
      </c>
      <c r="AW61">
        <v>0</v>
      </c>
      <c r="AX61">
        <v>0</v>
      </c>
      <c r="AY61">
        <v>1</v>
      </c>
      <c r="AZ61">
        <v>0</v>
      </c>
      <c r="BA61" t="s">
        <v>14</v>
      </c>
      <c r="BB61" t="s">
        <v>4</v>
      </c>
      <c r="BC61" t="s">
        <v>10</v>
      </c>
      <c r="BD61">
        <v>0</v>
      </c>
      <c r="BE61">
        <v>0</v>
      </c>
      <c r="BF61">
        <v>0</v>
      </c>
      <c r="BG61">
        <v>0</v>
      </c>
      <c r="BH61">
        <v>0</v>
      </c>
      <c r="BI61" t="s">
        <v>9</v>
      </c>
      <c r="BJ61">
        <v>0</v>
      </c>
      <c r="BK61">
        <v>1.3730000000000001E-5</v>
      </c>
      <c r="BL61">
        <v>0</v>
      </c>
      <c r="BM61" s="2">
        <f t="shared" si="0"/>
        <v>1.0286992730941055E-8</v>
      </c>
    </row>
    <row r="62" spans="1:65" x14ac:dyDescent="0.35">
      <c r="A62">
        <v>0</v>
      </c>
      <c r="B62" t="s">
        <v>3</v>
      </c>
      <c r="C62" t="s">
        <v>4</v>
      </c>
      <c r="D62">
        <v>0</v>
      </c>
      <c r="E62" t="s">
        <v>3</v>
      </c>
      <c r="F62" t="s">
        <v>5</v>
      </c>
      <c r="G62">
        <v>1246.2764890000001</v>
      </c>
      <c r="H62" t="s">
        <v>4</v>
      </c>
      <c r="I62">
        <v>990.16341899999998</v>
      </c>
      <c r="J62">
        <v>256.11306999999999</v>
      </c>
      <c r="K62" t="s">
        <v>6</v>
      </c>
      <c r="L62" t="s">
        <v>7</v>
      </c>
      <c r="M62" t="s">
        <v>8</v>
      </c>
      <c r="N62" t="s">
        <v>6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7</v>
      </c>
      <c r="U62">
        <v>1</v>
      </c>
      <c r="V62">
        <v>0</v>
      </c>
      <c r="W62">
        <v>0</v>
      </c>
      <c r="X62">
        <v>1</v>
      </c>
      <c r="Y62">
        <v>0</v>
      </c>
      <c r="Z62" t="s">
        <v>8</v>
      </c>
      <c r="AA62" t="s">
        <v>4</v>
      </c>
      <c r="AB62" t="s">
        <v>6</v>
      </c>
      <c r="AC62" t="s">
        <v>7</v>
      </c>
      <c r="AD62" t="s">
        <v>8</v>
      </c>
      <c r="AE62" t="s">
        <v>6</v>
      </c>
      <c r="AF62" t="s">
        <v>3</v>
      </c>
      <c r="AG62" t="s">
        <v>3</v>
      </c>
      <c r="AH62" t="s">
        <v>3</v>
      </c>
      <c r="AI62" t="s">
        <v>3</v>
      </c>
      <c r="AJ62" t="s">
        <v>3</v>
      </c>
      <c r="AK62" t="s">
        <v>7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9</v>
      </c>
      <c r="AR62" s="1">
        <v>1.9112736699999998E-6</v>
      </c>
      <c r="AS62" s="1">
        <v>1.7836679000000002E-30</v>
      </c>
      <c r="AT62">
        <v>4</v>
      </c>
      <c r="AU62" t="s">
        <v>10</v>
      </c>
      <c r="AV62">
        <v>1</v>
      </c>
      <c r="AW62">
        <v>0</v>
      </c>
      <c r="AX62">
        <v>0</v>
      </c>
      <c r="AY62">
        <v>1</v>
      </c>
      <c r="AZ62">
        <v>0</v>
      </c>
      <c r="BA62" t="s">
        <v>8</v>
      </c>
      <c r="BB62" t="s">
        <v>4</v>
      </c>
      <c r="BC62" t="s">
        <v>10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9</v>
      </c>
      <c r="BJ62">
        <v>1.8500000000000001E-6</v>
      </c>
      <c r="BK62">
        <v>0</v>
      </c>
      <c r="BL62">
        <v>4.8999999999999997E-7</v>
      </c>
      <c r="BM62" s="2">
        <f t="shared" si="0"/>
        <v>1.0741499234240322E-11</v>
      </c>
    </row>
    <row r="63" spans="1:65" x14ac:dyDescent="0.35">
      <c r="A63">
        <v>0</v>
      </c>
      <c r="B63" t="s">
        <v>11</v>
      </c>
      <c r="C63" t="s">
        <v>4</v>
      </c>
      <c r="D63">
        <v>0</v>
      </c>
      <c r="E63" t="s">
        <v>3</v>
      </c>
      <c r="F63" t="s">
        <v>5</v>
      </c>
      <c r="G63">
        <v>3792.9462840000001</v>
      </c>
      <c r="H63" t="s">
        <v>4</v>
      </c>
      <c r="I63">
        <v>990.16341899999998</v>
      </c>
      <c r="J63">
        <v>2802.7828650000001</v>
      </c>
      <c r="K63" t="s">
        <v>6</v>
      </c>
      <c r="L63" t="s">
        <v>7</v>
      </c>
      <c r="M63" t="s">
        <v>8</v>
      </c>
      <c r="N63" t="s">
        <v>6</v>
      </c>
      <c r="O63" t="s">
        <v>3</v>
      </c>
      <c r="P63" t="s">
        <v>3</v>
      </c>
      <c r="Q63" t="s">
        <v>3</v>
      </c>
      <c r="R63" t="s">
        <v>3</v>
      </c>
      <c r="S63" t="s">
        <v>11</v>
      </c>
      <c r="T63" t="s">
        <v>7</v>
      </c>
      <c r="U63">
        <v>0</v>
      </c>
      <c r="V63">
        <v>0</v>
      </c>
      <c r="W63">
        <v>0</v>
      </c>
      <c r="X63">
        <v>3</v>
      </c>
      <c r="Y63">
        <v>1</v>
      </c>
      <c r="Z63" t="s">
        <v>13</v>
      </c>
      <c r="AA63" t="s">
        <v>4</v>
      </c>
      <c r="AB63" t="s">
        <v>6</v>
      </c>
      <c r="AC63" t="s">
        <v>7</v>
      </c>
      <c r="AD63" t="s">
        <v>8</v>
      </c>
      <c r="AE63" t="s">
        <v>6</v>
      </c>
      <c r="AF63" t="s">
        <v>3</v>
      </c>
      <c r="AG63" t="s">
        <v>3</v>
      </c>
      <c r="AH63" t="s">
        <v>3</v>
      </c>
      <c r="AI63" t="s">
        <v>3</v>
      </c>
      <c r="AJ63" t="s">
        <v>3</v>
      </c>
      <c r="AK63" t="s">
        <v>7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9</v>
      </c>
      <c r="AR63" s="1">
        <v>1.10004443E-4</v>
      </c>
      <c r="AS63" s="1">
        <v>9.1122471199999997E-26</v>
      </c>
      <c r="AT63">
        <v>3</v>
      </c>
      <c r="AU63" t="s">
        <v>10</v>
      </c>
      <c r="AV63">
        <v>0</v>
      </c>
      <c r="AW63">
        <v>0</v>
      </c>
      <c r="AX63">
        <v>0</v>
      </c>
      <c r="AY63">
        <v>3</v>
      </c>
      <c r="AZ63">
        <v>1</v>
      </c>
      <c r="BA63" t="s">
        <v>13</v>
      </c>
      <c r="BB63" t="s">
        <v>4</v>
      </c>
      <c r="BC63" t="s">
        <v>10</v>
      </c>
      <c r="BD63">
        <v>0</v>
      </c>
      <c r="BE63">
        <v>0</v>
      </c>
      <c r="BF63">
        <v>0</v>
      </c>
      <c r="BG63">
        <v>0</v>
      </c>
      <c r="BH63">
        <v>0</v>
      </c>
      <c r="BI63" t="s">
        <v>9</v>
      </c>
      <c r="BJ63">
        <v>0</v>
      </c>
      <c r="BK63">
        <v>1.1E-4</v>
      </c>
      <c r="BL63">
        <v>0</v>
      </c>
      <c r="BM63" s="2">
        <f t="shared" si="0"/>
        <v>5.4875235161034483E-7</v>
      </c>
    </row>
    <row r="64" spans="1:65" x14ac:dyDescent="0.35">
      <c r="A64">
        <v>0</v>
      </c>
      <c r="B64" t="s">
        <v>3</v>
      </c>
      <c r="C64" t="s">
        <v>4</v>
      </c>
      <c r="D64">
        <v>0</v>
      </c>
      <c r="E64" t="s">
        <v>3</v>
      </c>
      <c r="F64" t="s">
        <v>5</v>
      </c>
      <c r="G64">
        <v>3632.0288759999999</v>
      </c>
      <c r="H64" t="s">
        <v>4</v>
      </c>
      <c r="I64">
        <v>990.16341899999998</v>
      </c>
      <c r="J64">
        <v>2641.8654569999999</v>
      </c>
      <c r="K64" t="s">
        <v>6</v>
      </c>
      <c r="L64" t="s">
        <v>7</v>
      </c>
      <c r="M64" t="s">
        <v>8</v>
      </c>
      <c r="N64" t="s">
        <v>6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7</v>
      </c>
      <c r="U64">
        <v>0</v>
      </c>
      <c r="V64">
        <v>1</v>
      </c>
      <c r="W64">
        <v>0</v>
      </c>
      <c r="X64">
        <v>1</v>
      </c>
      <c r="Y64">
        <v>1</v>
      </c>
      <c r="Z64" t="s">
        <v>9</v>
      </c>
      <c r="AA64" t="s">
        <v>4</v>
      </c>
      <c r="AB64" t="s">
        <v>6</v>
      </c>
      <c r="AC64" t="s">
        <v>7</v>
      </c>
      <c r="AD64" t="s">
        <v>8</v>
      </c>
      <c r="AE64" t="s">
        <v>6</v>
      </c>
      <c r="AF64" t="s">
        <v>3</v>
      </c>
      <c r="AG64" t="s">
        <v>3</v>
      </c>
      <c r="AH64" t="s">
        <v>3</v>
      </c>
      <c r="AI64" t="s">
        <v>3</v>
      </c>
      <c r="AJ64" t="s">
        <v>3</v>
      </c>
      <c r="AK64" t="s">
        <v>7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9</v>
      </c>
      <c r="AR64" s="1">
        <v>3.3658129599999998E-4</v>
      </c>
      <c r="AS64" s="1">
        <v>8.0409166800000001E-25</v>
      </c>
      <c r="AT64">
        <v>4</v>
      </c>
      <c r="AU64" t="s">
        <v>10</v>
      </c>
      <c r="AV64">
        <v>0</v>
      </c>
      <c r="AW64">
        <v>1</v>
      </c>
      <c r="AX64">
        <v>0</v>
      </c>
      <c r="AY64">
        <v>1</v>
      </c>
      <c r="AZ64">
        <v>1</v>
      </c>
      <c r="BA64" t="s">
        <v>9</v>
      </c>
      <c r="BB64" t="s">
        <v>4</v>
      </c>
      <c r="BC64" t="s">
        <v>10</v>
      </c>
      <c r="BD64">
        <v>0</v>
      </c>
      <c r="BE64">
        <v>0</v>
      </c>
      <c r="BF64">
        <v>0</v>
      </c>
      <c r="BG64">
        <v>0</v>
      </c>
      <c r="BH64">
        <v>0</v>
      </c>
      <c r="BI64" t="s">
        <v>9</v>
      </c>
      <c r="BJ64">
        <v>-1.6228E-4</v>
      </c>
      <c r="BK64">
        <v>0</v>
      </c>
      <c r="BL64">
        <v>2.9488000000000002E-4</v>
      </c>
      <c r="BM64" s="2">
        <f t="shared" si="0"/>
        <v>4.8423532408028545E-6</v>
      </c>
    </row>
    <row r="65" spans="1:65" x14ac:dyDescent="0.35">
      <c r="A65">
        <v>0</v>
      </c>
      <c r="B65" t="s">
        <v>3</v>
      </c>
      <c r="C65" t="s">
        <v>4</v>
      </c>
      <c r="D65">
        <v>0</v>
      </c>
      <c r="E65" t="s">
        <v>3</v>
      </c>
      <c r="F65" t="s">
        <v>5</v>
      </c>
      <c r="G65">
        <v>3503.6905539999998</v>
      </c>
      <c r="H65" t="s">
        <v>4</v>
      </c>
      <c r="I65">
        <v>990.16341899999998</v>
      </c>
      <c r="J65">
        <v>2513.5271349999998</v>
      </c>
      <c r="K65" t="s">
        <v>6</v>
      </c>
      <c r="L65" t="s">
        <v>7</v>
      </c>
      <c r="M65" t="s">
        <v>8</v>
      </c>
      <c r="N65" t="s">
        <v>6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7</v>
      </c>
      <c r="U65">
        <v>0</v>
      </c>
      <c r="V65">
        <v>0</v>
      </c>
      <c r="W65">
        <v>0</v>
      </c>
      <c r="X65">
        <v>1</v>
      </c>
      <c r="Y65">
        <v>0</v>
      </c>
      <c r="Z65" t="s">
        <v>27</v>
      </c>
      <c r="AA65" t="s">
        <v>4</v>
      </c>
      <c r="AB65" t="s">
        <v>6</v>
      </c>
      <c r="AC65" t="s">
        <v>7</v>
      </c>
      <c r="AD65" t="s">
        <v>8</v>
      </c>
      <c r="AE65" t="s">
        <v>6</v>
      </c>
      <c r="AF65" t="s">
        <v>3</v>
      </c>
      <c r="AG65" t="s">
        <v>3</v>
      </c>
      <c r="AH65" t="s">
        <v>3</v>
      </c>
      <c r="AI65" t="s">
        <v>3</v>
      </c>
      <c r="AJ65" t="s">
        <v>3</v>
      </c>
      <c r="AK65" t="s">
        <v>7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9</v>
      </c>
      <c r="AR65" s="1">
        <v>4.4442576999999999E-4</v>
      </c>
      <c r="AS65" s="1">
        <v>1.3338158599999999E-24</v>
      </c>
      <c r="AT65">
        <v>3</v>
      </c>
      <c r="AU65" t="s">
        <v>10</v>
      </c>
      <c r="AV65">
        <v>0</v>
      </c>
      <c r="AW65">
        <v>0</v>
      </c>
      <c r="AX65">
        <v>0</v>
      </c>
      <c r="AY65">
        <v>1</v>
      </c>
      <c r="AZ65">
        <v>0</v>
      </c>
      <c r="BA65" t="s">
        <v>27</v>
      </c>
      <c r="BB65" t="s">
        <v>4</v>
      </c>
      <c r="BC65" t="s">
        <v>10</v>
      </c>
      <c r="BD65">
        <v>0</v>
      </c>
      <c r="BE65">
        <v>0</v>
      </c>
      <c r="BF65">
        <v>0</v>
      </c>
      <c r="BG65">
        <v>0</v>
      </c>
      <c r="BH65">
        <v>0</v>
      </c>
      <c r="BI65" t="s">
        <v>9</v>
      </c>
      <c r="BJ65">
        <v>-4.4381999999999999E-4</v>
      </c>
      <c r="BK65">
        <v>0</v>
      </c>
      <c r="BL65">
        <v>-2.3180000000000002E-5</v>
      </c>
      <c r="BM65" s="2">
        <f t="shared" si="0"/>
        <v>8.0324269101930879E-6</v>
      </c>
    </row>
    <row r="66" spans="1:65" x14ac:dyDescent="0.35">
      <c r="A66">
        <v>0</v>
      </c>
      <c r="B66" t="s">
        <v>11</v>
      </c>
      <c r="C66" t="s">
        <v>4</v>
      </c>
      <c r="D66">
        <v>0</v>
      </c>
      <c r="E66" t="s">
        <v>3</v>
      </c>
      <c r="F66" t="s">
        <v>5</v>
      </c>
      <c r="G66">
        <v>4101.7500110000001</v>
      </c>
      <c r="H66" t="s">
        <v>4</v>
      </c>
      <c r="I66">
        <v>990.16341899999998</v>
      </c>
      <c r="J66">
        <v>3111.5865920000001</v>
      </c>
      <c r="K66" t="s">
        <v>6</v>
      </c>
      <c r="L66" t="s">
        <v>7</v>
      </c>
      <c r="M66" t="s">
        <v>8</v>
      </c>
      <c r="N66" t="s">
        <v>6</v>
      </c>
      <c r="O66" t="s">
        <v>3</v>
      </c>
      <c r="P66" t="s">
        <v>3</v>
      </c>
      <c r="Q66" t="s">
        <v>3</v>
      </c>
      <c r="R66" t="s">
        <v>3</v>
      </c>
      <c r="S66" t="s">
        <v>11</v>
      </c>
      <c r="T66" t="s">
        <v>7</v>
      </c>
      <c r="U66">
        <v>1</v>
      </c>
      <c r="V66">
        <v>0</v>
      </c>
      <c r="W66">
        <v>0</v>
      </c>
      <c r="X66">
        <v>1</v>
      </c>
      <c r="Y66">
        <v>0</v>
      </c>
      <c r="Z66" t="s">
        <v>23</v>
      </c>
      <c r="AA66" t="s">
        <v>4</v>
      </c>
      <c r="AB66" t="s">
        <v>6</v>
      </c>
      <c r="AC66" t="s">
        <v>7</v>
      </c>
      <c r="AD66" t="s">
        <v>8</v>
      </c>
      <c r="AE66" t="s">
        <v>6</v>
      </c>
      <c r="AF66" t="s">
        <v>3</v>
      </c>
      <c r="AG66" t="s">
        <v>3</v>
      </c>
      <c r="AH66" t="s">
        <v>3</v>
      </c>
      <c r="AI66" t="s">
        <v>3</v>
      </c>
      <c r="AJ66" t="s">
        <v>3</v>
      </c>
      <c r="AK66" t="s">
        <v>7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9</v>
      </c>
      <c r="AR66" s="1">
        <v>2.9195321199999999E-5</v>
      </c>
      <c r="AS66" s="1">
        <v>7.1256492099999998E-27</v>
      </c>
      <c r="AT66">
        <v>4</v>
      </c>
      <c r="AU66" t="s">
        <v>10</v>
      </c>
      <c r="AV66">
        <v>1</v>
      </c>
      <c r="AW66">
        <v>0</v>
      </c>
      <c r="AX66">
        <v>0</v>
      </c>
      <c r="AY66">
        <v>1</v>
      </c>
      <c r="AZ66">
        <v>0</v>
      </c>
      <c r="BA66" t="s">
        <v>23</v>
      </c>
      <c r="BB66" t="s">
        <v>4</v>
      </c>
      <c r="BC66" t="s">
        <v>10</v>
      </c>
      <c r="BD66">
        <v>0</v>
      </c>
      <c r="BE66">
        <v>0</v>
      </c>
      <c r="BF66">
        <v>0</v>
      </c>
      <c r="BG66">
        <v>0</v>
      </c>
      <c r="BH66">
        <v>0</v>
      </c>
      <c r="BI66" t="s">
        <v>9</v>
      </c>
      <c r="BJ66">
        <v>0</v>
      </c>
      <c r="BK66">
        <v>-2.9200000000000002E-5</v>
      </c>
      <c r="BL66">
        <v>0</v>
      </c>
      <c r="BM66" s="2">
        <f t="shared" ref="BM66:BM129" si="1">AS66*10^(-5)*6.0221408*10^(23)</f>
        <v>4.2911662834028767E-8</v>
      </c>
    </row>
    <row r="67" spans="1:65" x14ac:dyDescent="0.35">
      <c r="A67">
        <v>0</v>
      </c>
      <c r="B67" t="s">
        <v>11</v>
      </c>
      <c r="C67" t="s">
        <v>4</v>
      </c>
      <c r="D67">
        <v>0</v>
      </c>
      <c r="E67" t="s">
        <v>3</v>
      </c>
      <c r="F67" t="s">
        <v>5</v>
      </c>
      <c r="G67">
        <v>4828.5663000000004</v>
      </c>
      <c r="H67" t="s">
        <v>4</v>
      </c>
      <c r="I67">
        <v>990.16341899999998</v>
      </c>
      <c r="J67">
        <v>3838.402881</v>
      </c>
      <c r="K67" t="s">
        <v>6</v>
      </c>
      <c r="L67" t="s">
        <v>7</v>
      </c>
      <c r="M67" t="s">
        <v>8</v>
      </c>
      <c r="N67" t="s">
        <v>6</v>
      </c>
      <c r="O67" t="s">
        <v>3</v>
      </c>
      <c r="P67" t="s">
        <v>3</v>
      </c>
      <c r="Q67" t="s">
        <v>3</v>
      </c>
      <c r="R67" t="s">
        <v>3</v>
      </c>
      <c r="S67" t="s">
        <v>11</v>
      </c>
      <c r="T67" t="s">
        <v>7</v>
      </c>
      <c r="U67">
        <v>0</v>
      </c>
      <c r="V67">
        <v>1</v>
      </c>
      <c r="W67">
        <v>0</v>
      </c>
      <c r="X67">
        <v>3</v>
      </c>
      <c r="Y67">
        <v>0</v>
      </c>
      <c r="Z67" t="s">
        <v>12</v>
      </c>
      <c r="AA67" t="s">
        <v>4</v>
      </c>
      <c r="AB67" t="s">
        <v>6</v>
      </c>
      <c r="AC67" t="s">
        <v>7</v>
      </c>
      <c r="AD67" t="s">
        <v>8</v>
      </c>
      <c r="AE67" t="s">
        <v>6</v>
      </c>
      <c r="AF67" t="s">
        <v>3</v>
      </c>
      <c r="AG67" t="s">
        <v>3</v>
      </c>
      <c r="AH67" t="s">
        <v>3</v>
      </c>
      <c r="AI67" t="s">
        <v>3</v>
      </c>
      <c r="AJ67" t="s">
        <v>3</v>
      </c>
      <c r="AK67" t="s">
        <v>7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9</v>
      </c>
      <c r="AR67" s="1">
        <v>1.09651245E-5</v>
      </c>
      <c r="AS67" s="1">
        <v>1.2399205299999999E-27</v>
      </c>
      <c r="AT67">
        <v>3</v>
      </c>
      <c r="AU67" t="s">
        <v>10</v>
      </c>
      <c r="AV67">
        <v>0</v>
      </c>
      <c r="AW67">
        <v>1</v>
      </c>
      <c r="AX67">
        <v>0</v>
      </c>
      <c r="AY67">
        <v>3</v>
      </c>
      <c r="AZ67">
        <v>0</v>
      </c>
      <c r="BA67" t="s">
        <v>12</v>
      </c>
      <c r="BB67" t="s">
        <v>4</v>
      </c>
      <c r="BC67" t="s">
        <v>10</v>
      </c>
      <c r="BD67">
        <v>0</v>
      </c>
      <c r="BE67">
        <v>0</v>
      </c>
      <c r="BF67">
        <v>0</v>
      </c>
      <c r="BG67">
        <v>0</v>
      </c>
      <c r="BH67">
        <v>0</v>
      </c>
      <c r="BI67" t="s">
        <v>9</v>
      </c>
      <c r="BJ67">
        <v>0</v>
      </c>
      <c r="BK67">
        <v>-1.097E-5</v>
      </c>
      <c r="BL67">
        <v>0</v>
      </c>
      <c r="BM67" s="2">
        <f t="shared" si="1"/>
        <v>7.4669760124706218E-9</v>
      </c>
    </row>
    <row r="68" spans="1:65" x14ac:dyDescent="0.35">
      <c r="A68">
        <v>0</v>
      </c>
      <c r="B68" t="s">
        <v>3</v>
      </c>
      <c r="C68" t="s">
        <v>4</v>
      </c>
      <c r="D68">
        <v>0</v>
      </c>
      <c r="E68" t="s">
        <v>3</v>
      </c>
      <c r="F68" t="s">
        <v>5</v>
      </c>
      <c r="G68">
        <v>3899.2251350000001</v>
      </c>
      <c r="H68" t="s">
        <v>4</v>
      </c>
      <c r="I68">
        <v>990.16341899999998</v>
      </c>
      <c r="J68">
        <v>2909.0617160000002</v>
      </c>
      <c r="K68" t="s">
        <v>6</v>
      </c>
      <c r="L68" t="s">
        <v>7</v>
      </c>
      <c r="M68" t="s">
        <v>8</v>
      </c>
      <c r="N68" t="s">
        <v>6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7</v>
      </c>
      <c r="U68">
        <v>0</v>
      </c>
      <c r="V68">
        <v>0</v>
      </c>
      <c r="W68">
        <v>0</v>
      </c>
      <c r="X68">
        <v>6</v>
      </c>
      <c r="Y68">
        <v>0</v>
      </c>
      <c r="Z68" t="s">
        <v>15</v>
      </c>
      <c r="AA68" t="s">
        <v>4</v>
      </c>
      <c r="AB68" t="s">
        <v>6</v>
      </c>
      <c r="AC68" t="s">
        <v>7</v>
      </c>
      <c r="AD68" t="s">
        <v>8</v>
      </c>
      <c r="AE68" t="s">
        <v>6</v>
      </c>
      <c r="AF68" t="s">
        <v>3</v>
      </c>
      <c r="AG68" t="s">
        <v>3</v>
      </c>
      <c r="AH68" t="s">
        <v>3</v>
      </c>
      <c r="AI68" t="s">
        <v>3</v>
      </c>
      <c r="AJ68" t="s">
        <v>3</v>
      </c>
      <c r="AK68" t="s">
        <v>7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9</v>
      </c>
      <c r="AR68" s="1">
        <v>4.2941544800000002E-5</v>
      </c>
      <c r="AS68" s="1">
        <v>1.4411994299999999E-26</v>
      </c>
      <c r="AT68">
        <v>3</v>
      </c>
      <c r="AU68" t="s">
        <v>10</v>
      </c>
      <c r="AV68">
        <v>0</v>
      </c>
      <c r="AW68">
        <v>0</v>
      </c>
      <c r="AX68">
        <v>0</v>
      </c>
      <c r="AY68">
        <v>6</v>
      </c>
      <c r="AZ68">
        <v>0</v>
      </c>
      <c r="BA68" t="s">
        <v>15</v>
      </c>
      <c r="BB68" t="s">
        <v>4</v>
      </c>
      <c r="BC68" t="s">
        <v>10</v>
      </c>
      <c r="BD68">
        <v>0</v>
      </c>
      <c r="BE68">
        <v>0</v>
      </c>
      <c r="BF68">
        <v>0</v>
      </c>
      <c r="BG68">
        <v>0</v>
      </c>
      <c r="BH68">
        <v>0</v>
      </c>
      <c r="BI68" t="s">
        <v>9</v>
      </c>
      <c r="BJ68">
        <v>-4.2939999999999999E-5</v>
      </c>
      <c r="BK68">
        <v>0</v>
      </c>
      <c r="BL68">
        <v>4.4999999999999998E-7</v>
      </c>
      <c r="BM68" s="2">
        <f t="shared" si="1"/>
        <v>8.679105888339742E-8</v>
      </c>
    </row>
    <row r="69" spans="1:65" x14ac:dyDescent="0.35">
      <c r="A69">
        <v>0</v>
      </c>
      <c r="B69" t="s">
        <v>3</v>
      </c>
      <c r="C69" t="s">
        <v>4</v>
      </c>
      <c r="D69">
        <v>0</v>
      </c>
      <c r="E69" t="s">
        <v>3</v>
      </c>
      <c r="F69" t="s">
        <v>5</v>
      </c>
      <c r="G69">
        <v>4583.2773079999997</v>
      </c>
      <c r="H69" t="s">
        <v>4</v>
      </c>
      <c r="I69">
        <v>990.16341899999998</v>
      </c>
      <c r="J69">
        <v>3593.1138890000002</v>
      </c>
      <c r="K69" t="s">
        <v>6</v>
      </c>
      <c r="L69" t="s">
        <v>7</v>
      </c>
      <c r="M69" t="s">
        <v>8</v>
      </c>
      <c r="N69" t="s">
        <v>6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7</v>
      </c>
      <c r="U69">
        <v>0</v>
      </c>
      <c r="V69">
        <v>0</v>
      </c>
      <c r="W69">
        <v>0</v>
      </c>
      <c r="X69">
        <v>6</v>
      </c>
      <c r="Y69">
        <v>0</v>
      </c>
      <c r="Z69" t="s">
        <v>24</v>
      </c>
      <c r="AA69" t="s">
        <v>4</v>
      </c>
      <c r="AB69" t="s">
        <v>6</v>
      </c>
      <c r="AC69" t="s">
        <v>7</v>
      </c>
      <c r="AD69" t="s">
        <v>8</v>
      </c>
      <c r="AE69" t="s">
        <v>6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7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9</v>
      </c>
      <c r="AR69" s="1">
        <v>1.4984705900000001E-5</v>
      </c>
      <c r="AS69" s="1">
        <v>2.1676221500000001E-27</v>
      </c>
      <c r="AT69">
        <v>4</v>
      </c>
      <c r="AU69" t="s">
        <v>10</v>
      </c>
      <c r="AV69">
        <v>0</v>
      </c>
      <c r="AW69">
        <v>0</v>
      </c>
      <c r="AX69">
        <v>0</v>
      </c>
      <c r="AY69">
        <v>6</v>
      </c>
      <c r="AZ69">
        <v>0</v>
      </c>
      <c r="BA69" t="s">
        <v>24</v>
      </c>
      <c r="BB69" t="s">
        <v>4</v>
      </c>
      <c r="BC69" t="s">
        <v>10</v>
      </c>
      <c r="BD69">
        <v>0</v>
      </c>
      <c r="BE69">
        <v>0</v>
      </c>
      <c r="BF69">
        <v>0</v>
      </c>
      <c r="BG69">
        <v>0</v>
      </c>
      <c r="BH69">
        <v>0</v>
      </c>
      <c r="BI69" t="s">
        <v>9</v>
      </c>
      <c r="BJ69">
        <v>1.147E-5</v>
      </c>
      <c r="BK69">
        <v>0</v>
      </c>
      <c r="BL69">
        <v>9.6500000000000008E-6</v>
      </c>
      <c r="BM69" s="2">
        <f t="shared" si="1"/>
        <v>1.3053725788498721E-8</v>
      </c>
    </row>
    <row r="70" spans="1:65" x14ac:dyDescent="0.35">
      <c r="A70">
        <v>0</v>
      </c>
      <c r="B70" t="s">
        <v>11</v>
      </c>
      <c r="C70" t="s">
        <v>4</v>
      </c>
      <c r="D70">
        <v>0</v>
      </c>
      <c r="E70" t="s">
        <v>3</v>
      </c>
      <c r="F70" t="s">
        <v>5</v>
      </c>
      <c r="G70">
        <v>3123.7455209999998</v>
      </c>
      <c r="H70" t="s">
        <v>4</v>
      </c>
      <c r="I70">
        <v>990.16341899999998</v>
      </c>
      <c r="J70">
        <v>2133.5821019999998</v>
      </c>
      <c r="K70" t="s">
        <v>6</v>
      </c>
      <c r="L70" t="s">
        <v>7</v>
      </c>
      <c r="M70" t="s">
        <v>8</v>
      </c>
      <c r="N70" t="s">
        <v>6</v>
      </c>
      <c r="O70" t="s">
        <v>3</v>
      </c>
      <c r="P70" t="s">
        <v>3</v>
      </c>
      <c r="Q70" t="s">
        <v>3</v>
      </c>
      <c r="R70" t="s">
        <v>3</v>
      </c>
      <c r="S70" t="s">
        <v>11</v>
      </c>
      <c r="T70" t="s">
        <v>7</v>
      </c>
      <c r="U70">
        <v>2</v>
      </c>
      <c r="V70">
        <v>0</v>
      </c>
      <c r="W70">
        <v>0</v>
      </c>
      <c r="X70">
        <v>0</v>
      </c>
      <c r="Y70">
        <v>0</v>
      </c>
      <c r="Z70" t="s">
        <v>14</v>
      </c>
      <c r="AA70" t="s">
        <v>4</v>
      </c>
      <c r="AB70" t="s">
        <v>6</v>
      </c>
      <c r="AC70" t="s">
        <v>7</v>
      </c>
      <c r="AD70" t="s">
        <v>8</v>
      </c>
      <c r="AE70" t="s">
        <v>6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7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9</v>
      </c>
      <c r="AR70" s="1">
        <v>4.9374913900000002E-4</v>
      </c>
      <c r="AS70" s="1">
        <v>1.39740932E-24</v>
      </c>
      <c r="AT70">
        <v>4</v>
      </c>
      <c r="AU70" t="s">
        <v>10</v>
      </c>
      <c r="AV70">
        <v>2</v>
      </c>
      <c r="AW70">
        <v>0</v>
      </c>
      <c r="AX70">
        <v>0</v>
      </c>
      <c r="AY70">
        <v>0</v>
      </c>
      <c r="AZ70">
        <v>0</v>
      </c>
      <c r="BA70" t="s">
        <v>14</v>
      </c>
      <c r="BB70" t="s">
        <v>4</v>
      </c>
      <c r="BC70" t="s">
        <v>10</v>
      </c>
      <c r="BD70">
        <v>0</v>
      </c>
      <c r="BE70">
        <v>0</v>
      </c>
      <c r="BF70">
        <v>0</v>
      </c>
      <c r="BG70">
        <v>0</v>
      </c>
      <c r="BH70">
        <v>0</v>
      </c>
      <c r="BI70" t="s">
        <v>9</v>
      </c>
      <c r="BJ70">
        <v>0</v>
      </c>
      <c r="BK70">
        <v>4.9375000000000005E-4</v>
      </c>
      <c r="BL70">
        <v>0</v>
      </c>
      <c r="BM70" s="2">
        <f t="shared" si="1"/>
        <v>8.4153956802722554E-6</v>
      </c>
    </row>
    <row r="71" spans="1:65" x14ac:dyDescent="0.35">
      <c r="A71">
        <v>0</v>
      </c>
      <c r="B71" t="s">
        <v>11</v>
      </c>
      <c r="C71" t="s">
        <v>4</v>
      </c>
      <c r="D71">
        <v>0</v>
      </c>
      <c r="E71" t="s">
        <v>3</v>
      </c>
      <c r="F71" t="s">
        <v>5</v>
      </c>
      <c r="G71">
        <v>2638.3019340000001</v>
      </c>
      <c r="H71" t="s">
        <v>4</v>
      </c>
      <c r="I71">
        <v>990.16341899999998</v>
      </c>
      <c r="J71">
        <v>1648.1385150000001</v>
      </c>
      <c r="K71" t="s">
        <v>6</v>
      </c>
      <c r="L71" t="s">
        <v>7</v>
      </c>
      <c r="M71" t="s">
        <v>8</v>
      </c>
      <c r="N71" t="s">
        <v>6</v>
      </c>
      <c r="O71" t="s">
        <v>3</v>
      </c>
      <c r="P71" t="s">
        <v>3</v>
      </c>
      <c r="Q71" t="s">
        <v>3</v>
      </c>
      <c r="R71" t="s">
        <v>3</v>
      </c>
      <c r="S71" t="s">
        <v>11</v>
      </c>
      <c r="T71" t="s">
        <v>7</v>
      </c>
      <c r="U71">
        <v>0</v>
      </c>
      <c r="V71">
        <v>0</v>
      </c>
      <c r="W71">
        <v>0</v>
      </c>
      <c r="X71">
        <v>1</v>
      </c>
      <c r="Y71">
        <v>0</v>
      </c>
      <c r="Z71" t="s">
        <v>19</v>
      </c>
      <c r="AA71" t="s">
        <v>4</v>
      </c>
      <c r="AB71" t="s">
        <v>6</v>
      </c>
      <c r="AC71" t="s">
        <v>7</v>
      </c>
      <c r="AD71" t="s">
        <v>8</v>
      </c>
      <c r="AE71" t="s">
        <v>6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7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9</v>
      </c>
      <c r="AR71" s="1">
        <v>1.16002557E-3</v>
      </c>
      <c r="AS71" s="1">
        <v>5.9565244800000002E-24</v>
      </c>
      <c r="AT71">
        <v>3</v>
      </c>
      <c r="AU71" t="s">
        <v>10</v>
      </c>
      <c r="AV71">
        <v>0</v>
      </c>
      <c r="AW71">
        <v>0</v>
      </c>
      <c r="AX71">
        <v>0</v>
      </c>
      <c r="AY71">
        <v>1</v>
      </c>
      <c r="AZ71">
        <v>0</v>
      </c>
      <c r="BA71" t="s">
        <v>19</v>
      </c>
      <c r="BB71" t="s">
        <v>4</v>
      </c>
      <c r="BC71" t="s">
        <v>10</v>
      </c>
      <c r="BD71">
        <v>0</v>
      </c>
      <c r="BE71">
        <v>0</v>
      </c>
      <c r="BF71">
        <v>0</v>
      </c>
      <c r="BG71">
        <v>0</v>
      </c>
      <c r="BH71">
        <v>0</v>
      </c>
      <c r="BI71" t="s">
        <v>9</v>
      </c>
      <c r="BJ71">
        <v>0</v>
      </c>
      <c r="BK71">
        <v>-1.16003E-3</v>
      </c>
      <c r="BL71">
        <v>0</v>
      </c>
      <c r="BM71" s="2">
        <f t="shared" si="1"/>
        <v>3.5871029097206784E-5</v>
      </c>
    </row>
    <row r="72" spans="1:65" x14ac:dyDescent="0.35">
      <c r="A72">
        <v>0</v>
      </c>
      <c r="B72" t="s">
        <v>11</v>
      </c>
      <c r="C72" t="s">
        <v>4</v>
      </c>
      <c r="D72">
        <v>0</v>
      </c>
      <c r="E72" t="s">
        <v>3</v>
      </c>
      <c r="F72" t="s">
        <v>5</v>
      </c>
      <c r="G72">
        <v>3985.6120380000002</v>
      </c>
      <c r="H72" t="s">
        <v>4</v>
      </c>
      <c r="I72">
        <v>990.16341899999998</v>
      </c>
      <c r="J72">
        <v>2995.4486189999998</v>
      </c>
      <c r="K72" t="s">
        <v>6</v>
      </c>
      <c r="L72" t="s">
        <v>7</v>
      </c>
      <c r="M72" t="s">
        <v>8</v>
      </c>
      <c r="N72" t="s">
        <v>6</v>
      </c>
      <c r="O72" t="s">
        <v>3</v>
      </c>
      <c r="P72" t="s">
        <v>3</v>
      </c>
      <c r="Q72" t="s">
        <v>3</v>
      </c>
      <c r="R72" t="s">
        <v>3</v>
      </c>
      <c r="S72" t="s">
        <v>11</v>
      </c>
      <c r="T72" t="s">
        <v>7</v>
      </c>
      <c r="U72">
        <v>0</v>
      </c>
      <c r="V72">
        <v>2</v>
      </c>
      <c r="W72">
        <v>0</v>
      </c>
      <c r="X72">
        <v>0</v>
      </c>
      <c r="Y72">
        <v>0</v>
      </c>
      <c r="Z72" t="s">
        <v>14</v>
      </c>
      <c r="AA72" t="s">
        <v>4</v>
      </c>
      <c r="AB72" t="s">
        <v>6</v>
      </c>
      <c r="AC72" t="s">
        <v>7</v>
      </c>
      <c r="AD72" t="s">
        <v>8</v>
      </c>
      <c r="AE72" t="s">
        <v>6</v>
      </c>
      <c r="AF72" t="s">
        <v>3</v>
      </c>
      <c r="AG72" t="s">
        <v>3</v>
      </c>
      <c r="AH72" t="s">
        <v>3</v>
      </c>
      <c r="AI72" t="s">
        <v>3</v>
      </c>
      <c r="AJ72" t="s">
        <v>3</v>
      </c>
      <c r="AK72" t="s">
        <v>7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9</v>
      </c>
      <c r="AR72" s="1">
        <v>5.2235023E-5</v>
      </c>
      <c r="AS72" s="1">
        <v>2.1958435299999999E-26</v>
      </c>
      <c r="AT72">
        <v>3</v>
      </c>
      <c r="AU72" t="s">
        <v>10</v>
      </c>
      <c r="AV72">
        <v>0</v>
      </c>
      <c r="AW72">
        <v>2</v>
      </c>
      <c r="AX72">
        <v>0</v>
      </c>
      <c r="AY72">
        <v>0</v>
      </c>
      <c r="AZ72">
        <v>0</v>
      </c>
      <c r="BA72" t="s">
        <v>14</v>
      </c>
      <c r="BB72" t="s">
        <v>4</v>
      </c>
      <c r="BC72" t="s">
        <v>10</v>
      </c>
      <c r="BD72">
        <v>0</v>
      </c>
      <c r="BE72">
        <v>0</v>
      </c>
      <c r="BF72">
        <v>0</v>
      </c>
      <c r="BG72">
        <v>0</v>
      </c>
      <c r="BH72">
        <v>0</v>
      </c>
      <c r="BI72" t="s">
        <v>9</v>
      </c>
      <c r="BJ72">
        <v>0</v>
      </c>
      <c r="BK72">
        <v>5.2240000000000001E-5</v>
      </c>
      <c r="BL72">
        <v>0</v>
      </c>
      <c r="BM72" s="2">
        <f t="shared" si="1"/>
        <v>1.3223678912429022E-7</v>
      </c>
    </row>
    <row r="73" spans="1:65" x14ac:dyDescent="0.35">
      <c r="A73">
        <v>0</v>
      </c>
      <c r="B73" t="s">
        <v>11</v>
      </c>
      <c r="C73" t="s">
        <v>4</v>
      </c>
      <c r="D73">
        <v>0</v>
      </c>
      <c r="E73" t="s">
        <v>3</v>
      </c>
      <c r="F73" t="s">
        <v>5</v>
      </c>
      <c r="G73">
        <v>3366.108753</v>
      </c>
      <c r="H73" t="s">
        <v>4</v>
      </c>
      <c r="I73">
        <v>990.16341899999998</v>
      </c>
      <c r="J73">
        <v>2375.945334</v>
      </c>
      <c r="K73" t="s">
        <v>6</v>
      </c>
      <c r="L73" t="s">
        <v>7</v>
      </c>
      <c r="M73" t="s">
        <v>8</v>
      </c>
      <c r="N73" t="s">
        <v>6</v>
      </c>
      <c r="O73" t="s">
        <v>3</v>
      </c>
      <c r="P73" t="s">
        <v>3</v>
      </c>
      <c r="Q73" t="s">
        <v>3</v>
      </c>
      <c r="R73" t="s">
        <v>3</v>
      </c>
      <c r="S73" t="s">
        <v>11</v>
      </c>
      <c r="T73" t="s">
        <v>7</v>
      </c>
      <c r="U73">
        <v>0</v>
      </c>
      <c r="V73">
        <v>1</v>
      </c>
      <c r="W73">
        <v>0</v>
      </c>
      <c r="X73">
        <v>4</v>
      </c>
      <c r="Y73">
        <v>0</v>
      </c>
      <c r="Z73" t="s">
        <v>18</v>
      </c>
      <c r="AA73" t="s">
        <v>4</v>
      </c>
      <c r="AB73" t="s">
        <v>6</v>
      </c>
      <c r="AC73" t="s">
        <v>7</v>
      </c>
      <c r="AD73" t="s">
        <v>8</v>
      </c>
      <c r="AE73" t="s">
        <v>6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7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9</v>
      </c>
      <c r="AR73" s="1">
        <v>5.9182819600000004E-6</v>
      </c>
      <c r="AS73" s="1">
        <v>2.23583311E-28</v>
      </c>
      <c r="AT73">
        <v>4</v>
      </c>
      <c r="AU73" t="s">
        <v>10</v>
      </c>
      <c r="AV73">
        <v>0</v>
      </c>
      <c r="AW73">
        <v>1</v>
      </c>
      <c r="AX73">
        <v>0</v>
      </c>
      <c r="AY73">
        <v>4</v>
      </c>
      <c r="AZ73">
        <v>0</v>
      </c>
      <c r="BA73" t="s">
        <v>18</v>
      </c>
      <c r="BB73" t="s">
        <v>4</v>
      </c>
      <c r="BC73" t="s">
        <v>10</v>
      </c>
      <c r="BD73">
        <v>0</v>
      </c>
      <c r="BE73">
        <v>0</v>
      </c>
      <c r="BF73">
        <v>0</v>
      </c>
      <c r="BG73">
        <v>0</v>
      </c>
      <c r="BH73">
        <v>0</v>
      </c>
      <c r="BI73" t="s">
        <v>9</v>
      </c>
      <c r="BJ73">
        <v>0</v>
      </c>
      <c r="BK73">
        <v>5.9200000000000001E-6</v>
      </c>
      <c r="BL73">
        <v>0</v>
      </c>
      <c r="BM73" s="2">
        <f t="shared" si="1"/>
        <v>1.3464501793721887E-9</v>
      </c>
    </row>
    <row r="74" spans="1:65" x14ac:dyDescent="0.35">
      <c r="A74">
        <v>0</v>
      </c>
      <c r="B74" t="s">
        <v>3</v>
      </c>
      <c r="C74" t="s">
        <v>4</v>
      </c>
      <c r="D74">
        <v>0</v>
      </c>
      <c r="E74" t="s">
        <v>3</v>
      </c>
      <c r="F74" t="s">
        <v>5</v>
      </c>
      <c r="G74">
        <v>4501.438913</v>
      </c>
      <c r="H74" t="s">
        <v>4</v>
      </c>
      <c r="I74">
        <v>990.16341899999998</v>
      </c>
      <c r="J74">
        <v>3511.275494</v>
      </c>
      <c r="K74" t="s">
        <v>6</v>
      </c>
      <c r="L74" t="s">
        <v>7</v>
      </c>
      <c r="M74" t="s">
        <v>8</v>
      </c>
      <c r="N74" t="s">
        <v>6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7</v>
      </c>
      <c r="U74">
        <v>0</v>
      </c>
      <c r="V74">
        <v>0</v>
      </c>
      <c r="W74">
        <v>0</v>
      </c>
      <c r="X74">
        <v>4</v>
      </c>
      <c r="Y74">
        <v>0</v>
      </c>
      <c r="Z74" t="s">
        <v>22</v>
      </c>
      <c r="AA74" t="s">
        <v>4</v>
      </c>
      <c r="AB74" t="s">
        <v>6</v>
      </c>
      <c r="AC74" t="s">
        <v>7</v>
      </c>
      <c r="AD74" t="s">
        <v>8</v>
      </c>
      <c r="AE74" t="s">
        <v>6</v>
      </c>
      <c r="AF74" t="s">
        <v>3</v>
      </c>
      <c r="AG74" t="s">
        <v>3</v>
      </c>
      <c r="AH74" t="s">
        <v>3</v>
      </c>
      <c r="AI74" t="s">
        <v>3</v>
      </c>
      <c r="AJ74" t="s">
        <v>3</v>
      </c>
      <c r="AK74" t="s">
        <v>7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9</v>
      </c>
      <c r="AR74" s="1">
        <v>7.0567032999999994E-5</v>
      </c>
      <c r="AS74" s="1">
        <v>4.6976944500000001E-26</v>
      </c>
      <c r="AT74">
        <v>3</v>
      </c>
      <c r="AU74" t="s">
        <v>10</v>
      </c>
      <c r="AV74">
        <v>0</v>
      </c>
      <c r="AW74">
        <v>0</v>
      </c>
      <c r="AX74">
        <v>0</v>
      </c>
      <c r="AY74">
        <v>4</v>
      </c>
      <c r="AZ74">
        <v>0</v>
      </c>
      <c r="BA74" t="s">
        <v>22</v>
      </c>
      <c r="BB74" t="s">
        <v>4</v>
      </c>
      <c r="BC74" t="s">
        <v>10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9</v>
      </c>
      <c r="BJ74">
        <v>6.4900000000000005E-5</v>
      </c>
      <c r="BK74">
        <v>0</v>
      </c>
      <c r="BL74">
        <v>-2.7699999999999999E-5</v>
      </c>
      <c r="BM74" s="2">
        <f t="shared" si="1"/>
        <v>2.829017741327856E-7</v>
      </c>
    </row>
    <row r="75" spans="1:65" x14ac:dyDescent="0.35">
      <c r="A75">
        <v>0</v>
      </c>
      <c r="B75" t="s">
        <v>11</v>
      </c>
      <c r="C75" t="s">
        <v>4</v>
      </c>
      <c r="D75">
        <v>0</v>
      </c>
      <c r="E75" t="s">
        <v>3</v>
      </c>
      <c r="F75" t="s">
        <v>5</v>
      </c>
      <c r="G75">
        <v>2190.9669680000002</v>
      </c>
      <c r="H75" t="s">
        <v>4</v>
      </c>
      <c r="I75">
        <v>990.16341899999998</v>
      </c>
      <c r="J75">
        <v>1200.803549</v>
      </c>
      <c r="K75" t="s">
        <v>6</v>
      </c>
      <c r="L75" t="s">
        <v>7</v>
      </c>
      <c r="M75" t="s">
        <v>8</v>
      </c>
      <c r="N75" t="s">
        <v>6</v>
      </c>
      <c r="O75" t="s">
        <v>3</v>
      </c>
      <c r="P75" t="s">
        <v>3</v>
      </c>
      <c r="Q75" t="s">
        <v>3</v>
      </c>
      <c r="R75" t="s">
        <v>3</v>
      </c>
      <c r="S75" t="s">
        <v>11</v>
      </c>
      <c r="T75" t="s">
        <v>7</v>
      </c>
      <c r="U75">
        <v>0</v>
      </c>
      <c r="V75">
        <v>0</v>
      </c>
      <c r="W75">
        <v>0</v>
      </c>
      <c r="X75">
        <v>0</v>
      </c>
      <c r="Y75">
        <v>1</v>
      </c>
      <c r="Z75" t="s">
        <v>13</v>
      </c>
      <c r="AA75" t="s">
        <v>4</v>
      </c>
      <c r="AB75" t="s">
        <v>6</v>
      </c>
      <c r="AC75" t="s">
        <v>7</v>
      </c>
      <c r="AD75" t="s">
        <v>8</v>
      </c>
      <c r="AE75" t="s">
        <v>6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7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9</v>
      </c>
      <c r="AR75" s="1">
        <v>1.37447139E-4</v>
      </c>
      <c r="AS75" s="1">
        <v>6.0763038499999997E-26</v>
      </c>
      <c r="AT75">
        <v>3</v>
      </c>
      <c r="AU75" t="s">
        <v>10</v>
      </c>
      <c r="AV75">
        <v>0</v>
      </c>
      <c r="AW75">
        <v>0</v>
      </c>
      <c r="AX75">
        <v>0</v>
      </c>
      <c r="AY75">
        <v>0</v>
      </c>
      <c r="AZ75">
        <v>1</v>
      </c>
      <c r="BA75" t="s">
        <v>13</v>
      </c>
      <c r="BB75" t="s">
        <v>4</v>
      </c>
      <c r="BC75" t="s">
        <v>10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9</v>
      </c>
      <c r="BJ75">
        <v>0</v>
      </c>
      <c r="BK75">
        <v>-1.3745000000000001E-4</v>
      </c>
      <c r="BL75">
        <v>0</v>
      </c>
      <c r="BM75" s="2">
        <f t="shared" si="1"/>
        <v>3.6592357328282078E-7</v>
      </c>
    </row>
    <row r="76" spans="1:65" x14ac:dyDescent="0.35">
      <c r="A76">
        <v>0</v>
      </c>
      <c r="B76" t="s">
        <v>11</v>
      </c>
      <c r="C76" t="s">
        <v>4</v>
      </c>
      <c r="D76">
        <v>0</v>
      </c>
      <c r="E76" t="s">
        <v>3</v>
      </c>
      <c r="F76" t="s">
        <v>5</v>
      </c>
      <c r="G76">
        <v>4651.8658310000001</v>
      </c>
      <c r="H76" t="s">
        <v>4</v>
      </c>
      <c r="I76">
        <v>990.16341899999998</v>
      </c>
      <c r="J76">
        <v>3661.7024120000001</v>
      </c>
      <c r="K76" t="s">
        <v>6</v>
      </c>
      <c r="L76" t="s">
        <v>7</v>
      </c>
      <c r="M76" t="s">
        <v>8</v>
      </c>
      <c r="N76" t="s">
        <v>6</v>
      </c>
      <c r="O76" t="s">
        <v>3</v>
      </c>
      <c r="P76" t="s">
        <v>3</v>
      </c>
      <c r="Q76" t="s">
        <v>3</v>
      </c>
      <c r="R76" t="s">
        <v>3</v>
      </c>
      <c r="S76" t="s">
        <v>11</v>
      </c>
      <c r="T76" t="s">
        <v>7</v>
      </c>
      <c r="U76">
        <v>0</v>
      </c>
      <c r="V76">
        <v>1</v>
      </c>
      <c r="W76">
        <v>0</v>
      </c>
      <c r="X76">
        <v>2</v>
      </c>
      <c r="Y76">
        <v>1</v>
      </c>
      <c r="Z76" t="s">
        <v>13</v>
      </c>
      <c r="AA76" t="s">
        <v>4</v>
      </c>
      <c r="AB76" t="s">
        <v>6</v>
      </c>
      <c r="AC76" t="s">
        <v>7</v>
      </c>
      <c r="AD76" t="s">
        <v>8</v>
      </c>
      <c r="AE76" t="s">
        <v>6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7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9</v>
      </c>
      <c r="AR76" s="1">
        <v>7.6633451099999995E-6</v>
      </c>
      <c r="AS76" s="1">
        <v>5.7774469700000001E-28</v>
      </c>
      <c r="AT76">
        <v>4</v>
      </c>
      <c r="AU76" t="s">
        <v>10</v>
      </c>
      <c r="AV76">
        <v>0</v>
      </c>
      <c r="AW76">
        <v>1</v>
      </c>
      <c r="AX76">
        <v>0</v>
      </c>
      <c r="AY76">
        <v>2</v>
      </c>
      <c r="AZ76">
        <v>1</v>
      </c>
      <c r="BA76" t="s">
        <v>13</v>
      </c>
      <c r="BB76" t="s">
        <v>4</v>
      </c>
      <c r="BC76" t="s">
        <v>10</v>
      </c>
      <c r="BD76">
        <v>0</v>
      </c>
      <c r="BE76">
        <v>0</v>
      </c>
      <c r="BF76">
        <v>0</v>
      </c>
      <c r="BG76">
        <v>0</v>
      </c>
      <c r="BH76">
        <v>0</v>
      </c>
      <c r="BI76" t="s">
        <v>9</v>
      </c>
      <c r="BJ76">
        <v>0</v>
      </c>
      <c r="BK76">
        <v>-7.6599999999999995E-6</v>
      </c>
      <c r="BL76">
        <v>0</v>
      </c>
      <c r="BM76" s="2">
        <f t="shared" si="1"/>
        <v>3.4792599117873376E-9</v>
      </c>
    </row>
    <row r="77" spans="1:65" x14ac:dyDescent="0.35">
      <c r="A77">
        <v>0</v>
      </c>
      <c r="B77" t="s">
        <v>3</v>
      </c>
      <c r="C77" t="s">
        <v>4</v>
      </c>
      <c r="D77">
        <v>0</v>
      </c>
      <c r="E77" t="s">
        <v>3</v>
      </c>
      <c r="F77" t="s">
        <v>5</v>
      </c>
      <c r="G77">
        <v>4778.9117269999997</v>
      </c>
      <c r="H77" t="s">
        <v>4</v>
      </c>
      <c r="I77">
        <v>990.16341899999998</v>
      </c>
      <c r="J77">
        <v>3788.7483080000002</v>
      </c>
      <c r="K77" t="s">
        <v>6</v>
      </c>
      <c r="L77" t="s">
        <v>7</v>
      </c>
      <c r="M77" t="s">
        <v>8</v>
      </c>
      <c r="N77" t="s">
        <v>6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7</v>
      </c>
      <c r="U77">
        <v>3</v>
      </c>
      <c r="V77">
        <v>0</v>
      </c>
      <c r="W77">
        <v>0</v>
      </c>
      <c r="X77">
        <v>1</v>
      </c>
      <c r="Y77">
        <v>0</v>
      </c>
      <c r="Z77" t="s">
        <v>21</v>
      </c>
      <c r="AA77" t="s">
        <v>4</v>
      </c>
      <c r="AB77" t="s">
        <v>6</v>
      </c>
      <c r="AC77" t="s">
        <v>7</v>
      </c>
      <c r="AD77" t="s">
        <v>8</v>
      </c>
      <c r="AE77" t="s">
        <v>6</v>
      </c>
      <c r="AF77" t="s">
        <v>3</v>
      </c>
      <c r="AG77" t="s">
        <v>3</v>
      </c>
      <c r="AH77" t="s">
        <v>3</v>
      </c>
      <c r="AI77" t="s">
        <v>3</v>
      </c>
      <c r="AJ77" t="s">
        <v>3</v>
      </c>
      <c r="AK77" t="s">
        <v>7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9</v>
      </c>
      <c r="AR77" s="1">
        <v>4.7441836199999999E-5</v>
      </c>
      <c r="AS77" s="1">
        <v>2.2910517200000001E-26</v>
      </c>
      <c r="AT77">
        <v>4</v>
      </c>
      <c r="AU77" t="s">
        <v>10</v>
      </c>
      <c r="AV77">
        <v>3</v>
      </c>
      <c r="AW77">
        <v>0</v>
      </c>
      <c r="AX77">
        <v>0</v>
      </c>
      <c r="AY77">
        <v>1</v>
      </c>
      <c r="AZ77">
        <v>0</v>
      </c>
      <c r="BA77" t="s">
        <v>21</v>
      </c>
      <c r="BB77" t="s">
        <v>4</v>
      </c>
      <c r="BC77" t="s">
        <v>10</v>
      </c>
      <c r="BD77">
        <v>0</v>
      </c>
      <c r="BE77">
        <v>0</v>
      </c>
      <c r="BF77">
        <v>0</v>
      </c>
      <c r="BG77">
        <v>0</v>
      </c>
      <c r="BH77">
        <v>0</v>
      </c>
      <c r="BI77" t="s">
        <v>9</v>
      </c>
      <c r="BJ77">
        <v>-2.6590000000000001E-5</v>
      </c>
      <c r="BK77">
        <v>0</v>
      </c>
      <c r="BL77">
        <v>3.9289999999999998E-5</v>
      </c>
      <c r="BM77" s="2">
        <f t="shared" si="1"/>
        <v>1.3797036037922175E-7</v>
      </c>
    </row>
    <row r="78" spans="1:65" x14ac:dyDescent="0.35">
      <c r="A78">
        <v>0</v>
      </c>
      <c r="B78" t="s">
        <v>11</v>
      </c>
      <c r="C78" t="s">
        <v>4</v>
      </c>
      <c r="D78">
        <v>0</v>
      </c>
      <c r="E78" t="s">
        <v>3</v>
      </c>
      <c r="F78" t="s">
        <v>5</v>
      </c>
      <c r="G78">
        <v>2932.7158789999999</v>
      </c>
      <c r="H78" t="s">
        <v>4</v>
      </c>
      <c r="I78">
        <v>990.16341899999998</v>
      </c>
      <c r="J78">
        <v>1942.5524600000001</v>
      </c>
      <c r="K78" t="s">
        <v>6</v>
      </c>
      <c r="L78" t="s">
        <v>7</v>
      </c>
      <c r="M78" t="s">
        <v>8</v>
      </c>
      <c r="N78" t="s">
        <v>6</v>
      </c>
      <c r="O78" t="s">
        <v>3</v>
      </c>
      <c r="P78" t="s">
        <v>3</v>
      </c>
      <c r="Q78" t="s">
        <v>3</v>
      </c>
      <c r="R78" t="s">
        <v>3</v>
      </c>
      <c r="S78" t="s">
        <v>11</v>
      </c>
      <c r="T78" t="s">
        <v>7</v>
      </c>
      <c r="U78">
        <v>0</v>
      </c>
      <c r="V78">
        <v>0</v>
      </c>
      <c r="W78">
        <v>0</v>
      </c>
      <c r="X78">
        <v>6</v>
      </c>
      <c r="Y78">
        <v>0</v>
      </c>
      <c r="Z78" t="s">
        <v>18</v>
      </c>
      <c r="AA78" t="s">
        <v>4</v>
      </c>
      <c r="AB78" t="s">
        <v>6</v>
      </c>
      <c r="AC78" t="s">
        <v>7</v>
      </c>
      <c r="AD78" t="s">
        <v>8</v>
      </c>
      <c r="AE78" t="s">
        <v>6</v>
      </c>
      <c r="AF78" t="s">
        <v>3</v>
      </c>
      <c r="AG78" t="s">
        <v>3</v>
      </c>
      <c r="AH78" t="s">
        <v>3</v>
      </c>
      <c r="AI78" t="s">
        <v>3</v>
      </c>
      <c r="AJ78" t="s">
        <v>3</v>
      </c>
      <c r="AK78" t="s">
        <v>7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9</v>
      </c>
      <c r="AR78" s="1">
        <v>1.13462018E-6</v>
      </c>
      <c r="AS78" s="1">
        <v>6.7182045999999999E-30</v>
      </c>
      <c r="AT78">
        <v>4</v>
      </c>
      <c r="AU78" t="s">
        <v>10</v>
      </c>
      <c r="AV78">
        <v>0</v>
      </c>
      <c r="AW78">
        <v>0</v>
      </c>
      <c r="AX78">
        <v>0</v>
      </c>
      <c r="AY78">
        <v>6</v>
      </c>
      <c r="AZ78">
        <v>0</v>
      </c>
      <c r="BA78" t="s">
        <v>18</v>
      </c>
      <c r="BB78" t="s">
        <v>4</v>
      </c>
      <c r="BC78" t="s">
        <v>10</v>
      </c>
      <c r="BD78">
        <v>0</v>
      </c>
      <c r="BE78">
        <v>0</v>
      </c>
      <c r="BF78">
        <v>0</v>
      </c>
      <c r="BG78">
        <v>0</v>
      </c>
      <c r="BH78">
        <v>0</v>
      </c>
      <c r="BI78" t="s">
        <v>9</v>
      </c>
      <c r="BJ78">
        <v>0</v>
      </c>
      <c r="BK78">
        <v>1.13E-6</v>
      </c>
      <c r="BL78">
        <v>0</v>
      </c>
      <c r="BM78" s="2">
        <f t="shared" si="1"/>
        <v>4.0457974024407678E-11</v>
      </c>
    </row>
    <row r="79" spans="1:65" x14ac:dyDescent="0.35">
      <c r="A79">
        <v>0</v>
      </c>
      <c r="B79" t="s">
        <v>11</v>
      </c>
      <c r="C79" t="s">
        <v>4</v>
      </c>
      <c r="D79">
        <v>0</v>
      </c>
      <c r="E79" t="s">
        <v>3</v>
      </c>
      <c r="F79" t="s">
        <v>5</v>
      </c>
      <c r="G79">
        <v>4287.7207200000003</v>
      </c>
      <c r="H79" t="s">
        <v>4</v>
      </c>
      <c r="I79">
        <v>990.16341899999998</v>
      </c>
      <c r="J79">
        <v>3297.5573009999998</v>
      </c>
      <c r="K79" t="s">
        <v>6</v>
      </c>
      <c r="L79" t="s">
        <v>7</v>
      </c>
      <c r="M79" t="s">
        <v>8</v>
      </c>
      <c r="N79" t="s">
        <v>6</v>
      </c>
      <c r="O79" t="s">
        <v>3</v>
      </c>
      <c r="P79" t="s">
        <v>3</v>
      </c>
      <c r="Q79" t="s">
        <v>3</v>
      </c>
      <c r="R79" t="s">
        <v>3</v>
      </c>
      <c r="S79" t="s">
        <v>11</v>
      </c>
      <c r="T79" t="s">
        <v>7</v>
      </c>
      <c r="U79">
        <v>4</v>
      </c>
      <c r="V79">
        <v>0</v>
      </c>
      <c r="W79">
        <v>0</v>
      </c>
      <c r="X79">
        <v>1</v>
      </c>
      <c r="Y79">
        <v>0</v>
      </c>
      <c r="Z79" t="s">
        <v>18</v>
      </c>
      <c r="AA79" t="s">
        <v>4</v>
      </c>
      <c r="AB79" t="s">
        <v>6</v>
      </c>
      <c r="AC79" t="s">
        <v>7</v>
      </c>
      <c r="AD79" t="s">
        <v>8</v>
      </c>
      <c r="AE79" t="s">
        <v>6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7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9</v>
      </c>
      <c r="AR79" s="1">
        <v>1.21218671E-5</v>
      </c>
      <c r="AS79" s="1">
        <v>1.30180967E-27</v>
      </c>
      <c r="AT79">
        <v>4</v>
      </c>
      <c r="AU79" t="s">
        <v>10</v>
      </c>
      <c r="AV79">
        <v>4</v>
      </c>
      <c r="AW79">
        <v>0</v>
      </c>
      <c r="AX79">
        <v>0</v>
      </c>
      <c r="AY79">
        <v>1</v>
      </c>
      <c r="AZ79">
        <v>0</v>
      </c>
      <c r="BA79" t="s">
        <v>18</v>
      </c>
      <c r="BB79" t="s">
        <v>4</v>
      </c>
      <c r="BC79" t="s">
        <v>10</v>
      </c>
      <c r="BD79">
        <v>0</v>
      </c>
      <c r="BE79">
        <v>0</v>
      </c>
      <c r="BF79">
        <v>0</v>
      </c>
      <c r="BG79">
        <v>0</v>
      </c>
      <c r="BH79">
        <v>0</v>
      </c>
      <c r="BI79" t="s">
        <v>9</v>
      </c>
      <c r="BJ79">
        <v>0</v>
      </c>
      <c r="BK79">
        <v>1.2119999999999999E-5</v>
      </c>
      <c r="BL79">
        <v>0</v>
      </c>
      <c r="BM79" s="2">
        <f t="shared" si="1"/>
        <v>7.8396811275415363E-9</v>
      </c>
    </row>
    <row r="80" spans="1:65" x14ac:dyDescent="0.35">
      <c r="A80">
        <v>0</v>
      </c>
      <c r="B80" t="s">
        <v>3</v>
      </c>
      <c r="C80" t="s">
        <v>4</v>
      </c>
      <c r="D80">
        <v>0</v>
      </c>
      <c r="E80" t="s">
        <v>3</v>
      </c>
      <c r="F80" t="s">
        <v>5</v>
      </c>
      <c r="G80">
        <v>4205.1353589999999</v>
      </c>
      <c r="H80" t="s">
        <v>4</v>
      </c>
      <c r="I80">
        <v>990.16341899999998</v>
      </c>
      <c r="J80">
        <v>3214.9719399999999</v>
      </c>
      <c r="K80" t="s">
        <v>6</v>
      </c>
      <c r="L80" t="s">
        <v>7</v>
      </c>
      <c r="M80" t="s">
        <v>8</v>
      </c>
      <c r="N80" t="s">
        <v>6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7</v>
      </c>
      <c r="U80">
        <v>0</v>
      </c>
      <c r="V80">
        <v>0</v>
      </c>
      <c r="W80">
        <v>0</v>
      </c>
      <c r="X80">
        <v>1</v>
      </c>
      <c r="Y80">
        <v>2</v>
      </c>
      <c r="Z80" t="s">
        <v>21</v>
      </c>
      <c r="AA80" t="s">
        <v>4</v>
      </c>
      <c r="AB80" t="s">
        <v>6</v>
      </c>
      <c r="AC80" t="s">
        <v>7</v>
      </c>
      <c r="AD80" t="s">
        <v>8</v>
      </c>
      <c r="AE80" t="s">
        <v>6</v>
      </c>
      <c r="AF80" t="s">
        <v>3</v>
      </c>
      <c r="AG80" t="s">
        <v>3</v>
      </c>
      <c r="AH80" t="s">
        <v>3</v>
      </c>
      <c r="AI80" t="s">
        <v>3</v>
      </c>
      <c r="AJ80" t="s">
        <v>3</v>
      </c>
      <c r="AK80" t="s">
        <v>7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9</v>
      </c>
      <c r="AR80" s="1">
        <v>1.7430349400000001E-4</v>
      </c>
      <c r="AS80" s="1">
        <v>2.6242514999999999E-25</v>
      </c>
      <c r="AT80">
        <v>4</v>
      </c>
      <c r="AU80" t="s">
        <v>10</v>
      </c>
      <c r="AV80">
        <v>0</v>
      </c>
      <c r="AW80">
        <v>0</v>
      </c>
      <c r="AX80">
        <v>0</v>
      </c>
      <c r="AY80">
        <v>1</v>
      </c>
      <c r="AZ80">
        <v>2</v>
      </c>
      <c r="BA80" t="s">
        <v>21</v>
      </c>
      <c r="BB80" t="s">
        <v>4</v>
      </c>
      <c r="BC80" t="s">
        <v>10</v>
      </c>
      <c r="BD80">
        <v>0</v>
      </c>
      <c r="BE80">
        <v>0</v>
      </c>
      <c r="BF80">
        <v>0</v>
      </c>
      <c r="BG80">
        <v>0</v>
      </c>
      <c r="BH80">
        <v>0</v>
      </c>
      <c r="BI80" t="s">
        <v>9</v>
      </c>
      <c r="BJ80">
        <v>1.7411E-4</v>
      </c>
      <c r="BK80">
        <v>0</v>
      </c>
      <c r="BL80">
        <v>8.2400000000000007E-6</v>
      </c>
      <c r="BM80" s="2">
        <f t="shared" si="1"/>
        <v>1.5803612027611201E-6</v>
      </c>
    </row>
    <row r="81" spans="1:65" x14ac:dyDescent="0.35">
      <c r="A81">
        <v>0</v>
      </c>
      <c r="B81" t="s">
        <v>3</v>
      </c>
      <c r="C81" t="s">
        <v>4</v>
      </c>
      <c r="D81">
        <v>0</v>
      </c>
      <c r="E81" t="s">
        <v>3</v>
      </c>
      <c r="F81" t="s">
        <v>5</v>
      </c>
      <c r="G81">
        <v>4945.615127</v>
      </c>
      <c r="H81" t="s">
        <v>4</v>
      </c>
      <c r="I81">
        <v>990.16341899999998</v>
      </c>
      <c r="J81">
        <v>3955.4517080000001</v>
      </c>
      <c r="K81" t="s">
        <v>6</v>
      </c>
      <c r="L81" t="s">
        <v>7</v>
      </c>
      <c r="M81" t="s">
        <v>8</v>
      </c>
      <c r="N81" t="s">
        <v>6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7</v>
      </c>
      <c r="U81">
        <v>2</v>
      </c>
      <c r="V81">
        <v>0</v>
      </c>
      <c r="W81">
        <v>0</v>
      </c>
      <c r="X81">
        <v>1</v>
      </c>
      <c r="Y81">
        <v>1</v>
      </c>
      <c r="Z81" t="s">
        <v>21</v>
      </c>
      <c r="AA81" t="s">
        <v>4</v>
      </c>
      <c r="AB81" t="s">
        <v>6</v>
      </c>
      <c r="AC81" t="s">
        <v>7</v>
      </c>
      <c r="AD81" t="s">
        <v>8</v>
      </c>
      <c r="AE81" t="s">
        <v>6</v>
      </c>
      <c r="AF81" t="s">
        <v>3</v>
      </c>
      <c r="AG81" t="s">
        <v>3</v>
      </c>
      <c r="AH81" t="s">
        <v>3</v>
      </c>
      <c r="AI81" t="s">
        <v>3</v>
      </c>
      <c r="AJ81" t="s">
        <v>3</v>
      </c>
      <c r="AK81" t="s">
        <v>7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9</v>
      </c>
      <c r="AR81" s="1">
        <v>1.92694009E-5</v>
      </c>
      <c r="AS81" s="1">
        <v>3.9459236E-27</v>
      </c>
      <c r="AT81">
        <v>4</v>
      </c>
      <c r="AU81" t="s">
        <v>10</v>
      </c>
      <c r="AV81">
        <v>2</v>
      </c>
      <c r="AW81">
        <v>0</v>
      </c>
      <c r="AX81">
        <v>0</v>
      </c>
      <c r="AY81">
        <v>1</v>
      </c>
      <c r="AZ81">
        <v>1</v>
      </c>
      <c r="BA81" t="s">
        <v>21</v>
      </c>
      <c r="BB81" t="s">
        <v>4</v>
      </c>
      <c r="BC81" t="s">
        <v>10</v>
      </c>
      <c r="BD81">
        <v>0</v>
      </c>
      <c r="BE81">
        <v>0</v>
      </c>
      <c r="BF81">
        <v>0</v>
      </c>
      <c r="BG81">
        <v>0</v>
      </c>
      <c r="BH81">
        <v>0</v>
      </c>
      <c r="BI81" t="s">
        <v>9</v>
      </c>
      <c r="BJ81">
        <v>1.853E-5</v>
      </c>
      <c r="BK81">
        <v>0</v>
      </c>
      <c r="BL81">
        <v>5.2700000000000004E-6</v>
      </c>
      <c r="BM81" s="2">
        <f t="shared" si="1"/>
        <v>2.3762907505242877E-8</v>
      </c>
    </row>
    <row r="82" spans="1:65" x14ac:dyDescent="0.35">
      <c r="A82">
        <v>0</v>
      </c>
      <c r="B82" t="s">
        <v>3</v>
      </c>
      <c r="C82" t="s">
        <v>4</v>
      </c>
      <c r="D82">
        <v>0</v>
      </c>
      <c r="E82" t="s">
        <v>3</v>
      </c>
      <c r="F82" t="s">
        <v>5</v>
      </c>
      <c r="G82">
        <v>4880.5354180000004</v>
      </c>
      <c r="H82" t="s">
        <v>4</v>
      </c>
      <c r="I82">
        <v>990.16341899999998</v>
      </c>
      <c r="J82">
        <v>3890.371999</v>
      </c>
      <c r="K82" t="s">
        <v>6</v>
      </c>
      <c r="L82" t="s">
        <v>7</v>
      </c>
      <c r="M82" t="s">
        <v>8</v>
      </c>
      <c r="N82" t="s">
        <v>6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7</v>
      </c>
      <c r="U82">
        <v>3</v>
      </c>
      <c r="V82">
        <v>1</v>
      </c>
      <c r="W82">
        <v>0</v>
      </c>
      <c r="X82">
        <v>0</v>
      </c>
      <c r="Y82">
        <v>0</v>
      </c>
      <c r="Z82" t="s">
        <v>15</v>
      </c>
      <c r="AA82" t="s">
        <v>4</v>
      </c>
      <c r="AB82" t="s">
        <v>6</v>
      </c>
      <c r="AC82" t="s">
        <v>7</v>
      </c>
      <c r="AD82" t="s">
        <v>8</v>
      </c>
      <c r="AE82" t="s">
        <v>6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7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9</v>
      </c>
      <c r="AR82" s="1">
        <v>4.0851988400000001E-5</v>
      </c>
      <c r="AS82" s="1">
        <v>1.7443502500000001E-26</v>
      </c>
      <c r="AT82">
        <v>4</v>
      </c>
      <c r="AU82" t="s">
        <v>10</v>
      </c>
      <c r="AV82">
        <v>3</v>
      </c>
      <c r="AW82">
        <v>1</v>
      </c>
      <c r="AX82">
        <v>0</v>
      </c>
      <c r="AY82">
        <v>0</v>
      </c>
      <c r="AZ82">
        <v>0</v>
      </c>
      <c r="BA82" t="s">
        <v>15</v>
      </c>
      <c r="BB82" t="s">
        <v>4</v>
      </c>
      <c r="BC82" t="s">
        <v>10</v>
      </c>
      <c r="BD82">
        <v>0</v>
      </c>
      <c r="BE82">
        <v>0</v>
      </c>
      <c r="BF82">
        <v>0</v>
      </c>
      <c r="BG82">
        <v>0</v>
      </c>
      <c r="BH82">
        <v>0</v>
      </c>
      <c r="BI82" t="s">
        <v>9</v>
      </c>
      <c r="BJ82">
        <v>3.4749999999999998E-5</v>
      </c>
      <c r="BK82">
        <v>0</v>
      </c>
      <c r="BL82">
        <v>-2.1480000000000001E-5</v>
      </c>
      <c r="BM82" s="2">
        <f t="shared" si="1"/>
        <v>1.0504722810015199E-7</v>
      </c>
    </row>
    <row r="83" spans="1:65" x14ac:dyDescent="0.35">
      <c r="A83">
        <v>0</v>
      </c>
      <c r="B83" t="s">
        <v>3</v>
      </c>
      <c r="C83" t="s">
        <v>4</v>
      </c>
      <c r="D83">
        <v>0</v>
      </c>
      <c r="E83" t="s">
        <v>3</v>
      </c>
      <c r="F83" t="s">
        <v>5</v>
      </c>
      <c r="G83">
        <v>1262.232966</v>
      </c>
      <c r="H83" t="s">
        <v>4</v>
      </c>
      <c r="I83">
        <v>990.16341899999998</v>
      </c>
      <c r="J83">
        <v>272.069547</v>
      </c>
      <c r="K83" t="s">
        <v>6</v>
      </c>
      <c r="L83" t="s">
        <v>7</v>
      </c>
      <c r="M83" t="s">
        <v>8</v>
      </c>
      <c r="N83" t="s">
        <v>6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7</v>
      </c>
      <c r="U83">
        <v>0</v>
      </c>
      <c r="V83">
        <v>1</v>
      </c>
      <c r="W83">
        <v>0</v>
      </c>
      <c r="X83">
        <v>0</v>
      </c>
      <c r="Y83">
        <v>0</v>
      </c>
      <c r="Z83" t="s">
        <v>8</v>
      </c>
      <c r="AA83" t="s">
        <v>4</v>
      </c>
      <c r="AB83" t="s">
        <v>6</v>
      </c>
      <c r="AC83" t="s">
        <v>7</v>
      </c>
      <c r="AD83" t="s">
        <v>8</v>
      </c>
      <c r="AE83" t="s">
        <v>6</v>
      </c>
      <c r="AF83" t="s">
        <v>3</v>
      </c>
      <c r="AG83" t="s">
        <v>3</v>
      </c>
      <c r="AH83" t="s">
        <v>3</v>
      </c>
      <c r="AI83" t="s">
        <v>3</v>
      </c>
      <c r="AJ83" t="s">
        <v>3</v>
      </c>
      <c r="AK83" t="s">
        <v>7</v>
      </c>
      <c r="AL83">
        <v>0</v>
      </c>
      <c r="AM83">
        <v>0</v>
      </c>
      <c r="AN83">
        <v>0</v>
      </c>
      <c r="AO83">
        <v>0</v>
      </c>
      <c r="AP83">
        <v>0</v>
      </c>
      <c r="AQ83" t="s">
        <v>9</v>
      </c>
      <c r="AR83" s="1">
        <v>1.60663181E-6</v>
      </c>
      <c r="AS83" s="1">
        <v>1.37952864E-30</v>
      </c>
      <c r="AT83">
        <v>5</v>
      </c>
      <c r="AU83" t="s">
        <v>10</v>
      </c>
      <c r="AV83">
        <v>0</v>
      </c>
      <c r="AW83">
        <v>1</v>
      </c>
      <c r="AX83">
        <v>0</v>
      </c>
      <c r="AY83">
        <v>0</v>
      </c>
      <c r="AZ83">
        <v>0</v>
      </c>
      <c r="BA83" t="s">
        <v>8</v>
      </c>
      <c r="BB83" t="s">
        <v>4</v>
      </c>
      <c r="BC83" t="s">
        <v>10</v>
      </c>
      <c r="BD83">
        <v>0</v>
      </c>
      <c r="BE83">
        <v>0</v>
      </c>
      <c r="BF83">
        <v>0</v>
      </c>
      <c r="BG83">
        <v>0</v>
      </c>
      <c r="BH83">
        <v>0</v>
      </c>
      <c r="BI83" t="s">
        <v>9</v>
      </c>
      <c r="BJ83">
        <v>1.5799999999999999E-6</v>
      </c>
      <c r="BK83">
        <v>0</v>
      </c>
      <c r="BL83">
        <v>2.7000000000000001E-7</v>
      </c>
      <c r="BM83" s="2">
        <f t="shared" si="1"/>
        <v>8.3077157077125105E-12</v>
      </c>
    </row>
    <row r="84" spans="1:65" x14ac:dyDescent="0.35">
      <c r="A84">
        <v>0</v>
      </c>
      <c r="B84" t="s">
        <v>11</v>
      </c>
      <c r="C84" t="s">
        <v>4</v>
      </c>
      <c r="D84">
        <v>0</v>
      </c>
      <c r="E84" t="s">
        <v>3</v>
      </c>
      <c r="F84" t="s">
        <v>5</v>
      </c>
      <c r="G84">
        <v>4717.6294390000003</v>
      </c>
      <c r="H84" t="s">
        <v>4</v>
      </c>
      <c r="I84">
        <v>990.16341899999998</v>
      </c>
      <c r="J84">
        <v>3727.4660199999998</v>
      </c>
      <c r="K84" t="s">
        <v>6</v>
      </c>
      <c r="L84" t="s">
        <v>7</v>
      </c>
      <c r="M84" t="s">
        <v>8</v>
      </c>
      <c r="N84" t="s">
        <v>6</v>
      </c>
      <c r="O84" t="s">
        <v>3</v>
      </c>
      <c r="P84" t="s">
        <v>3</v>
      </c>
      <c r="Q84" t="s">
        <v>3</v>
      </c>
      <c r="R84" t="s">
        <v>3</v>
      </c>
      <c r="S84" t="s">
        <v>11</v>
      </c>
      <c r="T84" t="s">
        <v>7</v>
      </c>
      <c r="U84">
        <v>0</v>
      </c>
      <c r="V84">
        <v>0</v>
      </c>
      <c r="W84">
        <v>0</v>
      </c>
      <c r="X84">
        <v>7</v>
      </c>
      <c r="Y84">
        <v>1</v>
      </c>
      <c r="Z84" t="s">
        <v>18</v>
      </c>
      <c r="AA84" t="s">
        <v>4</v>
      </c>
      <c r="AB84" t="s">
        <v>6</v>
      </c>
      <c r="AC84" t="s">
        <v>7</v>
      </c>
      <c r="AD84" t="s">
        <v>8</v>
      </c>
      <c r="AE84" t="s">
        <v>6</v>
      </c>
      <c r="AF84" t="s">
        <v>3</v>
      </c>
      <c r="AG84" t="s">
        <v>3</v>
      </c>
      <c r="AH84" t="s">
        <v>3</v>
      </c>
      <c r="AI84" t="s">
        <v>3</v>
      </c>
      <c r="AJ84" t="s">
        <v>3</v>
      </c>
      <c r="AK84" t="s">
        <v>7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9</v>
      </c>
      <c r="AR84" s="1">
        <v>2.1548593099999999E-6</v>
      </c>
      <c r="AS84" s="1">
        <v>4.6501577900000001E-29</v>
      </c>
      <c r="AT84">
        <v>4</v>
      </c>
      <c r="AU84" t="s">
        <v>10</v>
      </c>
      <c r="AV84">
        <v>0</v>
      </c>
      <c r="AW84">
        <v>0</v>
      </c>
      <c r="AX84">
        <v>0</v>
      </c>
      <c r="AY84">
        <v>7</v>
      </c>
      <c r="AZ84">
        <v>1</v>
      </c>
      <c r="BA84" t="s">
        <v>18</v>
      </c>
      <c r="BB84" t="s">
        <v>4</v>
      </c>
      <c r="BC84" t="s">
        <v>10</v>
      </c>
      <c r="BD84">
        <v>0</v>
      </c>
      <c r="BE84">
        <v>0</v>
      </c>
      <c r="BF84">
        <v>0</v>
      </c>
      <c r="BG84">
        <v>0</v>
      </c>
      <c r="BH84">
        <v>0</v>
      </c>
      <c r="BI84" t="s">
        <v>9</v>
      </c>
      <c r="BJ84">
        <v>0</v>
      </c>
      <c r="BK84">
        <v>2.1500000000000002E-6</v>
      </c>
      <c r="BL84">
        <v>0</v>
      </c>
      <c r="BM84" s="2">
        <f t="shared" si="1"/>
        <v>2.8003904953596833E-10</v>
      </c>
    </row>
    <row r="85" spans="1:65" x14ac:dyDescent="0.35">
      <c r="A85">
        <v>0</v>
      </c>
      <c r="B85" t="s">
        <v>11</v>
      </c>
      <c r="C85" t="s">
        <v>4</v>
      </c>
      <c r="D85">
        <v>0</v>
      </c>
      <c r="E85" t="s">
        <v>3</v>
      </c>
      <c r="F85" t="s">
        <v>5</v>
      </c>
      <c r="G85">
        <v>3633.3366879999999</v>
      </c>
      <c r="H85" t="s">
        <v>4</v>
      </c>
      <c r="I85">
        <v>990.16341899999998</v>
      </c>
      <c r="J85">
        <v>2643.1732689999999</v>
      </c>
      <c r="K85" t="s">
        <v>6</v>
      </c>
      <c r="L85" t="s">
        <v>7</v>
      </c>
      <c r="M85" t="s">
        <v>8</v>
      </c>
      <c r="N85" t="s">
        <v>6</v>
      </c>
      <c r="O85" t="s">
        <v>3</v>
      </c>
      <c r="P85" t="s">
        <v>3</v>
      </c>
      <c r="Q85" t="s">
        <v>3</v>
      </c>
      <c r="R85" t="s">
        <v>3</v>
      </c>
      <c r="S85" t="s">
        <v>11</v>
      </c>
      <c r="T85" t="s">
        <v>7</v>
      </c>
      <c r="U85">
        <v>0</v>
      </c>
      <c r="V85">
        <v>1</v>
      </c>
      <c r="W85">
        <v>0</v>
      </c>
      <c r="X85">
        <v>2</v>
      </c>
      <c r="Y85">
        <v>0</v>
      </c>
      <c r="Z85" t="s">
        <v>13</v>
      </c>
      <c r="AA85" t="s">
        <v>4</v>
      </c>
      <c r="AB85" t="s">
        <v>6</v>
      </c>
      <c r="AC85" t="s">
        <v>7</v>
      </c>
      <c r="AD85" t="s">
        <v>8</v>
      </c>
      <c r="AE85" t="s">
        <v>6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7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9</v>
      </c>
      <c r="AR85" s="1">
        <v>5.5874648499999998E-5</v>
      </c>
      <c r="AS85" s="1">
        <v>2.2170227999999999E-26</v>
      </c>
      <c r="AT85">
        <v>5</v>
      </c>
      <c r="AU85" t="s">
        <v>10</v>
      </c>
      <c r="AV85">
        <v>0</v>
      </c>
      <c r="AW85">
        <v>1</v>
      </c>
      <c r="AX85">
        <v>0</v>
      </c>
      <c r="AY85">
        <v>2</v>
      </c>
      <c r="AZ85">
        <v>0</v>
      </c>
      <c r="BA85" t="s">
        <v>13</v>
      </c>
      <c r="BB85" t="s">
        <v>4</v>
      </c>
      <c r="BC85" t="s">
        <v>10</v>
      </c>
      <c r="BD85">
        <v>0</v>
      </c>
      <c r="BE85">
        <v>0</v>
      </c>
      <c r="BF85">
        <v>0</v>
      </c>
      <c r="BG85">
        <v>0</v>
      </c>
      <c r="BH85">
        <v>0</v>
      </c>
      <c r="BI85" t="s">
        <v>9</v>
      </c>
      <c r="BJ85">
        <v>0</v>
      </c>
      <c r="BK85">
        <v>-5.5869999999999999E-5</v>
      </c>
      <c r="BL85">
        <v>0</v>
      </c>
      <c r="BM85" s="2">
        <f t="shared" si="1"/>
        <v>1.3351223458410239E-7</v>
      </c>
    </row>
    <row r="86" spans="1:65" x14ac:dyDescent="0.35">
      <c r="A86">
        <v>0</v>
      </c>
      <c r="B86" t="s">
        <v>3</v>
      </c>
      <c r="C86" t="s">
        <v>4</v>
      </c>
      <c r="D86">
        <v>0</v>
      </c>
      <c r="E86" t="s">
        <v>3</v>
      </c>
      <c r="F86" t="s">
        <v>5</v>
      </c>
      <c r="G86">
        <v>4363.5132659999999</v>
      </c>
      <c r="H86" t="s">
        <v>4</v>
      </c>
      <c r="I86">
        <v>990.16341899999998</v>
      </c>
      <c r="J86">
        <v>3373.349847</v>
      </c>
      <c r="K86" t="s">
        <v>6</v>
      </c>
      <c r="L86" t="s">
        <v>7</v>
      </c>
      <c r="M86" t="s">
        <v>8</v>
      </c>
      <c r="N86" t="s">
        <v>6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7</v>
      </c>
      <c r="U86">
        <v>1</v>
      </c>
      <c r="V86">
        <v>2</v>
      </c>
      <c r="W86">
        <v>0</v>
      </c>
      <c r="X86">
        <v>0</v>
      </c>
      <c r="Y86">
        <v>0</v>
      </c>
      <c r="Z86" t="s">
        <v>9</v>
      </c>
      <c r="AA86" t="s">
        <v>4</v>
      </c>
      <c r="AB86" t="s">
        <v>6</v>
      </c>
      <c r="AC86" t="s">
        <v>7</v>
      </c>
      <c r="AD86" t="s">
        <v>8</v>
      </c>
      <c r="AE86" t="s">
        <v>6</v>
      </c>
      <c r="AF86" t="s">
        <v>3</v>
      </c>
      <c r="AG86" t="s">
        <v>3</v>
      </c>
      <c r="AH86" t="s">
        <v>3</v>
      </c>
      <c r="AI86" t="s">
        <v>3</v>
      </c>
      <c r="AJ86" t="s">
        <v>3</v>
      </c>
      <c r="AK86" t="s">
        <v>7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9</v>
      </c>
      <c r="AR86" s="1">
        <v>1.2269473899999999E-4</v>
      </c>
      <c r="AS86" s="1">
        <v>1.36436129E-25</v>
      </c>
      <c r="AT86">
        <v>4</v>
      </c>
      <c r="AU86" t="s">
        <v>10</v>
      </c>
      <c r="AV86">
        <v>1</v>
      </c>
      <c r="AW86">
        <v>2</v>
      </c>
      <c r="AX86">
        <v>0</v>
      </c>
      <c r="AY86">
        <v>0</v>
      </c>
      <c r="AZ86">
        <v>0</v>
      </c>
      <c r="BA86" t="s">
        <v>9</v>
      </c>
      <c r="BB86" t="s">
        <v>4</v>
      </c>
      <c r="BC86" t="s">
        <v>10</v>
      </c>
      <c r="BD86">
        <v>0</v>
      </c>
      <c r="BE86">
        <v>0</v>
      </c>
      <c r="BF86">
        <v>0</v>
      </c>
      <c r="BG86">
        <v>0</v>
      </c>
      <c r="BH86">
        <v>0</v>
      </c>
      <c r="BI86" t="s">
        <v>9</v>
      </c>
      <c r="BJ86">
        <v>-1.2269000000000001E-4</v>
      </c>
      <c r="BK86">
        <v>0</v>
      </c>
      <c r="BL86">
        <v>-4.9999999999999998E-7</v>
      </c>
      <c r="BM86" s="2">
        <f t="shared" si="1"/>
        <v>8.2163757904496321E-7</v>
      </c>
    </row>
    <row r="87" spans="1:65" x14ac:dyDescent="0.35">
      <c r="A87">
        <v>0</v>
      </c>
      <c r="B87" t="s">
        <v>11</v>
      </c>
      <c r="C87" t="s">
        <v>4</v>
      </c>
      <c r="D87">
        <v>0</v>
      </c>
      <c r="E87" t="s">
        <v>3</v>
      </c>
      <c r="F87" t="s">
        <v>5</v>
      </c>
      <c r="G87">
        <v>4102.2479810000004</v>
      </c>
      <c r="H87" t="s">
        <v>4</v>
      </c>
      <c r="I87">
        <v>990.16341899999998</v>
      </c>
      <c r="J87">
        <v>3112.084562</v>
      </c>
      <c r="K87" t="s">
        <v>6</v>
      </c>
      <c r="L87" t="s">
        <v>7</v>
      </c>
      <c r="M87" t="s">
        <v>8</v>
      </c>
      <c r="N87" t="s">
        <v>6</v>
      </c>
      <c r="O87" t="s">
        <v>3</v>
      </c>
      <c r="P87" t="s">
        <v>3</v>
      </c>
      <c r="Q87" t="s">
        <v>3</v>
      </c>
      <c r="R87" t="s">
        <v>3</v>
      </c>
      <c r="S87" t="s">
        <v>11</v>
      </c>
      <c r="T87" t="s">
        <v>7</v>
      </c>
      <c r="U87">
        <v>0</v>
      </c>
      <c r="V87">
        <v>0</v>
      </c>
      <c r="W87">
        <v>1</v>
      </c>
      <c r="X87">
        <v>0</v>
      </c>
      <c r="Y87">
        <v>0</v>
      </c>
      <c r="Z87" t="s">
        <v>18</v>
      </c>
      <c r="AA87" t="s">
        <v>4</v>
      </c>
      <c r="AB87" t="s">
        <v>6</v>
      </c>
      <c r="AC87" t="s">
        <v>7</v>
      </c>
      <c r="AD87" t="s">
        <v>8</v>
      </c>
      <c r="AE87" t="s">
        <v>6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7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9</v>
      </c>
      <c r="AR87" s="1">
        <v>9.1911871800000007E-6</v>
      </c>
      <c r="AS87" s="1">
        <v>7.0633486600000004E-28</v>
      </c>
      <c r="AT87">
        <v>5</v>
      </c>
      <c r="AU87" t="s">
        <v>10</v>
      </c>
      <c r="AV87">
        <v>0</v>
      </c>
      <c r="AW87">
        <v>0</v>
      </c>
      <c r="AX87">
        <v>1</v>
      </c>
      <c r="AY87">
        <v>0</v>
      </c>
      <c r="AZ87">
        <v>0</v>
      </c>
      <c r="BA87" t="s">
        <v>18</v>
      </c>
      <c r="BB87" t="s">
        <v>4</v>
      </c>
      <c r="BC87" t="s">
        <v>10</v>
      </c>
      <c r="BD87">
        <v>0</v>
      </c>
      <c r="BE87">
        <v>0</v>
      </c>
      <c r="BF87">
        <v>0</v>
      </c>
      <c r="BG87">
        <v>0</v>
      </c>
      <c r="BH87">
        <v>0</v>
      </c>
      <c r="BI87" t="s">
        <v>9</v>
      </c>
      <c r="BJ87">
        <v>0</v>
      </c>
      <c r="BK87">
        <v>-9.1900000000000001E-6</v>
      </c>
      <c r="BL87">
        <v>0</v>
      </c>
      <c r="BM87" s="2">
        <f t="shared" si="1"/>
        <v>4.2536480150011329E-9</v>
      </c>
    </row>
    <row r="88" spans="1:65" x14ac:dyDescent="0.35">
      <c r="A88">
        <v>0</v>
      </c>
      <c r="B88" t="s">
        <v>3</v>
      </c>
      <c r="C88" t="s">
        <v>4</v>
      </c>
      <c r="D88">
        <v>0</v>
      </c>
      <c r="E88" t="s">
        <v>3</v>
      </c>
      <c r="F88" t="s">
        <v>5</v>
      </c>
      <c r="G88">
        <v>3794.4425860000001</v>
      </c>
      <c r="H88" t="s">
        <v>4</v>
      </c>
      <c r="I88">
        <v>990.16341899999998</v>
      </c>
      <c r="J88">
        <v>2804.2791670000001</v>
      </c>
      <c r="K88" t="s">
        <v>6</v>
      </c>
      <c r="L88" t="s">
        <v>7</v>
      </c>
      <c r="M88" t="s">
        <v>8</v>
      </c>
      <c r="N88" t="s">
        <v>6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7</v>
      </c>
      <c r="U88">
        <v>0</v>
      </c>
      <c r="V88">
        <v>2</v>
      </c>
      <c r="W88">
        <v>0</v>
      </c>
      <c r="X88">
        <v>1</v>
      </c>
      <c r="Y88">
        <v>1</v>
      </c>
      <c r="Z88" t="s">
        <v>8</v>
      </c>
      <c r="AA88" t="s">
        <v>4</v>
      </c>
      <c r="AB88" t="s">
        <v>6</v>
      </c>
      <c r="AC88" t="s">
        <v>7</v>
      </c>
      <c r="AD88" t="s">
        <v>8</v>
      </c>
      <c r="AE88" t="s">
        <v>6</v>
      </c>
      <c r="AF88" t="s">
        <v>3</v>
      </c>
      <c r="AG88" t="s">
        <v>3</v>
      </c>
      <c r="AH88" t="s">
        <v>3</v>
      </c>
      <c r="AI88" t="s">
        <v>3</v>
      </c>
      <c r="AJ88" t="s">
        <v>3</v>
      </c>
      <c r="AK88" t="s">
        <v>7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9</v>
      </c>
      <c r="AR88" s="1">
        <v>1.53886182E-4</v>
      </c>
      <c r="AS88" s="1">
        <v>1.7841694E-25</v>
      </c>
      <c r="AT88">
        <v>4</v>
      </c>
      <c r="AU88" t="s">
        <v>10</v>
      </c>
      <c r="AV88">
        <v>0</v>
      </c>
      <c r="AW88">
        <v>2</v>
      </c>
      <c r="AX88">
        <v>0</v>
      </c>
      <c r="AY88">
        <v>1</v>
      </c>
      <c r="AZ88">
        <v>1</v>
      </c>
      <c r="BA88" t="s">
        <v>8</v>
      </c>
      <c r="BB88" t="s">
        <v>4</v>
      </c>
      <c r="BC88" t="s">
        <v>10</v>
      </c>
      <c r="BD88">
        <v>0</v>
      </c>
      <c r="BE88">
        <v>0</v>
      </c>
      <c r="BF88">
        <v>0</v>
      </c>
      <c r="BG88">
        <v>0</v>
      </c>
      <c r="BH88">
        <v>0</v>
      </c>
      <c r="BI88" t="s">
        <v>9</v>
      </c>
      <c r="BJ88">
        <v>-1.3702000000000001E-4</v>
      </c>
      <c r="BK88">
        <v>0</v>
      </c>
      <c r="BL88">
        <v>-7.0049999999999995E-5</v>
      </c>
      <c r="BM88" s="2">
        <f t="shared" si="1"/>
        <v>1.074451933785152E-6</v>
      </c>
    </row>
    <row r="89" spans="1:65" x14ac:dyDescent="0.35">
      <c r="A89">
        <v>0</v>
      </c>
      <c r="B89" t="s">
        <v>11</v>
      </c>
      <c r="C89" t="s">
        <v>4</v>
      </c>
      <c r="D89">
        <v>0</v>
      </c>
      <c r="E89" t="s">
        <v>3</v>
      </c>
      <c r="F89" t="s">
        <v>5</v>
      </c>
      <c r="G89">
        <v>3507.9356379999999</v>
      </c>
      <c r="H89" t="s">
        <v>4</v>
      </c>
      <c r="I89">
        <v>990.16341899999998</v>
      </c>
      <c r="J89">
        <v>2517.772219</v>
      </c>
      <c r="K89" t="s">
        <v>6</v>
      </c>
      <c r="L89" t="s">
        <v>7</v>
      </c>
      <c r="M89" t="s">
        <v>8</v>
      </c>
      <c r="N89" t="s">
        <v>6</v>
      </c>
      <c r="O89" t="s">
        <v>3</v>
      </c>
      <c r="P89" t="s">
        <v>3</v>
      </c>
      <c r="Q89" t="s">
        <v>3</v>
      </c>
      <c r="R89" t="s">
        <v>3</v>
      </c>
      <c r="S89" t="s">
        <v>11</v>
      </c>
      <c r="T89" t="s">
        <v>7</v>
      </c>
      <c r="U89">
        <v>2</v>
      </c>
      <c r="V89">
        <v>0</v>
      </c>
      <c r="W89">
        <v>0</v>
      </c>
      <c r="X89">
        <v>2</v>
      </c>
      <c r="Y89">
        <v>0</v>
      </c>
      <c r="Z89" t="s">
        <v>18</v>
      </c>
      <c r="AA89" t="s">
        <v>4</v>
      </c>
      <c r="AB89" t="s">
        <v>6</v>
      </c>
      <c r="AC89" t="s">
        <v>7</v>
      </c>
      <c r="AD89" t="s">
        <v>8</v>
      </c>
      <c r="AE89" t="s">
        <v>6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7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9</v>
      </c>
      <c r="AR89" s="1">
        <v>1.534597E-5</v>
      </c>
      <c r="AS89" s="1">
        <v>1.5930118499999999E-27</v>
      </c>
      <c r="AT89">
        <v>4</v>
      </c>
      <c r="AU89" t="s">
        <v>10</v>
      </c>
      <c r="AV89">
        <v>2</v>
      </c>
      <c r="AW89">
        <v>0</v>
      </c>
      <c r="AX89">
        <v>0</v>
      </c>
      <c r="AY89">
        <v>2</v>
      </c>
      <c r="AZ89">
        <v>0</v>
      </c>
      <c r="BA89" t="s">
        <v>18</v>
      </c>
      <c r="BB89" t="s">
        <v>4</v>
      </c>
      <c r="BC89" t="s">
        <v>10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9</v>
      </c>
      <c r="BJ89">
        <v>0</v>
      </c>
      <c r="BK89">
        <v>1.535E-5</v>
      </c>
      <c r="BL89">
        <v>0</v>
      </c>
      <c r="BM89" s="2">
        <f t="shared" si="1"/>
        <v>9.593341656768479E-9</v>
      </c>
    </row>
    <row r="90" spans="1:65" x14ac:dyDescent="0.35">
      <c r="A90">
        <v>0</v>
      </c>
      <c r="B90" t="s">
        <v>3</v>
      </c>
      <c r="C90" t="s">
        <v>4</v>
      </c>
      <c r="D90">
        <v>0</v>
      </c>
      <c r="E90" t="s">
        <v>3</v>
      </c>
      <c r="F90" t="s">
        <v>5</v>
      </c>
      <c r="G90">
        <v>4583.5289480000001</v>
      </c>
      <c r="H90" t="s">
        <v>4</v>
      </c>
      <c r="I90">
        <v>990.16341899999998</v>
      </c>
      <c r="J90">
        <v>3593.3655290000002</v>
      </c>
      <c r="K90" t="s">
        <v>6</v>
      </c>
      <c r="L90" t="s">
        <v>7</v>
      </c>
      <c r="M90" t="s">
        <v>8</v>
      </c>
      <c r="N90" t="s">
        <v>6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7</v>
      </c>
      <c r="U90">
        <v>0</v>
      </c>
      <c r="V90">
        <v>2</v>
      </c>
      <c r="W90">
        <v>0</v>
      </c>
      <c r="X90">
        <v>4</v>
      </c>
      <c r="Y90">
        <v>1</v>
      </c>
      <c r="Z90" t="s">
        <v>8</v>
      </c>
      <c r="AA90" t="s">
        <v>4</v>
      </c>
      <c r="AB90" t="s">
        <v>6</v>
      </c>
      <c r="AC90" t="s">
        <v>7</v>
      </c>
      <c r="AD90" t="s">
        <v>8</v>
      </c>
      <c r="AE90" t="s">
        <v>6</v>
      </c>
      <c r="AF90" t="s">
        <v>3</v>
      </c>
      <c r="AG90" t="s">
        <v>3</v>
      </c>
      <c r="AH90" t="s">
        <v>3</v>
      </c>
      <c r="AI90" t="s">
        <v>3</v>
      </c>
      <c r="AJ90" t="s">
        <v>3</v>
      </c>
      <c r="AK90" t="s">
        <v>7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9</v>
      </c>
      <c r="AR90" s="1">
        <v>3.8986184600000002E-5</v>
      </c>
      <c r="AS90" s="1">
        <v>1.4673679099999999E-26</v>
      </c>
      <c r="AT90">
        <v>5</v>
      </c>
      <c r="AU90" t="s">
        <v>10</v>
      </c>
      <c r="AV90">
        <v>0</v>
      </c>
      <c r="AW90">
        <v>2</v>
      </c>
      <c r="AX90">
        <v>0</v>
      </c>
      <c r="AY90">
        <v>4</v>
      </c>
      <c r="AZ90">
        <v>1</v>
      </c>
      <c r="BA90" t="s">
        <v>8</v>
      </c>
      <c r="BB90" t="s">
        <v>4</v>
      </c>
      <c r="BC90" t="s">
        <v>10</v>
      </c>
      <c r="BD90">
        <v>0</v>
      </c>
      <c r="BE90">
        <v>0</v>
      </c>
      <c r="BF90">
        <v>0</v>
      </c>
      <c r="BG90">
        <v>0</v>
      </c>
      <c r="BH90">
        <v>0</v>
      </c>
      <c r="BI90" t="s">
        <v>9</v>
      </c>
      <c r="BJ90">
        <v>3.3479999999999998E-5</v>
      </c>
      <c r="BK90">
        <v>0</v>
      </c>
      <c r="BL90">
        <v>-1.997E-5</v>
      </c>
      <c r="BM90" s="2">
        <f t="shared" si="1"/>
        <v>8.8366961594217267E-8</v>
      </c>
    </row>
    <row r="91" spans="1:65" x14ac:dyDescent="0.35">
      <c r="A91">
        <v>0</v>
      </c>
      <c r="B91" t="s">
        <v>3</v>
      </c>
      <c r="C91" t="s">
        <v>4</v>
      </c>
      <c r="D91">
        <v>0</v>
      </c>
      <c r="E91" t="s">
        <v>3</v>
      </c>
      <c r="F91" t="s">
        <v>5</v>
      </c>
      <c r="G91">
        <v>4828.6866529999998</v>
      </c>
      <c r="H91" t="s">
        <v>4</v>
      </c>
      <c r="I91">
        <v>990.16341899999998</v>
      </c>
      <c r="J91">
        <v>3838.5232339999998</v>
      </c>
      <c r="K91" t="s">
        <v>6</v>
      </c>
      <c r="L91" t="s">
        <v>7</v>
      </c>
      <c r="M91" t="s">
        <v>8</v>
      </c>
      <c r="N91" t="s">
        <v>6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7</v>
      </c>
      <c r="U91">
        <v>1</v>
      </c>
      <c r="V91">
        <v>2</v>
      </c>
      <c r="W91">
        <v>0</v>
      </c>
      <c r="X91">
        <v>1</v>
      </c>
      <c r="Y91">
        <v>0</v>
      </c>
      <c r="Z91" t="s">
        <v>15</v>
      </c>
      <c r="AA91" t="s">
        <v>4</v>
      </c>
      <c r="AB91" t="s">
        <v>6</v>
      </c>
      <c r="AC91" t="s">
        <v>7</v>
      </c>
      <c r="AD91" t="s">
        <v>8</v>
      </c>
      <c r="AE91" t="s">
        <v>6</v>
      </c>
      <c r="AF91" t="s">
        <v>3</v>
      </c>
      <c r="AG91" t="s">
        <v>3</v>
      </c>
      <c r="AH91" t="s">
        <v>3</v>
      </c>
      <c r="AI91" t="s">
        <v>3</v>
      </c>
      <c r="AJ91" t="s">
        <v>3</v>
      </c>
      <c r="AK91" t="s">
        <v>7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9</v>
      </c>
      <c r="AR91" s="1">
        <v>4.7613078799999999E-5</v>
      </c>
      <c r="AS91" s="1">
        <v>2.33793732E-26</v>
      </c>
      <c r="AT91">
        <v>4</v>
      </c>
      <c r="AU91" t="s">
        <v>10</v>
      </c>
      <c r="AV91">
        <v>1</v>
      </c>
      <c r="AW91">
        <v>2</v>
      </c>
      <c r="AX91">
        <v>0</v>
      </c>
      <c r="AY91">
        <v>1</v>
      </c>
      <c r="AZ91">
        <v>0</v>
      </c>
      <c r="BA91" t="s">
        <v>15</v>
      </c>
      <c r="BB91" t="s">
        <v>4</v>
      </c>
      <c r="BC91" t="s">
        <v>10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9</v>
      </c>
      <c r="BJ91">
        <v>3.5660000000000001E-5</v>
      </c>
      <c r="BK91">
        <v>0</v>
      </c>
      <c r="BL91">
        <v>-3.1550000000000001E-5</v>
      </c>
      <c r="BM91" s="2">
        <f t="shared" si="1"/>
        <v>1.4079387722614656E-7</v>
      </c>
    </row>
    <row r="92" spans="1:65" x14ac:dyDescent="0.35">
      <c r="A92">
        <v>0</v>
      </c>
      <c r="B92" t="s">
        <v>11</v>
      </c>
      <c r="C92" t="s">
        <v>4</v>
      </c>
      <c r="D92">
        <v>0</v>
      </c>
      <c r="E92" t="s">
        <v>3</v>
      </c>
      <c r="F92" t="s">
        <v>5</v>
      </c>
      <c r="G92">
        <v>3124.6412150000001</v>
      </c>
      <c r="H92" t="s">
        <v>4</v>
      </c>
      <c r="I92">
        <v>990.16341899999998</v>
      </c>
      <c r="J92">
        <v>2134.4777960000001</v>
      </c>
      <c r="K92" t="s">
        <v>6</v>
      </c>
      <c r="L92" t="s">
        <v>7</v>
      </c>
      <c r="M92" t="s">
        <v>8</v>
      </c>
      <c r="N92" t="s">
        <v>6</v>
      </c>
      <c r="O92" t="s">
        <v>3</v>
      </c>
      <c r="P92" t="s">
        <v>3</v>
      </c>
      <c r="Q92" t="s">
        <v>3</v>
      </c>
      <c r="R92" t="s">
        <v>3</v>
      </c>
      <c r="S92" t="s">
        <v>11</v>
      </c>
      <c r="T92" t="s">
        <v>7</v>
      </c>
      <c r="U92">
        <v>2</v>
      </c>
      <c r="V92">
        <v>0</v>
      </c>
      <c r="W92">
        <v>0</v>
      </c>
      <c r="X92">
        <v>0</v>
      </c>
      <c r="Y92">
        <v>0</v>
      </c>
      <c r="Z92" t="s">
        <v>14</v>
      </c>
      <c r="AA92" t="s">
        <v>4</v>
      </c>
      <c r="AB92" t="s">
        <v>6</v>
      </c>
      <c r="AC92" t="s">
        <v>7</v>
      </c>
      <c r="AD92" t="s">
        <v>8</v>
      </c>
      <c r="AE92" t="s">
        <v>6</v>
      </c>
      <c r="AF92" t="s">
        <v>3</v>
      </c>
      <c r="AG92" t="s">
        <v>3</v>
      </c>
      <c r="AH92" t="s">
        <v>3</v>
      </c>
      <c r="AI92" t="s">
        <v>3</v>
      </c>
      <c r="AJ92" t="s">
        <v>3</v>
      </c>
      <c r="AK92" t="s">
        <v>7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9</v>
      </c>
      <c r="AR92" s="1">
        <v>7.9729947499999996E-4</v>
      </c>
      <c r="AS92" s="1">
        <v>3.6453248200000001E-24</v>
      </c>
      <c r="AT92">
        <v>5</v>
      </c>
      <c r="AU92" t="s">
        <v>10</v>
      </c>
      <c r="AV92">
        <v>2</v>
      </c>
      <c r="AW92">
        <v>0</v>
      </c>
      <c r="AX92">
        <v>0</v>
      </c>
      <c r="AY92">
        <v>0</v>
      </c>
      <c r="AZ92">
        <v>0</v>
      </c>
      <c r="BA92" t="s">
        <v>14</v>
      </c>
      <c r="BB92" t="s">
        <v>4</v>
      </c>
      <c r="BC92" t="s">
        <v>10</v>
      </c>
      <c r="BD92">
        <v>0</v>
      </c>
      <c r="BE92">
        <v>0</v>
      </c>
      <c r="BF92">
        <v>0</v>
      </c>
      <c r="BG92">
        <v>0</v>
      </c>
      <c r="BH92">
        <v>0</v>
      </c>
      <c r="BI92" t="s">
        <v>9</v>
      </c>
      <c r="BJ92">
        <v>0</v>
      </c>
      <c r="BK92">
        <v>7.9730000000000003E-4</v>
      </c>
      <c r="BL92">
        <v>0</v>
      </c>
      <c r="BM92" s="2">
        <f t="shared" si="1"/>
        <v>2.1952659327774658E-5</v>
      </c>
    </row>
    <row r="93" spans="1:65" x14ac:dyDescent="0.35">
      <c r="A93">
        <v>0</v>
      </c>
      <c r="B93" t="s">
        <v>11</v>
      </c>
      <c r="C93" t="s">
        <v>4</v>
      </c>
      <c r="D93">
        <v>0</v>
      </c>
      <c r="E93" t="s">
        <v>3</v>
      </c>
      <c r="F93" t="s">
        <v>5</v>
      </c>
      <c r="G93">
        <v>3900.9843300000002</v>
      </c>
      <c r="H93" t="s">
        <v>4</v>
      </c>
      <c r="I93">
        <v>990.16341899999998</v>
      </c>
      <c r="J93">
        <v>2910.8209109999998</v>
      </c>
      <c r="K93" t="s">
        <v>6</v>
      </c>
      <c r="L93" t="s">
        <v>7</v>
      </c>
      <c r="M93" t="s">
        <v>8</v>
      </c>
      <c r="N93" t="s">
        <v>6</v>
      </c>
      <c r="O93" t="s">
        <v>3</v>
      </c>
      <c r="P93" t="s">
        <v>3</v>
      </c>
      <c r="Q93" t="s">
        <v>3</v>
      </c>
      <c r="R93" t="s">
        <v>3</v>
      </c>
      <c r="S93" t="s">
        <v>11</v>
      </c>
      <c r="T93" t="s">
        <v>7</v>
      </c>
      <c r="U93">
        <v>0</v>
      </c>
      <c r="V93">
        <v>0</v>
      </c>
      <c r="W93">
        <v>0</v>
      </c>
      <c r="X93">
        <v>8</v>
      </c>
      <c r="Y93">
        <v>0</v>
      </c>
      <c r="Z93" t="s">
        <v>18</v>
      </c>
      <c r="AA93" t="s">
        <v>4</v>
      </c>
      <c r="AB93" t="s">
        <v>6</v>
      </c>
      <c r="AC93" t="s">
        <v>7</v>
      </c>
      <c r="AD93" t="s">
        <v>8</v>
      </c>
      <c r="AE93" t="s">
        <v>6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7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9</v>
      </c>
      <c r="AR93" s="1">
        <v>1.97639905E-6</v>
      </c>
      <c r="AS93" s="1">
        <v>3.0547845000000002E-29</v>
      </c>
      <c r="AT93">
        <v>4</v>
      </c>
      <c r="AU93" t="s">
        <v>10</v>
      </c>
      <c r="AV93">
        <v>0</v>
      </c>
      <c r="AW93">
        <v>0</v>
      </c>
      <c r="AX93">
        <v>0</v>
      </c>
      <c r="AY93">
        <v>8</v>
      </c>
      <c r="AZ93">
        <v>0</v>
      </c>
      <c r="BA93" t="s">
        <v>18</v>
      </c>
      <c r="BB93" t="s">
        <v>4</v>
      </c>
      <c r="BC93" t="s">
        <v>10</v>
      </c>
      <c r="BD93">
        <v>0</v>
      </c>
      <c r="BE93">
        <v>0</v>
      </c>
      <c r="BF93">
        <v>0</v>
      </c>
      <c r="BG93">
        <v>0</v>
      </c>
      <c r="BH93">
        <v>0</v>
      </c>
      <c r="BI93" t="s">
        <v>9</v>
      </c>
      <c r="BJ93">
        <v>0</v>
      </c>
      <c r="BK93">
        <v>-1.9800000000000001E-6</v>
      </c>
      <c r="BL93">
        <v>0</v>
      </c>
      <c r="BM93" s="2">
        <f t="shared" si="1"/>
        <v>1.8396342372657603E-10</v>
      </c>
    </row>
    <row r="94" spans="1:65" x14ac:dyDescent="0.35">
      <c r="A94">
        <v>0</v>
      </c>
      <c r="B94" t="s">
        <v>3</v>
      </c>
      <c r="C94" t="s">
        <v>4</v>
      </c>
      <c r="D94">
        <v>0</v>
      </c>
      <c r="E94" t="s">
        <v>3</v>
      </c>
      <c r="F94" t="s">
        <v>5</v>
      </c>
      <c r="G94">
        <v>3366.6580020000001</v>
      </c>
      <c r="H94" t="s">
        <v>4</v>
      </c>
      <c r="I94">
        <v>990.16341899999998</v>
      </c>
      <c r="J94">
        <v>2376.4945830000001</v>
      </c>
      <c r="K94" t="s">
        <v>6</v>
      </c>
      <c r="L94" t="s">
        <v>7</v>
      </c>
      <c r="M94" t="s">
        <v>8</v>
      </c>
      <c r="N94" t="s">
        <v>6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7</v>
      </c>
      <c r="U94">
        <v>1</v>
      </c>
      <c r="V94">
        <v>2</v>
      </c>
      <c r="W94">
        <v>0</v>
      </c>
      <c r="X94">
        <v>0</v>
      </c>
      <c r="Y94">
        <v>0</v>
      </c>
      <c r="Z94" t="s">
        <v>8</v>
      </c>
      <c r="AA94" t="s">
        <v>4</v>
      </c>
      <c r="AB94" t="s">
        <v>6</v>
      </c>
      <c r="AC94" t="s">
        <v>7</v>
      </c>
      <c r="AD94" t="s">
        <v>8</v>
      </c>
      <c r="AE94" t="s">
        <v>6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7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9</v>
      </c>
      <c r="AR94" s="1">
        <v>3.7289166E-4</v>
      </c>
      <c r="AS94" s="1">
        <v>8.8779729100000002E-25</v>
      </c>
      <c r="AT94">
        <v>5</v>
      </c>
      <c r="AU94" t="s">
        <v>10</v>
      </c>
      <c r="AV94">
        <v>1</v>
      </c>
      <c r="AW94">
        <v>2</v>
      </c>
      <c r="AX94">
        <v>0</v>
      </c>
      <c r="AY94">
        <v>0</v>
      </c>
      <c r="AZ94">
        <v>0</v>
      </c>
      <c r="BA94" t="s">
        <v>8</v>
      </c>
      <c r="BB94" t="s">
        <v>4</v>
      </c>
      <c r="BC94" t="s">
        <v>10</v>
      </c>
      <c r="BD94">
        <v>0</v>
      </c>
      <c r="BE94">
        <v>0</v>
      </c>
      <c r="BF94">
        <v>0</v>
      </c>
      <c r="BG94">
        <v>0</v>
      </c>
      <c r="BH94">
        <v>0</v>
      </c>
      <c r="BI94" t="s">
        <v>9</v>
      </c>
      <c r="BJ94">
        <v>3.6723000000000002E-4</v>
      </c>
      <c r="BK94">
        <v>0</v>
      </c>
      <c r="BL94">
        <v>-6.4720000000000004E-5</v>
      </c>
      <c r="BM94" s="2">
        <f t="shared" si="1"/>
        <v>5.3464402882605725E-6</v>
      </c>
    </row>
    <row r="95" spans="1:65" x14ac:dyDescent="0.35">
      <c r="A95">
        <v>0</v>
      </c>
      <c r="B95" t="s">
        <v>3</v>
      </c>
      <c r="C95" t="s">
        <v>4</v>
      </c>
      <c r="D95">
        <v>0</v>
      </c>
      <c r="E95" t="s">
        <v>3</v>
      </c>
      <c r="F95" t="s">
        <v>5</v>
      </c>
      <c r="G95">
        <v>3986.9128089999999</v>
      </c>
      <c r="H95" t="s">
        <v>4</v>
      </c>
      <c r="I95">
        <v>990.16341899999998</v>
      </c>
      <c r="J95">
        <v>2996.7493899999999</v>
      </c>
      <c r="K95" t="s">
        <v>6</v>
      </c>
      <c r="L95" t="s">
        <v>7</v>
      </c>
      <c r="M95" t="s">
        <v>8</v>
      </c>
      <c r="N95" t="s">
        <v>6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7</v>
      </c>
      <c r="U95">
        <v>1</v>
      </c>
      <c r="V95">
        <v>1</v>
      </c>
      <c r="W95">
        <v>0</v>
      </c>
      <c r="X95">
        <v>3</v>
      </c>
      <c r="Y95">
        <v>0</v>
      </c>
      <c r="Z95" t="s">
        <v>9</v>
      </c>
      <c r="AA95" t="s">
        <v>4</v>
      </c>
      <c r="AB95" t="s">
        <v>6</v>
      </c>
      <c r="AC95" t="s">
        <v>7</v>
      </c>
      <c r="AD95" t="s">
        <v>8</v>
      </c>
      <c r="AE95" t="s">
        <v>6</v>
      </c>
      <c r="AF95" t="s">
        <v>3</v>
      </c>
      <c r="AG95" t="s">
        <v>3</v>
      </c>
      <c r="AH95" t="s">
        <v>3</v>
      </c>
      <c r="AI95" t="s">
        <v>3</v>
      </c>
      <c r="AJ95" t="s">
        <v>3</v>
      </c>
      <c r="AK95" t="s">
        <v>7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9</v>
      </c>
      <c r="AR95" s="1">
        <v>1.7980403299999999E-4</v>
      </c>
      <c r="AS95" s="1">
        <v>2.6029463600000002E-25</v>
      </c>
      <c r="AT95">
        <v>4</v>
      </c>
      <c r="AU95" t="s">
        <v>10</v>
      </c>
      <c r="AV95">
        <v>1</v>
      </c>
      <c r="AW95">
        <v>1</v>
      </c>
      <c r="AX95">
        <v>0</v>
      </c>
      <c r="AY95">
        <v>3</v>
      </c>
      <c r="AZ95">
        <v>0</v>
      </c>
      <c r="BA95" t="s">
        <v>9</v>
      </c>
      <c r="BB95" t="s">
        <v>4</v>
      </c>
      <c r="BC95" t="s">
        <v>10</v>
      </c>
      <c r="BD95">
        <v>0</v>
      </c>
      <c r="BE95">
        <v>0</v>
      </c>
      <c r="BF95">
        <v>0</v>
      </c>
      <c r="BG95">
        <v>0</v>
      </c>
      <c r="BH95">
        <v>0</v>
      </c>
      <c r="BI95" t="s">
        <v>9</v>
      </c>
      <c r="BJ95">
        <v>-8.4320000000000006E-5</v>
      </c>
      <c r="BK95">
        <v>0</v>
      </c>
      <c r="BL95">
        <v>-1.5881000000000001E-4</v>
      </c>
      <c r="BM95" s="2">
        <f t="shared" si="1"/>
        <v>1.5675309474767488E-6</v>
      </c>
    </row>
    <row r="96" spans="1:65" x14ac:dyDescent="0.35">
      <c r="A96">
        <v>0</v>
      </c>
      <c r="B96" t="s">
        <v>3</v>
      </c>
      <c r="C96" t="s">
        <v>4</v>
      </c>
      <c r="D96">
        <v>0</v>
      </c>
      <c r="E96" t="s">
        <v>3</v>
      </c>
      <c r="F96" t="s">
        <v>5</v>
      </c>
      <c r="G96">
        <v>2641.451141</v>
      </c>
      <c r="H96" t="s">
        <v>4</v>
      </c>
      <c r="I96">
        <v>990.16341899999998</v>
      </c>
      <c r="J96">
        <v>1651.287722</v>
      </c>
      <c r="K96" t="s">
        <v>6</v>
      </c>
      <c r="L96" t="s">
        <v>7</v>
      </c>
      <c r="M96" t="s">
        <v>8</v>
      </c>
      <c r="N96" t="s">
        <v>6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7</v>
      </c>
      <c r="U96">
        <v>2</v>
      </c>
      <c r="V96">
        <v>0</v>
      </c>
      <c r="W96">
        <v>0</v>
      </c>
      <c r="X96">
        <v>0</v>
      </c>
      <c r="Y96">
        <v>1</v>
      </c>
      <c r="Z96" t="s">
        <v>8</v>
      </c>
      <c r="AA96" t="s">
        <v>4</v>
      </c>
      <c r="AB96" t="s">
        <v>6</v>
      </c>
      <c r="AC96" t="s">
        <v>7</v>
      </c>
      <c r="AD96" t="s">
        <v>8</v>
      </c>
      <c r="AE96" t="s">
        <v>6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7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9</v>
      </c>
      <c r="AR96" s="1">
        <v>1.06334132E-3</v>
      </c>
      <c r="AS96" s="1">
        <v>5.0145795099999998E-24</v>
      </c>
      <c r="AT96">
        <v>4</v>
      </c>
      <c r="AU96" t="s">
        <v>10</v>
      </c>
      <c r="AV96">
        <v>2</v>
      </c>
      <c r="AW96">
        <v>0</v>
      </c>
      <c r="AX96">
        <v>0</v>
      </c>
      <c r="AY96">
        <v>0</v>
      </c>
      <c r="AZ96">
        <v>1</v>
      </c>
      <c r="BA96" t="s">
        <v>8</v>
      </c>
      <c r="BB96" t="s">
        <v>4</v>
      </c>
      <c r="BC96" t="s">
        <v>10</v>
      </c>
      <c r="BD96">
        <v>0</v>
      </c>
      <c r="BE96">
        <v>0</v>
      </c>
      <c r="BF96">
        <v>0</v>
      </c>
      <c r="BG96">
        <v>0</v>
      </c>
      <c r="BH96">
        <v>0</v>
      </c>
      <c r="BI96" t="s">
        <v>9</v>
      </c>
      <c r="BJ96">
        <v>4.7896000000000001E-4</v>
      </c>
      <c r="BK96">
        <v>0</v>
      </c>
      <c r="BL96">
        <v>-9.4936E-4</v>
      </c>
      <c r="BM96" s="2">
        <f t="shared" si="1"/>
        <v>3.0198503862015006E-5</v>
      </c>
    </row>
    <row r="97" spans="1:65" x14ac:dyDescent="0.35">
      <c r="A97">
        <v>0</v>
      </c>
      <c r="B97" t="s">
        <v>11</v>
      </c>
      <c r="C97" t="s">
        <v>4</v>
      </c>
      <c r="D97">
        <v>0</v>
      </c>
      <c r="E97" t="s">
        <v>3</v>
      </c>
      <c r="F97" t="s">
        <v>5</v>
      </c>
      <c r="G97">
        <v>4503.0874729999996</v>
      </c>
      <c r="H97" t="s">
        <v>4</v>
      </c>
      <c r="I97">
        <v>990.16341899999998</v>
      </c>
      <c r="J97">
        <v>3512.9240540000001</v>
      </c>
      <c r="K97" t="s">
        <v>6</v>
      </c>
      <c r="L97" t="s">
        <v>7</v>
      </c>
      <c r="M97" t="s">
        <v>8</v>
      </c>
      <c r="N97" t="s">
        <v>6</v>
      </c>
      <c r="O97" t="s">
        <v>3</v>
      </c>
      <c r="P97" t="s">
        <v>3</v>
      </c>
      <c r="Q97" t="s">
        <v>3</v>
      </c>
      <c r="R97" t="s">
        <v>3</v>
      </c>
      <c r="S97" t="s">
        <v>11</v>
      </c>
      <c r="T97" t="s">
        <v>7</v>
      </c>
      <c r="U97">
        <v>1</v>
      </c>
      <c r="V97">
        <v>0</v>
      </c>
      <c r="W97">
        <v>0</v>
      </c>
      <c r="X97">
        <v>5</v>
      </c>
      <c r="Y97">
        <v>0</v>
      </c>
      <c r="Z97" t="s">
        <v>13</v>
      </c>
      <c r="AA97" t="s">
        <v>4</v>
      </c>
      <c r="AB97" t="s">
        <v>6</v>
      </c>
      <c r="AC97" t="s">
        <v>7</v>
      </c>
      <c r="AD97" t="s">
        <v>8</v>
      </c>
      <c r="AE97" t="s">
        <v>6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7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9</v>
      </c>
      <c r="AR97" s="1">
        <v>1.8749984200000001E-5</v>
      </c>
      <c r="AS97" s="1">
        <v>3.3180789699999997E-27</v>
      </c>
      <c r="AT97">
        <v>4</v>
      </c>
      <c r="AU97" t="s">
        <v>10</v>
      </c>
      <c r="AV97">
        <v>1</v>
      </c>
      <c r="AW97">
        <v>0</v>
      </c>
      <c r="AX97">
        <v>0</v>
      </c>
      <c r="AY97">
        <v>5</v>
      </c>
      <c r="AZ97">
        <v>0</v>
      </c>
      <c r="BA97" t="s">
        <v>13</v>
      </c>
      <c r="BB97" t="s">
        <v>4</v>
      </c>
      <c r="BC97" t="s">
        <v>10</v>
      </c>
      <c r="BD97">
        <v>0</v>
      </c>
      <c r="BE97">
        <v>0</v>
      </c>
      <c r="BF97">
        <v>0</v>
      </c>
      <c r="BG97">
        <v>0</v>
      </c>
      <c r="BH97">
        <v>0</v>
      </c>
      <c r="BI97" t="s">
        <v>9</v>
      </c>
      <c r="BJ97">
        <v>0</v>
      </c>
      <c r="BK97">
        <v>-1.8749999999999998E-5</v>
      </c>
      <c r="BL97">
        <v>0</v>
      </c>
      <c r="BM97" s="2">
        <f t="shared" si="1"/>
        <v>1.9981938742858972E-8</v>
      </c>
    </row>
    <row r="98" spans="1:65" x14ac:dyDescent="0.35">
      <c r="A98">
        <v>0</v>
      </c>
      <c r="B98" t="s">
        <v>3</v>
      </c>
      <c r="C98" t="s">
        <v>4</v>
      </c>
      <c r="D98">
        <v>0</v>
      </c>
      <c r="E98" t="s">
        <v>3</v>
      </c>
      <c r="F98" t="s">
        <v>5</v>
      </c>
      <c r="G98">
        <v>2197.2949910000002</v>
      </c>
      <c r="H98" t="s">
        <v>4</v>
      </c>
      <c r="I98">
        <v>990.16341899999998</v>
      </c>
      <c r="J98">
        <v>1207.131572</v>
      </c>
      <c r="K98" t="s">
        <v>6</v>
      </c>
      <c r="L98" t="s">
        <v>7</v>
      </c>
      <c r="M98" t="s">
        <v>8</v>
      </c>
      <c r="N98" t="s">
        <v>6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7</v>
      </c>
      <c r="U98">
        <v>1</v>
      </c>
      <c r="V98">
        <v>0</v>
      </c>
      <c r="W98">
        <v>0</v>
      </c>
      <c r="X98">
        <v>1</v>
      </c>
      <c r="Y98">
        <v>1</v>
      </c>
      <c r="Z98" t="s">
        <v>8</v>
      </c>
      <c r="AA98" t="s">
        <v>4</v>
      </c>
      <c r="AB98" t="s">
        <v>6</v>
      </c>
      <c r="AC98" t="s">
        <v>7</v>
      </c>
      <c r="AD98" t="s">
        <v>8</v>
      </c>
      <c r="AE98" t="s">
        <v>6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7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9</v>
      </c>
      <c r="AR98" s="1">
        <v>1.9871987900000001E-5</v>
      </c>
      <c r="AS98" s="1">
        <v>1.2769477600000001E-27</v>
      </c>
      <c r="AT98">
        <v>4</v>
      </c>
      <c r="AU98" t="s">
        <v>10</v>
      </c>
      <c r="AV98">
        <v>1</v>
      </c>
      <c r="AW98">
        <v>0</v>
      </c>
      <c r="AX98">
        <v>0</v>
      </c>
      <c r="AY98">
        <v>1</v>
      </c>
      <c r="AZ98">
        <v>1</v>
      </c>
      <c r="BA98" t="s">
        <v>8</v>
      </c>
      <c r="BB98" t="s">
        <v>4</v>
      </c>
      <c r="BC98" t="s">
        <v>10</v>
      </c>
      <c r="BD98">
        <v>0</v>
      </c>
      <c r="BE98">
        <v>0</v>
      </c>
      <c r="BF98">
        <v>0</v>
      </c>
      <c r="BG98">
        <v>0</v>
      </c>
      <c r="BH98">
        <v>0</v>
      </c>
      <c r="BI98" t="s">
        <v>9</v>
      </c>
      <c r="BJ98">
        <v>-8.49E-6</v>
      </c>
      <c r="BK98">
        <v>0</v>
      </c>
      <c r="BL98">
        <v>-1.7969999999999999E-5</v>
      </c>
      <c r="BM98" s="2">
        <f t="shared" si="1"/>
        <v>7.6899592049646089E-9</v>
      </c>
    </row>
    <row r="99" spans="1:65" x14ac:dyDescent="0.35">
      <c r="A99">
        <v>0</v>
      </c>
      <c r="B99" t="s">
        <v>3</v>
      </c>
      <c r="C99" t="s">
        <v>4</v>
      </c>
      <c r="D99">
        <v>0</v>
      </c>
      <c r="E99" t="s">
        <v>3</v>
      </c>
      <c r="F99" t="s">
        <v>5</v>
      </c>
      <c r="G99">
        <v>4780.6420820000003</v>
      </c>
      <c r="H99" t="s">
        <v>4</v>
      </c>
      <c r="I99">
        <v>990.16341899999998</v>
      </c>
      <c r="J99">
        <v>3790.4786629999999</v>
      </c>
      <c r="K99" t="s">
        <v>6</v>
      </c>
      <c r="L99" t="s">
        <v>7</v>
      </c>
      <c r="M99" t="s">
        <v>8</v>
      </c>
      <c r="N99" t="s">
        <v>6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7</v>
      </c>
      <c r="U99">
        <v>0</v>
      </c>
      <c r="V99">
        <v>0</v>
      </c>
      <c r="W99">
        <v>0</v>
      </c>
      <c r="X99">
        <v>3</v>
      </c>
      <c r="Y99">
        <v>0</v>
      </c>
      <c r="Z99" t="s">
        <v>17</v>
      </c>
      <c r="AA99" t="s">
        <v>4</v>
      </c>
      <c r="AB99" t="s">
        <v>6</v>
      </c>
      <c r="AC99" t="s">
        <v>7</v>
      </c>
      <c r="AD99" t="s">
        <v>8</v>
      </c>
      <c r="AE99" t="s">
        <v>6</v>
      </c>
      <c r="AF99" t="s">
        <v>3</v>
      </c>
      <c r="AG99" t="s">
        <v>3</v>
      </c>
      <c r="AH99" t="s">
        <v>3</v>
      </c>
      <c r="AI99" t="s">
        <v>3</v>
      </c>
      <c r="AJ99" t="s">
        <v>3</v>
      </c>
      <c r="AK99" t="s">
        <v>7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9</v>
      </c>
      <c r="AR99" s="1">
        <v>2.06051376E-4</v>
      </c>
      <c r="AS99" s="1">
        <v>4.3237567399999997E-25</v>
      </c>
      <c r="AT99">
        <v>5</v>
      </c>
      <c r="AU99" t="s">
        <v>10</v>
      </c>
      <c r="AV99">
        <v>0</v>
      </c>
      <c r="AW99">
        <v>0</v>
      </c>
      <c r="AX99">
        <v>0</v>
      </c>
      <c r="AY99">
        <v>3</v>
      </c>
      <c r="AZ99">
        <v>0</v>
      </c>
      <c r="BA99" t="s">
        <v>17</v>
      </c>
      <c r="BB99" t="s">
        <v>4</v>
      </c>
      <c r="BC99" t="s">
        <v>10</v>
      </c>
      <c r="BD99">
        <v>0</v>
      </c>
      <c r="BE99">
        <v>0</v>
      </c>
      <c r="BF99">
        <v>0</v>
      </c>
      <c r="BG99">
        <v>0</v>
      </c>
      <c r="BH99">
        <v>0</v>
      </c>
      <c r="BI99" t="s">
        <v>9</v>
      </c>
      <c r="BJ99">
        <v>-1.4016000000000001E-4</v>
      </c>
      <c r="BK99">
        <v>0</v>
      </c>
      <c r="BL99">
        <v>1.5103999999999999E-4</v>
      </c>
      <c r="BM99" s="2">
        <f t="shared" si="1"/>
        <v>2.6038271873228987E-6</v>
      </c>
    </row>
    <row r="100" spans="1:65" x14ac:dyDescent="0.35">
      <c r="A100">
        <v>0</v>
      </c>
      <c r="B100" t="s">
        <v>3</v>
      </c>
      <c r="C100" t="s">
        <v>4</v>
      </c>
      <c r="D100">
        <v>0</v>
      </c>
      <c r="E100" t="s">
        <v>3</v>
      </c>
      <c r="F100" t="s">
        <v>5</v>
      </c>
      <c r="G100">
        <v>4651.8764879999999</v>
      </c>
      <c r="H100" t="s">
        <v>4</v>
      </c>
      <c r="I100">
        <v>990.16341899999998</v>
      </c>
      <c r="J100">
        <v>3661.7130689999999</v>
      </c>
      <c r="K100" t="s">
        <v>6</v>
      </c>
      <c r="L100" t="s">
        <v>7</v>
      </c>
      <c r="M100" t="s">
        <v>8</v>
      </c>
      <c r="N100" t="s">
        <v>6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7</v>
      </c>
      <c r="U100">
        <v>1</v>
      </c>
      <c r="V100">
        <v>3</v>
      </c>
      <c r="W100">
        <v>0</v>
      </c>
      <c r="X100">
        <v>0</v>
      </c>
      <c r="Y100">
        <v>0</v>
      </c>
      <c r="Z100" t="s">
        <v>8</v>
      </c>
      <c r="AA100" t="s">
        <v>4</v>
      </c>
      <c r="AB100" t="s">
        <v>6</v>
      </c>
      <c r="AC100" t="s">
        <v>7</v>
      </c>
      <c r="AD100" t="s">
        <v>8</v>
      </c>
      <c r="AE100" t="s">
        <v>6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7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9</v>
      </c>
      <c r="AR100" s="1">
        <v>7.5363125100000002E-4</v>
      </c>
      <c r="AS100" s="1">
        <v>5.5875093500000004E-24</v>
      </c>
      <c r="AT100">
        <v>5</v>
      </c>
      <c r="AU100" t="s">
        <v>10</v>
      </c>
      <c r="AV100">
        <v>1</v>
      </c>
      <c r="AW100">
        <v>3</v>
      </c>
      <c r="AX100">
        <v>0</v>
      </c>
      <c r="AY100">
        <v>0</v>
      </c>
      <c r="AZ100">
        <v>0</v>
      </c>
      <c r="BA100" t="s">
        <v>8</v>
      </c>
      <c r="BB100" t="s">
        <v>4</v>
      </c>
      <c r="BC100" t="s">
        <v>10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9</v>
      </c>
      <c r="BJ100">
        <v>-5.5342E-4</v>
      </c>
      <c r="BK100">
        <v>0</v>
      </c>
      <c r="BL100">
        <v>5.1155000000000005E-4</v>
      </c>
      <c r="BM100" s="2">
        <f t="shared" si="1"/>
        <v>3.3648768027016483E-5</v>
      </c>
    </row>
    <row r="101" spans="1:65" x14ac:dyDescent="0.35">
      <c r="A101">
        <v>0</v>
      </c>
      <c r="B101" t="s">
        <v>3</v>
      </c>
      <c r="C101" t="s">
        <v>4</v>
      </c>
      <c r="D101">
        <v>0</v>
      </c>
      <c r="E101" t="s">
        <v>3</v>
      </c>
      <c r="F101" t="s">
        <v>5</v>
      </c>
      <c r="G101">
        <v>2934.6004640000001</v>
      </c>
      <c r="H101" t="s">
        <v>4</v>
      </c>
      <c r="I101">
        <v>990.16341899999998</v>
      </c>
      <c r="J101">
        <v>1944.4370449999999</v>
      </c>
      <c r="K101" t="s">
        <v>6</v>
      </c>
      <c r="L101" t="s">
        <v>7</v>
      </c>
      <c r="M101" t="s">
        <v>8</v>
      </c>
      <c r="N101" t="s">
        <v>6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7</v>
      </c>
      <c r="U101">
        <v>3</v>
      </c>
      <c r="V101">
        <v>0</v>
      </c>
      <c r="W101">
        <v>0</v>
      </c>
      <c r="X101">
        <v>1</v>
      </c>
      <c r="Y101">
        <v>0</v>
      </c>
      <c r="Z101" t="s">
        <v>8</v>
      </c>
      <c r="AA101" t="s">
        <v>4</v>
      </c>
      <c r="AB101" t="s">
        <v>6</v>
      </c>
      <c r="AC101" t="s">
        <v>7</v>
      </c>
      <c r="AD101" t="s">
        <v>8</v>
      </c>
      <c r="AE101" t="s">
        <v>6</v>
      </c>
      <c r="AF101" t="s">
        <v>3</v>
      </c>
      <c r="AG101" t="s">
        <v>3</v>
      </c>
      <c r="AH101" t="s">
        <v>3</v>
      </c>
      <c r="AI101" t="s">
        <v>3</v>
      </c>
      <c r="AJ101" t="s">
        <v>3</v>
      </c>
      <c r="AK101" t="s">
        <v>7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9</v>
      </c>
      <c r="AR101" s="1">
        <v>1.25435047E-4</v>
      </c>
      <c r="AS101" s="1">
        <v>8.2188579700000002E-26</v>
      </c>
      <c r="AT101">
        <v>5</v>
      </c>
      <c r="AU101" t="s">
        <v>10</v>
      </c>
      <c r="AV101">
        <v>3</v>
      </c>
      <c r="AW101">
        <v>0</v>
      </c>
      <c r="AX101">
        <v>0</v>
      </c>
      <c r="AY101">
        <v>1</v>
      </c>
      <c r="AZ101">
        <v>0</v>
      </c>
      <c r="BA101" t="s">
        <v>8</v>
      </c>
      <c r="BB101" t="s">
        <v>4</v>
      </c>
      <c r="BC101" t="s">
        <v>10</v>
      </c>
      <c r="BD101">
        <v>0</v>
      </c>
      <c r="BE101">
        <v>0</v>
      </c>
      <c r="BF101">
        <v>0</v>
      </c>
      <c r="BG101">
        <v>0</v>
      </c>
      <c r="BH101">
        <v>0</v>
      </c>
      <c r="BI101" t="s">
        <v>9</v>
      </c>
      <c r="BJ101">
        <v>-8.2460000000000007E-5</v>
      </c>
      <c r="BK101">
        <v>0</v>
      </c>
      <c r="BL101">
        <v>9.4519999999999996E-5</v>
      </c>
      <c r="BM101" s="2">
        <f t="shared" si="1"/>
        <v>4.9495119910542175E-7</v>
      </c>
    </row>
    <row r="102" spans="1:65" x14ac:dyDescent="0.35">
      <c r="A102">
        <v>0</v>
      </c>
      <c r="B102" t="s">
        <v>11</v>
      </c>
      <c r="C102" t="s">
        <v>4</v>
      </c>
      <c r="D102">
        <v>0</v>
      </c>
      <c r="E102" t="s">
        <v>3</v>
      </c>
      <c r="F102" t="s">
        <v>5</v>
      </c>
      <c r="G102">
        <v>4291.5193820000004</v>
      </c>
      <c r="H102" t="s">
        <v>4</v>
      </c>
      <c r="I102">
        <v>990.16341899999998</v>
      </c>
      <c r="J102">
        <v>3301.355963</v>
      </c>
      <c r="K102" t="s">
        <v>6</v>
      </c>
      <c r="L102" t="s">
        <v>7</v>
      </c>
      <c r="M102" t="s">
        <v>8</v>
      </c>
      <c r="N102" t="s">
        <v>6</v>
      </c>
      <c r="O102" t="s">
        <v>3</v>
      </c>
      <c r="P102" t="s">
        <v>3</v>
      </c>
      <c r="Q102" t="s">
        <v>3</v>
      </c>
      <c r="R102" t="s">
        <v>3</v>
      </c>
      <c r="S102" t="s">
        <v>11</v>
      </c>
      <c r="T102" t="s">
        <v>7</v>
      </c>
      <c r="U102">
        <v>4</v>
      </c>
      <c r="V102">
        <v>0</v>
      </c>
      <c r="W102">
        <v>0</v>
      </c>
      <c r="X102">
        <v>1</v>
      </c>
      <c r="Y102">
        <v>0</v>
      </c>
      <c r="Z102" t="s">
        <v>18</v>
      </c>
      <c r="AA102" t="s">
        <v>4</v>
      </c>
      <c r="AB102" t="s">
        <v>6</v>
      </c>
      <c r="AC102" t="s">
        <v>7</v>
      </c>
      <c r="AD102" t="s">
        <v>8</v>
      </c>
      <c r="AE102" t="s">
        <v>6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7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9</v>
      </c>
      <c r="AR102" s="1">
        <v>1.7621912000000001E-5</v>
      </c>
      <c r="AS102" s="1">
        <v>2.7543207900000001E-27</v>
      </c>
      <c r="AT102">
        <v>5</v>
      </c>
      <c r="AU102" t="s">
        <v>10</v>
      </c>
      <c r="AV102">
        <v>4</v>
      </c>
      <c r="AW102">
        <v>0</v>
      </c>
      <c r="AX102">
        <v>0</v>
      </c>
      <c r="AY102">
        <v>1</v>
      </c>
      <c r="AZ102">
        <v>0</v>
      </c>
      <c r="BA102" t="s">
        <v>18</v>
      </c>
      <c r="BB102" t="s">
        <v>4</v>
      </c>
      <c r="BC102" t="s">
        <v>10</v>
      </c>
      <c r="BD102">
        <v>0</v>
      </c>
      <c r="BE102">
        <v>0</v>
      </c>
      <c r="BF102">
        <v>0</v>
      </c>
      <c r="BG102">
        <v>0</v>
      </c>
      <c r="BH102">
        <v>0</v>
      </c>
      <c r="BI102" t="s">
        <v>9</v>
      </c>
      <c r="BJ102">
        <v>0</v>
      </c>
      <c r="BK102">
        <v>-1.7620000000000001E-5</v>
      </c>
      <c r="BL102">
        <v>0</v>
      </c>
      <c r="BM102" s="2">
        <f t="shared" si="1"/>
        <v>1.658690760574723E-8</v>
      </c>
    </row>
    <row r="103" spans="1:65" x14ac:dyDescent="0.35">
      <c r="A103">
        <v>0</v>
      </c>
      <c r="B103" t="s">
        <v>3</v>
      </c>
      <c r="C103" t="s">
        <v>4</v>
      </c>
      <c r="D103">
        <v>0</v>
      </c>
      <c r="E103" t="s">
        <v>3</v>
      </c>
      <c r="F103" t="s">
        <v>5</v>
      </c>
      <c r="G103">
        <v>4946.622875</v>
      </c>
      <c r="H103" t="s">
        <v>4</v>
      </c>
      <c r="I103">
        <v>990.16341899999998</v>
      </c>
      <c r="J103">
        <v>3956.459456</v>
      </c>
      <c r="K103" t="s">
        <v>6</v>
      </c>
      <c r="L103" t="s">
        <v>7</v>
      </c>
      <c r="M103" t="s">
        <v>8</v>
      </c>
      <c r="N103" t="s">
        <v>6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7</v>
      </c>
      <c r="U103">
        <v>1</v>
      </c>
      <c r="V103">
        <v>0</v>
      </c>
      <c r="W103">
        <v>0</v>
      </c>
      <c r="X103">
        <v>0</v>
      </c>
      <c r="Y103">
        <v>3</v>
      </c>
      <c r="Z103" t="s">
        <v>15</v>
      </c>
      <c r="AA103" t="s">
        <v>4</v>
      </c>
      <c r="AB103" t="s">
        <v>6</v>
      </c>
      <c r="AC103" t="s">
        <v>7</v>
      </c>
      <c r="AD103" t="s">
        <v>8</v>
      </c>
      <c r="AE103" t="s">
        <v>6</v>
      </c>
      <c r="AF103" t="s">
        <v>3</v>
      </c>
      <c r="AG103" t="s">
        <v>3</v>
      </c>
      <c r="AH103" t="s">
        <v>3</v>
      </c>
      <c r="AI103" t="s">
        <v>3</v>
      </c>
      <c r="AJ103" t="s">
        <v>3</v>
      </c>
      <c r="AK103" t="s">
        <v>7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9</v>
      </c>
      <c r="AR103" s="1">
        <v>6.4082771499999994E-5</v>
      </c>
      <c r="AS103" s="1">
        <v>4.3652131299999999E-26</v>
      </c>
      <c r="AT103">
        <v>5</v>
      </c>
      <c r="AU103" t="s">
        <v>10</v>
      </c>
      <c r="AV103">
        <v>1</v>
      </c>
      <c r="AW103">
        <v>0</v>
      </c>
      <c r="AX103">
        <v>0</v>
      </c>
      <c r="AY103">
        <v>0</v>
      </c>
      <c r="AZ103">
        <v>3</v>
      </c>
      <c r="BA103" t="s">
        <v>15</v>
      </c>
      <c r="BB103" t="s">
        <v>4</v>
      </c>
      <c r="BC103" t="s">
        <v>10</v>
      </c>
      <c r="BD103">
        <v>0</v>
      </c>
      <c r="BE103">
        <v>0</v>
      </c>
      <c r="BF103">
        <v>0</v>
      </c>
      <c r="BG103">
        <v>0</v>
      </c>
      <c r="BH103">
        <v>0</v>
      </c>
      <c r="BI103" t="s">
        <v>9</v>
      </c>
      <c r="BJ103">
        <v>3.451E-5</v>
      </c>
      <c r="BK103">
        <v>0</v>
      </c>
      <c r="BL103">
        <v>-5.3999999999999998E-5</v>
      </c>
      <c r="BM103" s="2">
        <f t="shared" si="1"/>
        <v>2.6287928090868701E-7</v>
      </c>
    </row>
    <row r="104" spans="1:65" x14ac:dyDescent="0.35">
      <c r="A104">
        <v>0</v>
      </c>
      <c r="B104" t="s">
        <v>3</v>
      </c>
      <c r="C104" t="s">
        <v>4</v>
      </c>
      <c r="D104">
        <v>0</v>
      </c>
      <c r="E104" t="s">
        <v>3</v>
      </c>
      <c r="F104" t="s">
        <v>5</v>
      </c>
      <c r="G104">
        <v>1304.9792420000001</v>
      </c>
      <c r="H104" t="s">
        <v>4</v>
      </c>
      <c r="I104">
        <v>990.16341899999998</v>
      </c>
      <c r="J104">
        <v>314.81582300000002</v>
      </c>
      <c r="K104" t="s">
        <v>6</v>
      </c>
      <c r="L104" t="s">
        <v>7</v>
      </c>
      <c r="M104" t="s">
        <v>8</v>
      </c>
      <c r="N104" t="s">
        <v>6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7</v>
      </c>
      <c r="U104">
        <v>0</v>
      </c>
      <c r="V104">
        <v>0</v>
      </c>
      <c r="W104">
        <v>0</v>
      </c>
      <c r="X104">
        <v>1</v>
      </c>
      <c r="Y104">
        <v>1</v>
      </c>
      <c r="Z104" t="s">
        <v>8</v>
      </c>
      <c r="AA104" t="s">
        <v>4</v>
      </c>
      <c r="AB104" t="s">
        <v>6</v>
      </c>
      <c r="AC104" t="s">
        <v>7</v>
      </c>
      <c r="AD104" t="s">
        <v>8</v>
      </c>
      <c r="AE104" t="s">
        <v>6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7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9</v>
      </c>
      <c r="AR104" s="1">
        <v>4.3601763000000002E-6</v>
      </c>
      <c r="AS104" s="1">
        <v>1.25628045E-29</v>
      </c>
      <c r="AT104">
        <v>6</v>
      </c>
      <c r="AU104" t="s">
        <v>10</v>
      </c>
      <c r="AV104">
        <v>0</v>
      </c>
      <c r="AW104">
        <v>0</v>
      </c>
      <c r="AX104">
        <v>0</v>
      </c>
      <c r="AY104">
        <v>1</v>
      </c>
      <c r="AZ104">
        <v>1</v>
      </c>
      <c r="BA104" t="s">
        <v>8</v>
      </c>
      <c r="BB104" t="s">
        <v>4</v>
      </c>
      <c r="BC104" t="s">
        <v>10</v>
      </c>
      <c r="BD104">
        <v>0</v>
      </c>
      <c r="BE104">
        <v>0</v>
      </c>
      <c r="BF104">
        <v>0</v>
      </c>
      <c r="BG104">
        <v>0</v>
      </c>
      <c r="BH104">
        <v>0</v>
      </c>
      <c r="BI104" t="s">
        <v>9</v>
      </c>
      <c r="BJ104">
        <v>4.2699999999999998E-6</v>
      </c>
      <c r="BK104">
        <v>0</v>
      </c>
      <c r="BL104">
        <v>8.7000000000000003E-7</v>
      </c>
      <c r="BM104" s="2">
        <f t="shared" si="1"/>
        <v>7.5654977541873601E-11</v>
      </c>
    </row>
    <row r="105" spans="1:65" x14ac:dyDescent="0.35">
      <c r="A105">
        <v>0</v>
      </c>
      <c r="B105" t="s">
        <v>11</v>
      </c>
      <c r="C105" t="s">
        <v>4</v>
      </c>
      <c r="D105">
        <v>0</v>
      </c>
      <c r="E105" t="s">
        <v>3</v>
      </c>
      <c r="F105" t="s">
        <v>5</v>
      </c>
      <c r="G105">
        <v>4882.2384439999996</v>
      </c>
      <c r="H105" t="s">
        <v>4</v>
      </c>
      <c r="I105">
        <v>990.16341899999998</v>
      </c>
      <c r="J105">
        <v>3892.0750250000001</v>
      </c>
      <c r="K105" t="s">
        <v>6</v>
      </c>
      <c r="L105" t="s">
        <v>7</v>
      </c>
      <c r="M105" t="s">
        <v>8</v>
      </c>
      <c r="N105" t="s">
        <v>6</v>
      </c>
      <c r="O105" t="s">
        <v>3</v>
      </c>
      <c r="P105" t="s">
        <v>3</v>
      </c>
      <c r="Q105" t="s">
        <v>3</v>
      </c>
      <c r="R105" t="s">
        <v>3</v>
      </c>
      <c r="S105" t="s">
        <v>11</v>
      </c>
      <c r="T105" t="s">
        <v>7</v>
      </c>
      <c r="U105">
        <v>0</v>
      </c>
      <c r="V105">
        <v>2</v>
      </c>
      <c r="W105">
        <v>0</v>
      </c>
      <c r="X105">
        <v>0</v>
      </c>
      <c r="Y105">
        <v>0</v>
      </c>
      <c r="Z105" t="s">
        <v>12</v>
      </c>
      <c r="AA105" t="s">
        <v>4</v>
      </c>
      <c r="AB105" t="s">
        <v>6</v>
      </c>
      <c r="AC105" t="s">
        <v>7</v>
      </c>
      <c r="AD105" t="s">
        <v>8</v>
      </c>
      <c r="AE105" t="s">
        <v>6</v>
      </c>
      <c r="AF105" t="s">
        <v>3</v>
      </c>
      <c r="AG105" t="s">
        <v>3</v>
      </c>
      <c r="AH105" t="s">
        <v>3</v>
      </c>
      <c r="AI105" t="s">
        <v>3</v>
      </c>
      <c r="AJ105" t="s">
        <v>3</v>
      </c>
      <c r="AK105" t="s">
        <v>7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9</v>
      </c>
      <c r="AR105" s="1">
        <v>2.2491794000000001E-5</v>
      </c>
      <c r="AS105" s="1">
        <v>5.2898768099999998E-27</v>
      </c>
      <c r="AT105">
        <v>5</v>
      </c>
      <c r="AU105" t="s">
        <v>10</v>
      </c>
      <c r="AV105">
        <v>0</v>
      </c>
      <c r="AW105">
        <v>2</v>
      </c>
      <c r="AX105">
        <v>0</v>
      </c>
      <c r="AY105">
        <v>0</v>
      </c>
      <c r="AZ105">
        <v>0</v>
      </c>
      <c r="BA105" t="s">
        <v>12</v>
      </c>
      <c r="BB105" t="s">
        <v>4</v>
      </c>
      <c r="BC105" t="s">
        <v>10</v>
      </c>
      <c r="BD105">
        <v>0</v>
      </c>
      <c r="BE105">
        <v>0</v>
      </c>
      <c r="BF105">
        <v>0</v>
      </c>
      <c r="BG105">
        <v>0</v>
      </c>
      <c r="BH105">
        <v>0</v>
      </c>
      <c r="BI105" t="s">
        <v>9</v>
      </c>
      <c r="BJ105">
        <v>0</v>
      </c>
      <c r="BK105">
        <v>-2.249E-5</v>
      </c>
      <c r="BL105">
        <v>0</v>
      </c>
      <c r="BM105" s="2">
        <f t="shared" si="1"/>
        <v>3.1856382964474846E-8</v>
      </c>
    </row>
    <row r="106" spans="1:65" x14ac:dyDescent="0.35">
      <c r="A106">
        <v>0</v>
      </c>
      <c r="B106" t="s">
        <v>3</v>
      </c>
      <c r="C106" t="s">
        <v>4</v>
      </c>
      <c r="D106">
        <v>0</v>
      </c>
      <c r="E106" t="s">
        <v>3</v>
      </c>
      <c r="F106" t="s">
        <v>5</v>
      </c>
      <c r="G106">
        <v>4209.6904379999996</v>
      </c>
      <c r="H106" t="s">
        <v>4</v>
      </c>
      <c r="I106">
        <v>990.16341899999998</v>
      </c>
      <c r="J106">
        <v>3219.5270190000001</v>
      </c>
      <c r="K106" t="s">
        <v>6</v>
      </c>
      <c r="L106" t="s">
        <v>7</v>
      </c>
      <c r="M106" t="s">
        <v>8</v>
      </c>
      <c r="N106" t="s">
        <v>6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7</v>
      </c>
      <c r="U106">
        <v>5</v>
      </c>
      <c r="V106">
        <v>0</v>
      </c>
      <c r="W106">
        <v>0</v>
      </c>
      <c r="X106">
        <v>0</v>
      </c>
      <c r="Y106">
        <v>0</v>
      </c>
      <c r="Z106" t="s">
        <v>8</v>
      </c>
      <c r="AA106" t="s">
        <v>4</v>
      </c>
      <c r="AB106" t="s">
        <v>6</v>
      </c>
      <c r="AC106" t="s">
        <v>7</v>
      </c>
      <c r="AD106" t="s">
        <v>8</v>
      </c>
      <c r="AE106" t="s">
        <v>6</v>
      </c>
      <c r="AF106" t="s">
        <v>3</v>
      </c>
      <c r="AG106" t="s">
        <v>3</v>
      </c>
      <c r="AH106" t="s">
        <v>3</v>
      </c>
      <c r="AI106" t="s">
        <v>3</v>
      </c>
      <c r="AJ106" t="s">
        <v>3</v>
      </c>
      <c r="AK106" t="s">
        <v>7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9</v>
      </c>
      <c r="AR106" s="1">
        <v>8.0244746499999998E-5</v>
      </c>
      <c r="AS106" s="1">
        <v>5.5698228099999997E-26</v>
      </c>
      <c r="AT106">
        <v>5</v>
      </c>
      <c r="AU106" t="s">
        <v>10</v>
      </c>
      <c r="AV106">
        <v>5</v>
      </c>
      <c r="AW106">
        <v>0</v>
      </c>
      <c r="AX106">
        <v>0</v>
      </c>
      <c r="AY106">
        <v>0</v>
      </c>
      <c r="AZ106">
        <v>0</v>
      </c>
      <c r="BA106" t="s">
        <v>8</v>
      </c>
      <c r="BB106" t="s">
        <v>4</v>
      </c>
      <c r="BC106" t="s">
        <v>10</v>
      </c>
      <c r="BD106">
        <v>0</v>
      </c>
      <c r="BE106">
        <v>0</v>
      </c>
      <c r="BF106">
        <v>0</v>
      </c>
      <c r="BG106">
        <v>0</v>
      </c>
      <c r="BH106">
        <v>0</v>
      </c>
      <c r="BI106" t="s">
        <v>9</v>
      </c>
      <c r="BJ106">
        <v>6.9670000000000002E-5</v>
      </c>
      <c r="BK106">
        <v>0</v>
      </c>
      <c r="BL106">
        <v>3.9820000000000002E-5</v>
      </c>
      <c r="BM106" s="2">
        <f t="shared" si="1"/>
        <v>3.3542257192871649E-7</v>
      </c>
    </row>
    <row r="107" spans="1:65" x14ac:dyDescent="0.35">
      <c r="A107">
        <v>0</v>
      </c>
      <c r="B107" t="s">
        <v>11</v>
      </c>
      <c r="C107" t="s">
        <v>4</v>
      </c>
      <c r="D107">
        <v>0</v>
      </c>
      <c r="E107" t="s">
        <v>3</v>
      </c>
      <c r="F107" t="s">
        <v>5</v>
      </c>
      <c r="G107">
        <v>3642.876518</v>
      </c>
      <c r="H107" t="s">
        <v>4</v>
      </c>
      <c r="I107">
        <v>990.16341899999998</v>
      </c>
      <c r="J107">
        <v>2652.7130990000001</v>
      </c>
      <c r="K107" t="s">
        <v>6</v>
      </c>
      <c r="L107" t="s">
        <v>7</v>
      </c>
      <c r="M107" t="s">
        <v>8</v>
      </c>
      <c r="N107" t="s">
        <v>6</v>
      </c>
      <c r="O107" t="s">
        <v>3</v>
      </c>
      <c r="P107" t="s">
        <v>3</v>
      </c>
      <c r="Q107" t="s">
        <v>3</v>
      </c>
      <c r="R107" t="s">
        <v>3</v>
      </c>
      <c r="S107" t="s">
        <v>11</v>
      </c>
      <c r="T107" t="s">
        <v>7</v>
      </c>
      <c r="U107">
        <v>1</v>
      </c>
      <c r="V107">
        <v>0</v>
      </c>
      <c r="W107">
        <v>0</v>
      </c>
      <c r="X107">
        <v>1</v>
      </c>
      <c r="Y107">
        <v>1</v>
      </c>
      <c r="Z107" t="s">
        <v>14</v>
      </c>
      <c r="AA107" t="s">
        <v>4</v>
      </c>
      <c r="AB107" t="s">
        <v>6</v>
      </c>
      <c r="AC107" t="s">
        <v>7</v>
      </c>
      <c r="AD107" t="s">
        <v>8</v>
      </c>
      <c r="AE107" t="s">
        <v>6</v>
      </c>
      <c r="AF107" t="s">
        <v>3</v>
      </c>
      <c r="AG107" t="s">
        <v>3</v>
      </c>
      <c r="AH107" t="s">
        <v>3</v>
      </c>
      <c r="AI107" t="s">
        <v>3</v>
      </c>
      <c r="AJ107" t="s">
        <v>3</v>
      </c>
      <c r="AK107" t="s">
        <v>7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9</v>
      </c>
      <c r="AR107" s="1">
        <v>1.26492938E-5</v>
      </c>
      <c r="AS107" s="1">
        <v>1.1403490799999999E-27</v>
      </c>
      <c r="AT107">
        <v>6</v>
      </c>
      <c r="AU107" t="s">
        <v>10</v>
      </c>
      <c r="AV107">
        <v>1</v>
      </c>
      <c r="AW107">
        <v>0</v>
      </c>
      <c r="AX107">
        <v>0</v>
      </c>
      <c r="AY107">
        <v>1</v>
      </c>
      <c r="AZ107">
        <v>1</v>
      </c>
      <c r="BA107" t="s">
        <v>14</v>
      </c>
      <c r="BB107" t="s">
        <v>4</v>
      </c>
      <c r="BC107" t="s">
        <v>10</v>
      </c>
      <c r="BD107">
        <v>0</v>
      </c>
      <c r="BE107">
        <v>0</v>
      </c>
      <c r="BF107">
        <v>0</v>
      </c>
      <c r="BG107">
        <v>0</v>
      </c>
      <c r="BH107">
        <v>0</v>
      </c>
      <c r="BI107" t="s">
        <v>9</v>
      </c>
      <c r="BJ107">
        <v>0</v>
      </c>
      <c r="BK107">
        <v>1.2649999999999999E-5</v>
      </c>
      <c r="BL107">
        <v>0</v>
      </c>
      <c r="BM107" s="2">
        <f t="shared" si="1"/>
        <v>6.8673427209104629E-9</v>
      </c>
    </row>
    <row r="108" spans="1:65" x14ac:dyDescent="0.35">
      <c r="A108">
        <v>0</v>
      </c>
      <c r="B108" t="s">
        <v>3</v>
      </c>
      <c r="C108" t="s">
        <v>4</v>
      </c>
      <c r="D108">
        <v>0</v>
      </c>
      <c r="E108" t="s">
        <v>3</v>
      </c>
      <c r="F108" t="s">
        <v>5</v>
      </c>
      <c r="G108">
        <v>4104.878361</v>
      </c>
      <c r="H108" t="s">
        <v>4</v>
      </c>
      <c r="I108">
        <v>990.16341899999998</v>
      </c>
      <c r="J108">
        <v>3114.7149420000001</v>
      </c>
      <c r="K108" t="s">
        <v>6</v>
      </c>
      <c r="L108" t="s">
        <v>7</v>
      </c>
      <c r="M108" t="s">
        <v>8</v>
      </c>
      <c r="N108" t="s">
        <v>6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7</v>
      </c>
      <c r="U108">
        <v>0</v>
      </c>
      <c r="V108">
        <v>0</v>
      </c>
      <c r="W108">
        <v>0</v>
      </c>
      <c r="X108">
        <v>0</v>
      </c>
      <c r="Y108">
        <v>2</v>
      </c>
      <c r="Z108" t="s">
        <v>24</v>
      </c>
      <c r="AA108" t="s">
        <v>4</v>
      </c>
      <c r="AB108" t="s">
        <v>6</v>
      </c>
      <c r="AC108" t="s">
        <v>7</v>
      </c>
      <c r="AD108" t="s">
        <v>8</v>
      </c>
      <c r="AE108" t="s">
        <v>6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7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9</v>
      </c>
      <c r="AR108" s="1">
        <v>8.1512649799999996E-5</v>
      </c>
      <c r="AS108" s="1">
        <v>5.5601225499999999E-26</v>
      </c>
      <c r="AT108">
        <v>6</v>
      </c>
      <c r="AU108" t="s">
        <v>10</v>
      </c>
      <c r="AV108">
        <v>0</v>
      </c>
      <c r="AW108">
        <v>0</v>
      </c>
      <c r="AX108">
        <v>0</v>
      </c>
      <c r="AY108">
        <v>0</v>
      </c>
      <c r="AZ108">
        <v>2</v>
      </c>
      <c r="BA108" t="s">
        <v>24</v>
      </c>
      <c r="BB108" t="s">
        <v>4</v>
      </c>
      <c r="BC108" t="s">
        <v>10</v>
      </c>
      <c r="BD108">
        <v>0</v>
      </c>
      <c r="BE108">
        <v>0</v>
      </c>
      <c r="BF108">
        <v>0</v>
      </c>
      <c r="BG108">
        <v>0</v>
      </c>
      <c r="BH108">
        <v>0</v>
      </c>
      <c r="BI108" t="s">
        <v>9</v>
      </c>
      <c r="BJ108">
        <v>-8.14E-5</v>
      </c>
      <c r="BK108">
        <v>0</v>
      </c>
      <c r="BL108">
        <v>4.33E-6</v>
      </c>
      <c r="BM108" s="2">
        <f t="shared" si="1"/>
        <v>3.3483840861355037E-7</v>
      </c>
    </row>
    <row r="109" spans="1:65" x14ac:dyDescent="0.35">
      <c r="A109">
        <v>0</v>
      </c>
      <c r="B109" t="s">
        <v>3</v>
      </c>
      <c r="C109" t="s">
        <v>4</v>
      </c>
      <c r="D109">
        <v>0</v>
      </c>
      <c r="E109" t="s">
        <v>3</v>
      </c>
      <c r="F109" t="s">
        <v>5</v>
      </c>
      <c r="G109">
        <v>4720.0806329999996</v>
      </c>
      <c r="H109" t="s">
        <v>4</v>
      </c>
      <c r="I109">
        <v>990.16341899999998</v>
      </c>
      <c r="J109">
        <v>3729.9172140000001</v>
      </c>
      <c r="K109" t="s">
        <v>6</v>
      </c>
      <c r="L109" t="s">
        <v>7</v>
      </c>
      <c r="M109" t="s">
        <v>8</v>
      </c>
      <c r="N109" t="s">
        <v>6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7</v>
      </c>
      <c r="U109">
        <v>1</v>
      </c>
      <c r="V109">
        <v>0</v>
      </c>
      <c r="W109">
        <v>0</v>
      </c>
      <c r="X109">
        <v>2</v>
      </c>
      <c r="Y109">
        <v>1</v>
      </c>
      <c r="Z109" t="s">
        <v>24</v>
      </c>
      <c r="AA109" t="s">
        <v>4</v>
      </c>
      <c r="AB109" t="s">
        <v>6</v>
      </c>
      <c r="AC109" t="s">
        <v>7</v>
      </c>
      <c r="AD109" t="s">
        <v>8</v>
      </c>
      <c r="AE109" t="s">
        <v>6</v>
      </c>
      <c r="AF109" t="s">
        <v>3</v>
      </c>
      <c r="AG109" t="s">
        <v>3</v>
      </c>
      <c r="AH109" t="s">
        <v>3</v>
      </c>
      <c r="AI109" t="s">
        <v>3</v>
      </c>
      <c r="AJ109" t="s">
        <v>3</v>
      </c>
      <c r="AK109" t="s">
        <v>7</v>
      </c>
      <c r="AL109">
        <v>0</v>
      </c>
      <c r="AM109">
        <v>0</v>
      </c>
      <c r="AN109">
        <v>0</v>
      </c>
      <c r="AO109">
        <v>0</v>
      </c>
      <c r="AP109">
        <v>0</v>
      </c>
      <c r="AQ109" t="s">
        <v>9</v>
      </c>
      <c r="AR109" s="1">
        <v>1.89325735E-5</v>
      </c>
      <c r="AS109" s="1">
        <v>3.5919861499999997E-27</v>
      </c>
      <c r="AT109">
        <v>5</v>
      </c>
      <c r="AU109" t="s">
        <v>10</v>
      </c>
      <c r="AV109">
        <v>1</v>
      </c>
      <c r="AW109">
        <v>0</v>
      </c>
      <c r="AX109">
        <v>0</v>
      </c>
      <c r="AY109">
        <v>2</v>
      </c>
      <c r="AZ109">
        <v>1</v>
      </c>
      <c r="BA109" t="s">
        <v>24</v>
      </c>
      <c r="BB109" t="s">
        <v>4</v>
      </c>
      <c r="BC109" t="s">
        <v>10</v>
      </c>
      <c r="BD109">
        <v>0</v>
      </c>
      <c r="BE109">
        <v>0</v>
      </c>
      <c r="BF109">
        <v>0</v>
      </c>
      <c r="BG109">
        <v>0</v>
      </c>
      <c r="BH109">
        <v>0</v>
      </c>
      <c r="BI109" t="s">
        <v>9</v>
      </c>
      <c r="BJ109">
        <v>-5.5500000000000002E-6</v>
      </c>
      <c r="BK109">
        <v>0</v>
      </c>
      <c r="BL109">
        <v>1.8099999999999999E-5</v>
      </c>
      <c r="BM109" s="2">
        <f t="shared" si="1"/>
        <v>2.1631446346949917E-8</v>
      </c>
    </row>
    <row r="110" spans="1:65" x14ac:dyDescent="0.35">
      <c r="A110">
        <v>0</v>
      </c>
      <c r="B110" t="s">
        <v>3</v>
      </c>
      <c r="C110" t="s">
        <v>4</v>
      </c>
      <c r="D110">
        <v>0</v>
      </c>
      <c r="E110" t="s">
        <v>3</v>
      </c>
      <c r="F110" t="s">
        <v>5</v>
      </c>
      <c r="G110">
        <v>4364.3608409999997</v>
      </c>
      <c r="H110" t="s">
        <v>4</v>
      </c>
      <c r="I110">
        <v>990.16341899999998</v>
      </c>
      <c r="J110">
        <v>3374.1974209999998</v>
      </c>
      <c r="K110" t="s">
        <v>6</v>
      </c>
      <c r="L110" t="s">
        <v>7</v>
      </c>
      <c r="M110" t="s">
        <v>8</v>
      </c>
      <c r="N110" t="s">
        <v>6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7</v>
      </c>
      <c r="U110">
        <v>0</v>
      </c>
      <c r="V110">
        <v>1</v>
      </c>
      <c r="W110">
        <v>0</v>
      </c>
      <c r="X110">
        <v>0</v>
      </c>
      <c r="Y110">
        <v>1</v>
      </c>
      <c r="Z110" t="s">
        <v>24</v>
      </c>
      <c r="AA110" t="s">
        <v>4</v>
      </c>
      <c r="AB110" t="s">
        <v>6</v>
      </c>
      <c r="AC110" t="s">
        <v>7</v>
      </c>
      <c r="AD110" t="s">
        <v>8</v>
      </c>
      <c r="AE110" t="s">
        <v>6</v>
      </c>
      <c r="AF110" t="s">
        <v>3</v>
      </c>
      <c r="AG110" t="s">
        <v>3</v>
      </c>
      <c r="AH110" t="s">
        <v>3</v>
      </c>
      <c r="AI110" t="s">
        <v>3</v>
      </c>
      <c r="AJ110" t="s">
        <v>3</v>
      </c>
      <c r="AK110" t="s">
        <v>7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9</v>
      </c>
      <c r="AR110" s="1">
        <v>1.32792668E-5</v>
      </c>
      <c r="AS110" s="1">
        <v>1.5985815899999999E-27</v>
      </c>
      <c r="AT110">
        <v>5</v>
      </c>
      <c r="AU110" t="s">
        <v>10</v>
      </c>
      <c r="AV110">
        <v>0</v>
      </c>
      <c r="AW110">
        <v>1</v>
      </c>
      <c r="AX110">
        <v>0</v>
      </c>
      <c r="AY110">
        <v>0</v>
      </c>
      <c r="AZ110">
        <v>1</v>
      </c>
      <c r="BA110" t="s">
        <v>24</v>
      </c>
      <c r="BB110" t="s">
        <v>4</v>
      </c>
      <c r="BC110" t="s">
        <v>10</v>
      </c>
      <c r="BD110">
        <v>0</v>
      </c>
      <c r="BE110">
        <v>0</v>
      </c>
      <c r="BF110">
        <v>0</v>
      </c>
      <c r="BG110">
        <v>0</v>
      </c>
      <c r="BH110">
        <v>0</v>
      </c>
      <c r="BI110" t="s">
        <v>9</v>
      </c>
      <c r="BJ110">
        <v>-8.1300000000000001E-6</v>
      </c>
      <c r="BK110">
        <v>0</v>
      </c>
      <c r="BL110">
        <v>-1.0499999999999999E-5</v>
      </c>
      <c r="BM110" s="2">
        <f t="shared" si="1"/>
        <v>9.6268834152678714E-9</v>
      </c>
    </row>
    <row r="111" spans="1:65" x14ac:dyDescent="0.35">
      <c r="A111">
        <v>0</v>
      </c>
      <c r="B111" t="s">
        <v>3</v>
      </c>
      <c r="C111" t="s">
        <v>4</v>
      </c>
      <c r="D111">
        <v>0</v>
      </c>
      <c r="E111" t="s">
        <v>3</v>
      </c>
      <c r="F111" t="s">
        <v>5</v>
      </c>
      <c r="G111">
        <v>4584.5853139999999</v>
      </c>
      <c r="H111" t="s">
        <v>4</v>
      </c>
      <c r="I111">
        <v>990.16341899999998</v>
      </c>
      <c r="J111">
        <v>3594.4218949999999</v>
      </c>
      <c r="K111" t="s">
        <v>6</v>
      </c>
      <c r="L111" t="s">
        <v>7</v>
      </c>
      <c r="M111" t="s">
        <v>8</v>
      </c>
      <c r="N111" t="s">
        <v>6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7</v>
      </c>
      <c r="U111">
        <v>0</v>
      </c>
      <c r="V111">
        <v>2</v>
      </c>
      <c r="W111">
        <v>0</v>
      </c>
      <c r="X111">
        <v>0</v>
      </c>
      <c r="Y111">
        <v>1</v>
      </c>
      <c r="Z111" t="s">
        <v>15</v>
      </c>
      <c r="AA111" t="s">
        <v>4</v>
      </c>
      <c r="AB111" t="s">
        <v>6</v>
      </c>
      <c r="AC111" t="s">
        <v>7</v>
      </c>
      <c r="AD111" t="s">
        <v>8</v>
      </c>
      <c r="AE111" t="s">
        <v>6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7</v>
      </c>
      <c r="AL111">
        <v>0</v>
      </c>
      <c r="AM111">
        <v>0</v>
      </c>
      <c r="AN111">
        <v>0</v>
      </c>
      <c r="AO111">
        <v>0</v>
      </c>
      <c r="AP111">
        <v>0</v>
      </c>
      <c r="AQ111" t="s">
        <v>9</v>
      </c>
      <c r="AR111" s="1">
        <v>8.5233892199999999E-6</v>
      </c>
      <c r="AS111" s="1">
        <v>7.0156811600000003E-28</v>
      </c>
      <c r="AT111">
        <v>6</v>
      </c>
      <c r="AU111" t="s">
        <v>10</v>
      </c>
      <c r="AV111">
        <v>0</v>
      </c>
      <c r="AW111">
        <v>2</v>
      </c>
      <c r="AX111">
        <v>0</v>
      </c>
      <c r="AY111">
        <v>0</v>
      </c>
      <c r="AZ111">
        <v>1</v>
      </c>
      <c r="BA111" t="s">
        <v>15</v>
      </c>
      <c r="BB111" t="s">
        <v>4</v>
      </c>
      <c r="BC111" t="s">
        <v>10</v>
      </c>
      <c r="BD111">
        <v>0</v>
      </c>
      <c r="BE111">
        <v>0</v>
      </c>
      <c r="BF111">
        <v>0</v>
      </c>
      <c r="BG111">
        <v>0</v>
      </c>
      <c r="BH111">
        <v>0</v>
      </c>
      <c r="BI111" t="s">
        <v>9</v>
      </c>
      <c r="BJ111">
        <v>6.99E-6</v>
      </c>
      <c r="BK111">
        <v>0</v>
      </c>
      <c r="BL111">
        <v>-4.8799999999999999E-6</v>
      </c>
      <c r="BM111" s="2">
        <f t="shared" si="1"/>
        <v>4.2249419753427331E-9</v>
      </c>
    </row>
    <row r="112" spans="1:65" x14ac:dyDescent="0.35">
      <c r="A112">
        <v>0</v>
      </c>
      <c r="B112" t="s">
        <v>3</v>
      </c>
      <c r="C112" t="s">
        <v>4</v>
      </c>
      <c r="D112">
        <v>0</v>
      </c>
      <c r="E112" t="s">
        <v>3</v>
      </c>
      <c r="F112" t="s">
        <v>5</v>
      </c>
      <c r="G112">
        <v>3797.7755560000001</v>
      </c>
      <c r="H112" t="s">
        <v>4</v>
      </c>
      <c r="I112">
        <v>990.16341899999998</v>
      </c>
      <c r="J112">
        <v>2807.6121370000001</v>
      </c>
      <c r="K112" t="s">
        <v>6</v>
      </c>
      <c r="L112" t="s">
        <v>7</v>
      </c>
      <c r="M112" t="s">
        <v>8</v>
      </c>
      <c r="N112" t="s">
        <v>6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7</v>
      </c>
      <c r="U112">
        <v>3</v>
      </c>
      <c r="V112">
        <v>1</v>
      </c>
      <c r="W112">
        <v>0</v>
      </c>
      <c r="X112">
        <v>0</v>
      </c>
      <c r="Y112">
        <v>0</v>
      </c>
      <c r="Z112" t="s">
        <v>8</v>
      </c>
      <c r="AA112" t="s">
        <v>4</v>
      </c>
      <c r="AB112" t="s">
        <v>6</v>
      </c>
      <c r="AC112" t="s">
        <v>7</v>
      </c>
      <c r="AD112" t="s">
        <v>8</v>
      </c>
      <c r="AE112" t="s">
        <v>6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7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9</v>
      </c>
      <c r="AR112" s="1">
        <v>1.6013309499999999E-4</v>
      </c>
      <c r="AS112" s="1">
        <v>1.93426024E-25</v>
      </c>
      <c r="AT112">
        <v>5</v>
      </c>
      <c r="AU112" t="s">
        <v>10</v>
      </c>
      <c r="AV112">
        <v>3</v>
      </c>
      <c r="AW112">
        <v>1</v>
      </c>
      <c r="AX112">
        <v>0</v>
      </c>
      <c r="AY112">
        <v>0</v>
      </c>
      <c r="AZ112">
        <v>0</v>
      </c>
      <c r="BA112" t="s">
        <v>8</v>
      </c>
      <c r="BB112" t="s">
        <v>4</v>
      </c>
      <c r="BC112" t="s">
        <v>10</v>
      </c>
      <c r="BD112">
        <v>0</v>
      </c>
      <c r="BE112">
        <v>0</v>
      </c>
      <c r="BF112">
        <v>0</v>
      </c>
      <c r="BG112">
        <v>0</v>
      </c>
      <c r="BH112">
        <v>0</v>
      </c>
      <c r="BI112" t="s">
        <v>9</v>
      </c>
      <c r="BJ112">
        <v>-1.2312E-4</v>
      </c>
      <c r="BK112">
        <v>0</v>
      </c>
      <c r="BL112">
        <v>-1.0239E-4</v>
      </c>
      <c r="BM112" s="2">
        <f t="shared" si="1"/>
        <v>1.1648387509121791E-6</v>
      </c>
    </row>
    <row r="113" spans="1:65" x14ac:dyDescent="0.35">
      <c r="A113">
        <v>0</v>
      </c>
      <c r="B113" t="s">
        <v>3</v>
      </c>
      <c r="C113" t="s">
        <v>4</v>
      </c>
      <c r="D113">
        <v>0</v>
      </c>
      <c r="E113" t="s">
        <v>3</v>
      </c>
      <c r="F113" t="s">
        <v>5</v>
      </c>
      <c r="G113">
        <v>3135.1904869999998</v>
      </c>
      <c r="H113" t="s">
        <v>4</v>
      </c>
      <c r="I113">
        <v>990.16341899999998</v>
      </c>
      <c r="J113">
        <v>2145.0270679999999</v>
      </c>
      <c r="K113" t="s">
        <v>6</v>
      </c>
      <c r="L113" t="s">
        <v>7</v>
      </c>
      <c r="M113" t="s">
        <v>8</v>
      </c>
      <c r="N113" t="s">
        <v>6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7</v>
      </c>
      <c r="U113">
        <v>1</v>
      </c>
      <c r="V113">
        <v>1</v>
      </c>
      <c r="W113">
        <v>0</v>
      </c>
      <c r="X113">
        <v>0</v>
      </c>
      <c r="Y113">
        <v>0</v>
      </c>
      <c r="Z113" t="s">
        <v>9</v>
      </c>
      <c r="AA113" t="s">
        <v>4</v>
      </c>
      <c r="AB113" t="s">
        <v>6</v>
      </c>
      <c r="AC113" t="s">
        <v>7</v>
      </c>
      <c r="AD113" t="s">
        <v>8</v>
      </c>
      <c r="AE113" t="s">
        <v>6</v>
      </c>
      <c r="AF113" t="s">
        <v>3</v>
      </c>
      <c r="AG113" t="s">
        <v>3</v>
      </c>
      <c r="AH113" t="s">
        <v>3</v>
      </c>
      <c r="AI113" t="s">
        <v>3</v>
      </c>
      <c r="AJ113" t="s">
        <v>3</v>
      </c>
      <c r="AK113" t="s">
        <v>7</v>
      </c>
      <c r="AL113">
        <v>0</v>
      </c>
      <c r="AM113">
        <v>0</v>
      </c>
      <c r="AN113">
        <v>0</v>
      </c>
      <c r="AO113">
        <v>0</v>
      </c>
      <c r="AP113">
        <v>0</v>
      </c>
      <c r="AQ113" t="s">
        <v>9</v>
      </c>
      <c r="AR113" s="1">
        <v>4.8803540299999998E-3</v>
      </c>
      <c r="AS113" s="1">
        <v>1.37258039E-22</v>
      </c>
      <c r="AT113">
        <v>6</v>
      </c>
      <c r="AU113" t="s">
        <v>10</v>
      </c>
      <c r="AV113">
        <v>1</v>
      </c>
      <c r="AW113">
        <v>1</v>
      </c>
      <c r="AX113">
        <v>0</v>
      </c>
      <c r="AY113">
        <v>0</v>
      </c>
      <c r="AZ113">
        <v>0</v>
      </c>
      <c r="BA113" t="s">
        <v>9</v>
      </c>
      <c r="BB113" t="s">
        <v>4</v>
      </c>
      <c r="BC113" t="s">
        <v>10</v>
      </c>
      <c r="BD113">
        <v>0</v>
      </c>
      <c r="BE113">
        <v>0</v>
      </c>
      <c r="BF113">
        <v>0</v>
      </c>
      <c r="BG113">
        <v>0</v>
      </c>
      <c r="BH113">
        <v>0</v>
      </c>
      <c r="BI113" t="s">
        <v>9</v>
      </c>
      <c r="BJ113">
        <v>-4.73523E-3</v>
      </c>
      <c r="BK113">
        <v>0</v>
      </c>
      <c r="BL113">
        <v>1.1812999999999999E-3</v>
      </c>
      <c r="BM113" s="2">
        <f t="shared" si="1"/>
        <v>8.2658723678989113E-4</v>
      </c>
    </row>
    <row r="114" spans="1:65" x14ac:dyDescent="0.35">
      <c r="A114">
        <v>0</v>
      </c>
      <c r="B114" t="s">
        <v>3</v>
      </c>
      <c r="C114" t="s">
        <v>4</v>
      </c>
      <c r="D114">
        <v>0</v>
      </c>
      <c r="E114" t="s">
        <v>3</v>
      </c>
      <c r="F114" t="s">
        <v>5</v>
      </c>
      <c r="G114">
        <v>3517.0608560000001</v>
      </c>
      <c r="H114" t="s">
        <v>4</v>
      </c>
      <c r="I114">
        <v>990.16341899999998</v>
      </c>
      <c r="J114">
        <v>2526.8974370000001</v>
      </c>
      <c r="K114" t="s">
        <v>6</v>
      </c>
      <c r="L114" t="s">
        <v>7</v>
      </c>
      <c r="M114" t="s">
        <v>8</v>
      </c>
      <c r="N114" t="s">
        <v>6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7</v>
      </c>
      <c r="U114">
        <v>0</v>
      </c>
      <c r="V114">
        <v>0</v>
      </c>
      <c r="W114">
        <v>0</v>
      </c>
      <c r="X114">
        <v>1</v>
      </c>
      <c r="Y114">
        <v>0</v>
      </c>
      <c r="Z114" t="s">
        <v>27</v>
      </c>
      <c r="AA114" t="s">
        <v>4</v>
      </c>
      <c r="AB114" t="s">
        <v>6</v>
      </c>
      <c r="AC114" t="s">
        <v>7</v>
      </c>
      <c r="AD114" t="s">
        <v>8</v>
      </c>
      <c r="AE114" t="s">
        <v>6</v>
      </c>
      <c r="AF114" t="s">
        <v>3</v>
      </c>
      <c r="AG114" t="s">
        <v>3</v>
      </c>
      <c r="AH114" t="s">
        <v>3</v>
      </c>
      <c r="AI114" t="s">
        <v>3</v>
      </c>
      <c r="AJ114" t="s">
        <v>3</v>
      </c>
      <c r="AK114" t="s">
        <v>7</v>
      </c>
      <c r="AL114">
        <v>0</v>
      </c>
      <c r="AM114">
        <v>0</v>
      </c>
      <c r="AN114">
        <v>0</v>
      </c>
      <c r="AO114">
        <v>0</v>
      </c>
      <c r="AP114">
        <v>0</v>
      </c>
      <c r="AQ114" t="s">
        <v>9</v>
      </c>
      <c r="AR114" s="1">
        <v>2.8873853899999999E-4</v>
      </c>
      <c r="AS114" s="1">
        <v>5.6599305500000001E-25</v>
      </c>
      <c r="AT114">
        <v>5</v>
      </c>
      <c r="AU114" t="s">
        <v>10</v>
      </c>
      <c r="AV114">
        <v>0</v>
      </c>
      <c r="AW114">
        <v>0</v>
      </c>
      <c r="AX114">
        <v>0</v>
      </c>
      <c r="AY114">
        <v>1</v>
      </c>
      <c r="AZ114">
        <v>0</v>
      </c>
      <c r="BA114" t="s">
        <v>27</v>
      </c>
      <c r="BB114" t="s">
        <v>4</v>
      </c>
      <c r="BC114" t="s">
        <v>10</v>
      </c>
      <c r="BD114">
        <v>0</v>
      </c>
      <c r="BE114">
        <v>0</v>
      </c>
      <c r="BF114">
        <v>0</v>
      </c>
      <c r="BG114">
        <v>0</v>
      </c>
      <c r="BH114">
        <v>0</v>
      </c>
      <c r="BI114" t="s">
        <v>9</v>
      </c>
      <c r="BJ114">
        <v>8.9610000000000004E-5</v>
      </c>
      <c r="BK114">
        <v>0</v>
      </c>
      <c r="BL114">
        <v>-2.7448000000000001E-4</v>
      </c>
      <c r="BM114" s="2">
        <f t="shared" si="1"/>
        <v>3.4084898690321441E-6</v>
      </c>
    </row>
    <row r="115" spans="1:65" x14ac:dyDescent="0.35">
      <c r="A115">
        <v>0</v>
      </c>
      <c r="B115" t="s">
        <v>3</v>
      </c>
      <c r="C115" t="s">
        <v>4</v>
      </c>
      <c r="D115">
        <v>0</v>
      </c>
      <c r="E115" t="s">
        <v>3</v>
      </c>
      <c r="F115" t="s">
        <v>5</v>
      </c>
      <c r="G115">
        <v>4831.7790809999997</v>
      </c>
      <c r="H115" t="s">
        <v>4</v>
      </c>
      <c r="I115">
        <v>990.16341899999998</v>
      </c>
      <c r="J115">
        <v>3841.6156620000002</v>
      </c>
      <c r="K115" t="s">
        <v>6</v>
      </c>
      <c r="L115" t="s">
        <v>7</v>
      </c>
      <c r="M115" t="s">
        <v>8</v>
      </c>
      <c r="N115" t="s">
        <v>6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7</v>
      </c>
      <c r="U115">
        <v>1</v>
      </c>
      <c r="V115">
        <v>1</v>
      </c>
      <c r="W115">
        <v>0</v>
      </c>
      <c r="X115">
        <v>4</v>
      </c>
      <c r="Y115">
        <v>0</v>
      </c>
      <c r="Z115" t="s">
        <v>15</v>
      </c>
      <c r="AA115" t="s">
        <v>4</v>
      </c>
      <c r="AB115" t="s">
        <v>6</v>
      </c>
      <c r="AC115" t="s">
        <v>7</v>
      </c>
      <c r="AD115" t="s">
        <v>8</v>
      </c>
      <c r="AE115" t="s">
        <v>6</v>
      </c>
      <c r="AF115" t="s">
        <v>3</v>
      </c>
      <c r="AG115" t="s">
        <v>3</v>
      </c>
      <c r="AH115" t="s">
        <v>3</v>
      </c>
      <c r="AI115" t="s">
        <v>3</v>
      </c>
      <c r="AJ115" t="s">
        <v>3</v>
      </c>
      <c r="AK115" t="s">
        <v>7</v>
      </c>
      <c r="AL115">
        <v>0</v>
      </c>
      <c r="AM115">
        <v>0</v>
      </c>
      <c r="AN115">
        <v>0</v>
      </c>
      <c r="AO115">
        <v>0</v>
      </c>
      <c r="AP115">
        <v>0</v>
      </c>
      <c r="AQ115" t="s">
        <v>9</v>
      </c>
      <c r="AR115" s="1">
        <v>4.4035006500000002E-5</v>
      </c>
      <c r="AS115" s="1">
        <v>2.00136455E-26</v>
      </c>
      <c r="AT115">
        <v>5</v>
      </c>
      <c r="AU115" t="s">
        <v>10</v>
      </c>
      <c r="AV115">
        <v>1</v>
      </c>
      <c r="AW115">
        <v>1</v>
      </c>
      <c r="AX115">
        <v>0</v>
      </c>
      <c r="AY115">
        <v>4</v>
      </c>
      <c r="AZ115">
        <v>0</v>
      </c>
      <c r="BA115" t="s">
        <v>15</v>
      </c>
      <c r="BB115" t="s">
        <v>4</v>
      </c>
      <c r="BC115" t="s">
        <v>10</v>
      </c>
      <c r="BD115">
        <v>0</v>
      </c>
      <c r="BE115">
        <v>0</v>
      </c>
      <c r="BF115">
        <v>0</v>
      </c>
      <c r="BG115">
        <v>0</v>
      </c>
      <c r="BH115">
        <v>0</v>
      </c>
      <c r="BI115" t="s">
        <v>9</v>
      </c>
      <c r="BJ115">
        <v>-3.0029999999999999E-5</v>
      </c>
      <c r="BK115">
        <v>0</v>
      </c>
      <c r="BL115">
        <v>3.2199999999999997E-5</v>
      </c>
      <c r="BM115" s="2">
        <f t="shared" si="1"/>
        <v>1.2052499112228641E-7</v>
      </c>
    </row>
    <row r="116" spans="1:65" x14ac:dyDescent="0.35">
      <c r="A116">
        <v>0</v>
      </c>
      <c r="B116" t="s">
        <v>11</v>
      </c>
      <c r="C116" t="s">
        <v>4</v>
      </c>
      <c r="D116">
        <v>0</v>
      </c>
      <c r="E116" t="s">
        <v>3</v>
      </c>
      <c r="F116" t="s">
        <v>5</v>
      </c>
      <c r="G116">
        <v>3367.2537609999999</v>
      </c>
      <c r="H116" t="s">
        <v>4</v>
      </c>
      <c r="I116">
        <v>990.16341899999998</v>
      </c>
      <c r="J116">
        <v>2377.090342</v>
      </c>
      <c r="K116" t="s">
        <v>6</v>
      </c>
      <c r="L116" t="s">
        <v>7</v>
      </c>
      <c r="M116" t="s">
        <v>8</v>
      </c>
      <c r="N116" t="s">
        <v>6</v>
      </c>
      <c r="O116" t="s">
        <v>3</v>
      </c>
      <c r="P116" t="s">
        <v>3</v>
      </c>
      <c r="Q116" t="s">
        <v>3</v>
      </c>
      <c r="R116" t="s">
        <v>3</v>
      </c>
      <c r="S116" t="s">
        <v>11</v>
      </c>
      <c r="T116" t="s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 t="s">
        <v>25</v>
      </c>
      <c r="AA116" t="s">
        <v>4</v>
      </c>
      <c r="AB116" t="s">
        <v>6</v>
      </c>
      <c r="AC116" t="s">
        <v>7</v>
      </c>
      <c r="AD116" t="s">
        <v>8</v>
      </c>
      <c r="AE116" t="s">
        <v>6</v>
      </c>
      <c r="AF116" t="s">
        <v>3</v>
      </c>
      <c r="AG116" t="s">
        <v>3</v>
      </c>
      <c r="AH116" t="s">
        <v>3</v>
      </c>
      <c r="AI116" t="s">
        <v>3</v>
      </c>
      <c r="AJ116" t="s">
        <v>3</v>
      </c>
      <c r="AK116" t="s">
        <v>7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9</v>
      </c>
      <c r="AR116" s="1">
        <v>1.23474553E-4</v>
      </c>
      <c r="AS116" s="1">
        <v>9.7367109099999999E-26</v>
      </c>
      <c r="AT116">
        <v>6</v>
      </c>
      <c r="AU116" t="s">
        <v>10</v>
      </c>
      <c r="AV116">
        <v>0</v>
      </c>
      <c r="AW116">
        <v>0</v>
      </c>
      <c r="AX116">
        <v>0</v>
      </c>
      <c r="AY116">
        <v>0</v>
      </c>
      <c r="AZ116">
        <v>0</v>
      </c>
      <c r="BA116" t="s">
        <v>25</v>
      </c>
      <c r="BB116" t="s">
        <v>4</v>
      </c>
      <c r="BC116" t="s">
        <v>10</v>
      </c>
      <c r="BD116">
        <v>0</v>
      </c>
      <c r="BE116">
        <v>0</v>
      </c>
      <c r="BF116">
        <v>0</v>
      </c>
      <c r="BG116">
        <v>0</v>
      </c>
      <c r="BH116">
        <v>0</v>
      </c>
      <c r="BI116" t="s">
        <v>9</v>
      </c>
      <c r="BJ116">
        <v>0</v>
      </c>
      <c r="BK116">
        <v>-1.2347000000000001E-4</v>
      </c>
      <c r="BL116">
        <v>0</v>
      </c>
      <c r="BM116" s="2">
        <f t="shared" si="1"/>
        <v>5.8635844028916119E-7</v>
      </c>
    </row>
    <row r="117" spans="1:65" x14ac:dyDescent="0.35">
      <c r="A117">
        <v>0</v>
      </c>
      <c r="B117" t="s">
        <v>11</v>
      </c>
      <c r="C117" t="s">
        <v>4</v>
      </c>
      <c r="D117">
        <v>0</v>
      </c>
      <c r="E117" t="s">
        <v>3</v>
      </c>
      <c r="F117" t="s">
        <v>5</v>
      </c>
      <c r="G117">
        <v>3904.462399</v>
      </c>
      <c r="H117" t="s">
        <v>4</v>
      </c>
      <c r="I117">
        <v>990.16341899999998</v>
      </c>
      <c r="J117">
        <v>2914.29898</v>
      </c>
      <c r="K117" t="s">
        <v>6</v>
      </c>
      <c r="L117" t="s">
        <v>7</v>
      </c>
      <c r="M117" t="s">
        <v>8</v>
      </c>
      <c r="N117" t="s">
        <v>6</v>
      </c>
      <c r="O117" t="s">
        <v>3</v>
      </c>
      <c r="P117" t="s">
        <v>3</v>
      </c>
      <c r="Q117" t="s">
        <v>3</v>
      </c>
      <c r="R117" t="s">
        <v>3</v>
      </c>
      <c r="S117" t="s">
        <v>11</v>
      </c>
      <c r="T117" t="s">
        <v>7</v>
      </c>
      <c r="U117">
        <v>2</v>
      </c>
      <c r="V117">
        <v>1</v>
      </c>
      <c r="W117">
        <v>0</v>
      </c>
      <c r="X117">
        <v>1</v>
      </c>
      <c r="Y117">
        <v>0</v>
      </c>
      <c r="Z117" t="s">
        <v>18</v>
      </c>
      <c r="AA117" t="s">
        <v>4</v>
      </c>
      <c r="AB117" t="s">
        <v>6</v>
      </c>
      <c r="AC117" t="s">
        <v>7</v>
      </c>
      <c r="AD117" t="s">
        <v>8</v>
      </c>
      <c r="AE117" t="s">
        <v>6</v>
      </c>
      <c r="AF117" t="s">
        <v>3</v>
      </c>
      <c r="AG117" t="s">
        <v>3</v>
      </c>
      <c r="AH117" t="s">
        <v>3</v>
      </c>
      <c r="AI117" t="s">
        <v>3</v>
      </c>
      <c r="AJ117" t="s">
        <v>3</v>
      </c>
      <c r="AK117" t="s">
        <v>7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9</v>
      </c>
      <c r="AR117" s="1">
        <v>1.09755722E-4</v>
      </c>
      <c r="AS117" s="1">
        <v>9.4320103700000005E-26</v>
      </c>
      <c r="AT117">
        <v>5</v>
      </c>
      <c r="AU117" t="s">
        <v>10</v>
      </c>
      <c r="AV117">
        <v>2</v>
      </c>
      <c r="AW117">
        <v>1</v>
      </c>
      <c r="AX117">
        <v>0</v>
      </c>
      <c r="AY117">
        <v>1</v>
      </c>
      <c r="AZ117">
        <v>0</v>
      </c>
      <c r="BA117" t="s">
        <v>18</v>
      </c>
      <c r="BB117" t="s">
        <v>4</v>
      </c>
      <c r="BC117" t="s">
        <v>10</v>
      </c>
      <c r="BD117">
        <v>0</v>
      </c>
      <c r="BE117">
        <v>0</v>
      </c>
      <c r="BF117">
        <v>0</v>
      </c>
      <c r="BG117">
        <v>0</v>
      </c>
      <c r="BH117">
        <v>0</v>
      </c>
      <c r="BI117" t="s">
        <v>9</v>
      </c>
      <c r="BJ117">
        <v>0</v>
      </c>
      <c r="BK117">
        <v>1.0976000000000001E-4</v>
      </c>
      <c r="BL117">
        <v>0</v>
      </c>
      <c r="BM117" s="2">
        <f t="shared" si="1"/>
        <v>5.6800894475200088E-7</v>
      </c>
    </row>
    <row r="118" spans="1:65" x14ac:dyDescent="0.35">
      <c r="A118">
        <v>0</v>
      </c>
      <c r="B118" t="s">
        <v>3</v>
      </c>
      <c r="C118" t="s">
        <v>4</v>
      </c>
      <c r="D118">
        <v>0</v>
      </c>
      <c r="E118" t="s">
        <v>3</v>
      </c>
      <c r="F118" t="s">
        <v>5</v>
      </c>
      <c r="G118">
        <v>3989.9193489999998</v>
      </c>
      <c r="H118" t="s">
        <v>4</v>
      </c>
      <c r="I118">
        <v>990.16341899999998</v>
      </c>
      <c r="J118">
        <v>2999.7559299999998</v>
      </c>
      <c r="K118" t="s">
        <v>6</v>
      </c>
      <c r="L118" t="s">
        <v>7</v>
      </c>
      <c r="M118" t="s">
        <v>8</v>
      </c>
      <c r="N118" t="s">
        <v>6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7</v>
      </c>
      <c r="U118">
        <v>1</v>
      </c>
      <c r="V118">
        <v>1</v>
      </c>
      <c r="W118">
        <v>0</v>
      </c>
      <c r="X118">
        <v>2</v>
      </c>
      <c r="Y118">
        <v>0</v>
      </c>
      <c r="Z118" t="s">
        <v>15</v>
      </c>
      <c r="AA118" t="s">
        <v>4</v>
      </c>
      <c r="AB118" t="s">
        <v>6</v>
      </c>
      <c r="AC118" t="s">
        <v>7</v>
      </c>
      <c r="AD118" t="s">
        <v>8</v>
      </c>
      <c r="AE118" t="s">
        <v>6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7</v>
      </c>
      <c r="AL118">
        <v>0</v>
      </c>
      <c r="AM118">
        <v>0</v>
      </c>
      <c r="AN118">
        <v>0</v>
      </c>
      <c r="AO118">
        <v>0</v>
      </c>
      <c r="AP118">
        <v>0</v>
      </c>
      <c r="AQ118" t="s">
        <v>9</v>
      </c>
      <c r="AR118" s="1">
        <v>4.7717803199999997E-5</v>
      </c>
      <c r="AS118" s="1">
        <v>1.83511271E-26</v>
      </c>
      <c r="AT118">
        <v>5</v>
      </c>
      <c r="AU118" t="s">
        <v>10</v>
      </c>
      <c r="AV118">
        <v>1</v>
      </c>
      <c r="AW118">
        <v>1</v>
      </c>
      <c r="AX118">
        <v>0</v>
      </c>
      <c r="AY118">
        <v>2</v>
      </c>
      <c r="AZ118">
        <v>0</v>
      </c>
      <c r="BA118" t="s">
        <v>15</v>
      </c>
      <c r="BB118" t="s">
        <v>4</v>
      </c>
      <c r="BC118" t="s">
        <v>10</v>
      </c>
      <c r="BD118">
        <v>0</v>
      </c>
      <c r="BE118">
        <v>0</v>
      </c>
      <c r="BF118">
        <v>0</v>
      </c>
      <c r="BG118">
        <v>0</v>
      </c>
      <c r="BH118">
        <v>0</v>
      </c>
      <c r="BI118" t="s">
        <v>9</v>
      </c>
      <c r="BJ118">
        <v>3.027E-5</v>
      </c>
      <c r="BK118">
        <v>0</v>
      </c>
      <c r="BL118">
        <v>3.6890000000000001E-5</v>
      </c>
      <c r="BM118" s="2">
        <f t="shared" si="1"/>
        <v>1.1051307123489568E-7</v>
      </c>
    </row>
    <row r="119" spans="1:65" x14ac:dyDescent="0.35">
      <c r="A119">
        <v>0</v>
      </c>
      <c r="B119" t="s">
        <v>11</v>
      </c>
      <c r="C119" t="s">
        <v>4</v>
      </c>
      <c r="D119">
        <v>0</v>
      </c>
      <c r="E119" t="s">
        <v>3</v>
      </c>
      <c r="F119" t="s">
        <v>5</v>
      </c>
      <c r="G119">
        <v>2641.9524780000002</v>
      </c>
      <c r="H119" t="s">
        <v>4</v>
      </c>
      <c r="I119">
        <v>990.16341899999998</v>
      </c>
      <c r="J119">
        <v>1651.789059</v>
      </c>
      <c r="K119" t="s">
        <v>6</v>
      </c>
      <c r="L119" t="s">
        <v>7</v>
      </c>
      <c r="M119" t="s">
        <v>8</v>
      </c>
      <c r="N119" t="s">
        <v>6</v>
      </c>
      <c r="O119" t="s">
        <v>3</v>
      </c>
      <c r="P119" t="s">
        <v>3</v>
      </c>
      <c r="Q119" t="s">
        <v>3</v>
      </c>
      <c r="R119" t="s">
        <v>3</v>
      </c>
      <c r="S119" t="s">
        <v>11</v>
      </c>
      <c r="T119" t="s">
        <v>7</v>
      </c>
      <c r="U119">
        <v>1</v>
      </c>
      <c r="V119">
        <v>1</v>
      </c>
      <c r="W119">
        <v>0</v>
      </c>
      <c r="X119">
        <v>0</v>
      </c>
      <c r="Y119">
        <v>0</v>
      </c>
      <c r="Z119" t="s">
        <v>18</v>
      </c>
      <c r="AA119" t="s">
        <v>4</v>
      </c>
      <c r="AB119" t="s">
        <v>6</v>
      </c>
      <c r="AC119" t="s">
        <v>7</v>
      </c>
      <c r="AD119" t="s">
        <v>8</v>
      </c>
      <c r="AE119" t="s">
        <v>6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t="s">
        <v>7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9</v>
      </c>
      <c r="AR119" s="1">
        <v>4.2162163099999998E-5</v>
      </c>
      <c r="AS119" s="1">
        <v>7.8861876800000003E-27</v>
      </c>
      <c r="AT119">
        <v>5</v>
      </c>
      <c r="AU119" t="s">
        <v>10</v>
      </c>
      <c r="AV119">
        <v>1</v>
      </c>
      <c r="AW119">
        <v>1</v>
      </c>
      <c r="AX119">
        <v>0</v>
      </c>
      <c r="AY119">
        <v>0</v>
      </c>
      <c r="AZ119">
        <v>0</v>
      </c>
      <c r="BA119" t="s">
        <v>18</v>
      </c>
      <c r="BB119" t="s">
        <v>4</v>
      </c>
      <c r="BC119" t="s">
        <v>10</v>
      </c>
      <c r="BD119">
        <v>0</v>
      </c>
      <c r="BE119">
        <v>0</v>
      </c>
      <c r="BF119">
        <v>0</v>
      </c>
      <c r="BG119">
        <v>0</v>
      </c>
      <c r="BH119">
        <v>0</v>
      </c>
      <c r="BI119" t="s">
        <v>9</v>
      </c>
      <c r="BJ119">
        <v>0</v>
      </c>
      <c r="BK119">
        <v>4.2160000000000003E-5</v>
      </c>
      <c r="BL119">
        <v>0</v>
      </c>
      <c r="BM119" s="2">
        <f t="shared" si="1"/>
        <v>4.7491732584185342E-8</v>
      </c>
    </row>
    <row r="120" spans="1:65" x14ac:dyDescent="0.35">
      <c r="A120">
        <v>0</v>
      </c>
      <c r="B120" t="s">
        <v>11</v>
      </c>
      <c r="C120" t="s">
        <v>4</v>
      </c>
      <c r="D120">
        <v>0</v>
      </c>
      <c r="E120" t="s">
        <v>3</v>
      </c>
      <c r="F120" t="s">
        <v>5</v>
      </c>
      <c r="G120">
        <v>2208.7852800000001</v>
      </c>
      <c r="H120" t="s">
        <v>4</v>
      </c>
      <c r="I120">
        <v>990.16341899999998</v>
      </c>
      <c r="J120">
        <v>1218.62186</v>
      </c>
      <c r="K120" t="s">
        <v>6</v>
      </c>
      <c r="L120" t="s">
        <v>7</v>
      </c>
      <c r="M120" t="s">
        <v>8</v>
      </c>
      <c r="N120" t="s">
        <v>6</v>
      </c>
      <c r="O120" t="s">
        <v>3</v>
      </c>
      <c r="P120" t="s">
        <v>3</v>
      </c>
      <c r="Q120" t="s">
        <v>3</v>
      </c>
      <c r="R120" t="s">
        <v>3</v>
      </c>
      <c r="S120" t="s">
        <v>11</v>
      </c>
      <c r="T120" t="s">
        <v>7</v>
      </c>
      <c r="U120">
        <v>0</v>
      </c>
      <c r="V120">
        <v>1</v>
      </c>
      <c r="W120">
        <v>0</v>
      </c>
      <c r="X120">
        <v>1</v>
      </c>
      <c r="Y120">
        <v>0</v>
      </c>
      <c r="Z120" t="s">
        <v>18</v>
      </c>
      <c r="AA120" t="s">
        <v>4</v>
      </c>
      <c r="AB120" t="s">
        <v>6</v>
      </c>
      <c r="AC120" t="s">
        <v>7</v>
      </c>
      <c r="AD120" t="s">
        <v>8</v>
      </c>
      <c r="AE120" t="s">
        <v>6</v>
      </c>
      <c r="AF120" t="s">
        <v>3</v>
      </c>
      <c r="AG120" t="s">
        <v>3</v>
      </c>
      <c r="AH120" t="s">
        <v>3</v>
      </c>
      <c r="AI120" t="s">
        <v>3</v>
      </c>
      <c r="AJ120" t="s">
        <v>3</v>
      </c>
      <c r="AK120" t="s">
        <v>7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9</v>
      </c>
      <c r="AR120" s="1">
        <v>3.2159305199999999E-5</v>
      </c>
      <c r="AS120" s="1">
        <v>3.3766602100000003E-27</v>
      </c>
      <c r="AT120">
        <v>5</v>
      </c>
      <c r="AU120" t="s">
        <v>10</v>
      </c>
      <c r="AV120">
        <v>0</v>
      </c>
      <c r="AW120">
        <v>1</v>
      </c>
      <c r="AX120">
        <v>0</v>
      </c>
      <c r="AY120">
        <v>1</v>
      </c>
      <c r="AZ120">
        <v>0</v>
      </c>
      <c r="BA120" t="s">
        <v>18</v>
      </c>
      <c r="BB120" t="s">
        <v>4</v>
      </c>
      <c r="BC120" t="s">
        <v>10</v>
      </c>
      <c r="BD120">
        <v>0</v>
      </c>
      <c r="BE120">
        <v>0</v>
      </c>
      <c r="BF120">
        <v>0</v>
      </c>
      <c r="BG120">
        <v>0</v>
      </c>
      <c r="BH120">
        <v>0</v>
      </c>
      <c r="BI120" t="s">
        <v>9</v>
      </c>
      <c r="BJ120">
        <v>0</v>
      </c>
      <c r="BK120">
        <v>-3.2159999999999997E-5</v>
      </c>
      <c r="BL120">
        <v>0</v>
      </c>
      <c r="BM120" s="2">
        <f t="shared" si="1"/>
        <v>2.0334723218377569E-8</v>
      </c>
    </row>
    <row r="121" spans="1:65" x14ac:dyDescent="0.35">
      <c r="A121">
        <v>0</v>
      </c>
      <c r="B121" t="s">
        <v>11</v>
      </c>
      <c r="C121" t="s">
        <v>4</v>
      </c>
      <c r="D121">
        <v>0</v>
      </c>
      <c r="E121" t="s">
        <v>3</v>
      </c>
      <c r="F121" t="s">
        <v>5</v>
      </c>
      <c r="G121">
        <v>4780.673624</v>
      </c>
      <c r="H121" t="s">
        <v>4</v>
      </c>
      <c r="I121">
        <v>990.16341899999998</v>
      </c>
      <c r="J121">
        <v>3790.510205</v>
      </c>
      <c r="K121" t="s">
        <v>6</v>
      </c>
      <c r="L121" t="s">
        <v>7</v>
      </c>
      <c r="M121" t="s">
        <v>8</v>
      </c>
      <c r="N121" t="s">
        <v>6</v>
      </c>
      <c r="O121" t="s">
        <v>3</v>
      </c>
      <c r="P121" t="s">
        <v>3</v>
      </c>
      <c r="Q121" t="s">
        <v>3</v>
      </c>
      <c r="R121" t="s">
        <v>3</v>
      </c>
      <c r="S121" t="s">
        <v>11</v>
      </c>
      <c r="T121" t="s">
        <v>7</v>
      </c>
      <c r="U121">
        <v>4</v>
      </c>
      <c r="V121">
        <v>0</v>
      </c>
      <c r="W121">
        <v>0</v>
      </c>
      <c r="X121">
        <v>0</v>
      </c>
      <c r="Y121">
        <v>0</v>
      </c>
      <c r="Z121" t="s">
        <v>14</v>
      </c>
      <c r="AA121" t="s">
        <v>4</v>
      </c>
      <c r="AB121" t="s">
        <v>6</v>
      </c>
      <c r="AC121" t="s">
        <v>7</v>
      </c>
      <c r="AD121" t="s">
        <v>8</v>
      </c>
      <c r="AE121" t="s">
        <v>6</v>
      </c>
      <c r="AF121" t="s">
        <v>3</v>
      </c>
      <c r="AG121" t="s">
        <v>3</v>
      </c>
      <c r="AH121" t="s">
        <v>3</v>
      </c>
      <c r="AI121" t="s">
        <v>3</v>
      </c>
      <c r="AJ121" t="s">
        <v>3</v>
      </c>
      <c r="AK121" t="s">
        <v>7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9</v>
      </c>
      <c r="AR121" s="1">
        <v>4.6796267300000002E-5</v>
      </c>
      <c r="AS121" s="1">
        <v>2.2301612E-26</v>
      </c>
      <c r="AT121">
        <v>6</v>
      </c>
      <c r="AU121" t="s">
        <v>10</v>
      </c>
      <c r="AV121">
        <v>4</v>
      </c>
      <c r="AW121">
        <v>0</v>
      </c>
      <c r="AX121">
        <v>0</v>
      </c>
      <c r="AY121">
        <v>0</v>
      </c>
      <c r="AZ121">
        <v>0</v>
      </c>
      <c r="BA121" t="s">
        <v>14</v>
      </c>
      <c r="BB121" t="s">
        <v>4</v>
      </c>
      <c r="BC121" t="s">
        <v>10</v>
      </c>
      <c r="BD121">
        <v>0</v>
      </c>
      <c r="BE121">
        <v>0</v>
      </c>
      <c r="BF121">
        <v>0</v>
      </c>
      <c r="BG121">
        <v>0</v>
      </c>
      <c r="BH121">
        <v>0</v>
      </c>
      <c r="BI121" t="s">
        <v>9</v>
      </c>
      <c r="BJ121">
        <v>0</v>
      </c>
      <c r="BK121">
        <v>-4.6799999999999999E-5</v>
      </c>
      <c r="BL121">
        <v>0</v>
      </c>
      <c r="BM121" s="2">
        <f t="shared" si="1"/>
        <v>1.3430344753096961E-7</v>
      </c>
    </row>
    <row r="122" spans="1:65" x14ac:dyDescent="0.35">
      <c r="A122">
        <v>0</v>
      </c>
      <c r="B122" t="s">
        <v>3</v>
      </c>
      <c r="C122" t="s">
        <v>4</v>
      </c>
      <c r="D122">
        <v>0</v>
      </c>
      <c r="E122" t="s">
        <v>3</v>
      </c>
      <c r="F122" t="s">
        <v>5</v>
      </c>
      <c r="G122">
        <v>4506.1088920000002</v>
      </c>
      <c r="H122" t="s">
        <v>4</v>
      </c>
      <c r="I122">
        <v>990.16341899999998</v>
      </c>
      <c r="J122">
        <v>3515.9454730000002</v>
      </c>
      <c r="K122" t="s">
        <v>6</v>
      </c>
      <c r="L122" t="s">
        <v>7</v>
      </c>
      <c r="M122" t="s">
        <v>8</v>
      </c>
      <c r="N122" t="s">
        <v>6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7</v>
      </c>
      <c r="U122">
        <v>0</v>
      </c>
      <c r="V122">
        <v>1</v>
      </c>
      <c r="W122">
        <v>0</v>
      </c>
      <c r="X122">
        <v>3</v>
      </c>
      <c r="Y122">
        <v>0</v>
      </c>
      <c r="Z122" t="s">
        <v>21</v>
      </c>
      <c r="AA122" t="s">
        <v>4</v>
      </c>
      <c r="AB122" t="s">
        <v>6</v>
      </c>
      <c r="AC122" t="s">
        <v>7</v>
      </c>
      <c r="AD122" t="s">
        <v>8</v>
      </c>
      <c r="AE122" t="s">
        <v>6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7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9</v>
      </c>
      <c r="AR122" s="1">
        <v>6.4371082800000001E-6</v>
      </c>
      <c r="AS122" s="1">
        <v>3.9141719899999998E-28</v>
      </c>
      <c r="AT122">
        <v>5</v>
      </c>
      <c r="AU122" t="s">
        <v>10</v>
      </c>
      <c r="AV122">
        <v>0</v>
      </c>
      <c r="AW122">
        <v>1</v>
      </c>
      <c r="AX122">
        <v>0</v>
      </c>
      <c r="AY122">
        <v>3</v>
      </c>
      <c r="AZ122">
        <v>0</v>
      </c>
      <c r="BA122" t="s">
        <v>21</v>
      </c>
      <c r="BB122" t="s">
        <v>4</v>
      </c>
      <c r="BC122" t="s">
        <v>10</v>
      </c>
      <c r="BD122">
        <v>0</v>
      </c>
      <c r="BE122">
        <v>0</v>
      </c>
      <c r="BF122">
        <v>0</v>
      </c>
      <c r="BG122">
        <v>0</v>
      </c>
      <c r="BH122">
        <v>0</v>
      </c>
      <c r="BI122" t="s">
        <v>9</v>
      </c>
      <c r="BJ122">
        <v>6.3500000000000002E-6</v>
      </c>
      <c r="BK122">
        <v>0</v>
      </c>
      <c r="BL122">
        <v>-1.04E-6</v>
      </c>
      <c r="BM122" s="2">
        <f t="shared" si="1"/>
        <v>2.3571694839196191E-9</v>
      </c>
    </row>
    <row r="123" spans="1:65" x14ac:dyDescent="0.35">
      <c r="A123">
        <v>0</v>
      </c>
      <c r="B123" t="s">
        <v>11</v>
      </c>
      <c r="C123" t="s">
        <v>4</v>
      </c>
      <c r="D123">
        <v>0</v>
      </c>
      <c r="E123" t="s">
        <v>3</v>
      </c>
      <c r="F123" t="s">
        <v>5</v>
      </c>
      <c r="G123">
        <v>1324.6376809999999</v>
      </c>
      <c r="H123" t="s">
        <v>4</v>
      </c>
      <c r="I123">
        <v>990.16341899999998</v>
      </c>
      <c r="J123">
        <v>334.47426200000001</v>
      </c>
      <c r="K123" t="s">
        <v>6</v>
      </c>
      <c r="L123" t="s">
        <v>7</v>
      </c>
      <c r="M123" t="s">
        <v>8</v>
      </c>
      <c r="N123" t="s">
        <v>6</v>
      </c>
      <c r="O123" t="s">
        <v>3</v>
      </c>
      <c r="P123" t="s">
        <v>3</v>
      </c>
      <c r="Q123" t="s">
        <v>3</v>
      </c>
      <c r="R123" t="s">
        <v>3</v>
      </c>
      <c r="S123" t="s">
        <v>11</v>
      </c>
      <c r="T123" t="s">
        <v>7</v>
      </c>
      <c r="U123">
        <v>0</v>
      </c>
      <c r="V123">
        <v>0</v>
      </c>
      <c r="W123">
        <v>0</v>
      </c>
      <c r="X123">
        <v>2</v>
      </c>
      <c r="Y123">
        <v>0</v>
      </c>
      <c r="Z123" t="s">
        <v>18</v>
      </c>
      <c r="AA123" t="s">
        <v>4</v>
      </c>
      <c r="AB123" t="s">
        <v>6</v>
      </c>
      <c r="AC123" t="s">
        <v>7</v>
      </c>
      <c r="AD123" t="s">
        <v>8</v>
      </c>
      <c r="AE123" t="s">
        <v>6</v>
      </c>
      <c r="AF123" t="s">
        <v>3</v>
      </c>
      <c r="AG123" t="s">
        <v>3</v>
      </c>
      <c r="AH123" t="s">
        <v>3</v>
      </c>
      <c r="AI123" t="s">
        <v>3</v>
      </c>
      <c r="AJ123" t="s">
        <v>3</v>
      </c>
      <c r="AK123" t="s">
        <v>7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9</v>
      </c>
      <c r="AR123" s="1">
        <v>5.3430540999999997E-6</v>
      </c>
      <c r="AS123" s="1">
        <v>2.05511223E-29</v>
      </c>
      <c r="AT123">
        <v>7</v>
      </c>
      <c r="AU123" t="s">
        <v>10</v>
      </c>
      <c r="AV123">
        <v>0</v>
      </c>
      <c r="AW123">
        <v>0</v>
      </c>
      <c r="AX123">
        <v>0</v>
      </c>
      <c r="AY123">
        <v>2</v>
      </c>
      <c r="AZ123">
        <v>0</v>
      </c>
      <c r="BA123" t="s">
        <v>18</v>
      </c>
      <c r="BB123" t="s">
        <v>4</v>
      </c>
      <c r="BC123" t="s">
        <v>10</v>
      </c>
      <c r="BD123">
        <v>0</v>
      </c>
      <c r="BE123">
        <v>0</v>
      </c>
      <c r="BF123">
        <v>0</v>
      </c>
      <c r="BG123">
        <v>0</v>
      </c>
      <c r="BH123">
        <v>0</v>
      </c>
      <c r="BI123" t="s">
        <v>9</v>
      </c>
      <c r="BJ123">
        <v>0</v>
      </c>
      <c r="BK123">
        <v>-5.3399999999999997E-6</v>
      </c>
      <c r="BL123">
        <v>0</v>
      </c>
      <c r="BM123" s="2">
        <f t="shared" si="1"/>
        <v>1.2376175208861986E-10</v>
      </c>
    </row>
    <row r="124" spans="1:65" x14ac:dyDescent="0.35">
      <c r="A124">
        <v>0</v>
      </c>
      <c r="B124" t="s">
        <v>3</v>
      </c>
      <c r="C124" t="s">
        <v>4</v>
      </c>
      <c r="D124">
        <v>0</v>
      </c>
      <c r="E124" t="s">
        <v>3</v>
      </c>
      <c r="F124" t="s">
        <v>5</v>
      </c>
      <c r="G124">
        <v>2947.9231759999998</v>
      </c>
      <c r="H124" t="s">
        <v>4</v>
      </c>
      <c r="I124">
        <v>990.16341899999998</v>
      </c>
      <c r="J124">
        <v>1957.759757</v>
      </c>
      <c r="K124" t="s">
        <v>6</v>
      </c>
      <c r="L124" t="s">
        <v>7</v>
      </c>
      <c r="M124" t="s">
        <v>8</v>
      </c>
      <c r="N124" t="s">
        <v>6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7</v>
      </c>
      <c r="U124">
        <v>0</v>
      </c>
      <c r="V124">
        <v>1</v>
      </c>
      <c r="W124">
        <v>0</v>
      </c>
      <c r="X124">
        <v>2</v>
      </c>
      <c r="Y124">
        <v>1</v>
      </c>
      <c r="Z124" t="s">
        <v>8</v>
      </c>
      <c r="AA124" t="s">
        <v>4</v>
      </c>
      <c r="AB124" t="s">
        <v>6</v>
      </c>
      <c r="AC124" t="s">
        <v>7</v>
      </c>
      <c r="AD124" t="s">
        <v>8</v>
      </c>
      <c r="AE124" t="s">
        <v>6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7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9</v>
      </c>
      <c r="AR124" s="1">
        <v>1.39551499E-5</v>
      </c>
      <c r="AS124" s="1">
        <v>1.02426061E-27</v>
      </c>
      <c r="AT124">
        <v>6</v>
      </c>
      <c r="AU124" t="s">
        <v>10</v>
      </c>
      <c r="AV124">
        <v>0</v>
      </c>
      <c r="AW124">
        <v>1</v>
      </c>
      <c r="AX124">
        <v>0</v>
      </c>
      <c r="AY124">
        <v>2</v>
      </c>
      <c r="AZ124">
        <v>1</v>
      </c>
      <c r="BA124" t="s">
        <v>8</v>
      </c>
      <c r="BB124" t="s">
        <v>4</v>
      </c>
      <c r="BC124" t="s">
        <v>10</v>
      </c>
      <c r="BD124">
        <v>0</v>
      </c>
      <c r="BE124">
        <v>0</v>
      </c>
      <c r="BF124">
        <v>0</v>
      </c>
      <c r="BG124">
        <v>0</v>
      </c>
      <c r="BH124">
        <v>0</v>
      </c>
      <c r="BI124" t="s">
        <v>9</v>
      </c>
      <c r="BJ124">
        <v>-1.3380000000000001E-5</v>
      </c>
      <c r="BK124">
        <v>0</v>
      </c>
      <c r="BL124">
        <v>3.9500000000000003E-6</v>
      </c>
      <c r="BM124" s="2">
        <f t="shared" si="1"/>
        <v>6.1682416093138877E-9</v>
      </c>
    </row>
    <row r="125" spans="1:65" x14ac:dyDescent="0.35">
      <c r="A125">
        <v>0</v>
      </c>
      <c r="B125" t="s">
        <v>3</v>
      </c>
      <c r="C125" t="s">
        <v>4</v>
      </c>
      <c r="D125">
        <v>0</v>
      </c>
      <c r="E125" t="s">
        <v>3</v>
      </c>
      <c r="F125" t="s">
        <v>5</v>
      </c>
      <c r="G125">
        <v>4654.0524910000004</v>
      </c>
      <c r="H125" t="s">
        <v>4</v>
      </c>
      <c r="I125">
        <v>990.16341899999998</v>
      </c>
      <c r="J125">
        <v>3663.8890719999999</v>
      </c>
      <c r="K125" t="s">
        <v>6</v>
      </c>
      <c r="L125" t="s">
        <v>7</v>
      </c>
      <c r="M125" t="s">
        <v>8</v>
      </c>
      <c r="N125" t="s">
        <v>6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7</v>
      </c>
      <c r="U125">
        <v>0</v>
      </c>
      <c r="V125">
        <v>0</v>
      </c>
      <c r="W125">
        <v>0</v>
      </c>
      <c r="X125">
        <v>8</v>
      </c>
      <c r="Y125">
        <v>1</v>
      </c>
      <c r="Z125" t="s">
        <v>8</v>
      </c>
      <c r="AA125" t="s">
        <v>4</v>
      </c>
      <c r="AB125" t="s">
        <v>6</v>
      </c>
      <c r="AC125" t="s">
        <v>7</v>
      </c>
      <c r="AD125" t="s">
        <v>8</v>
      </c>
      <c r="AE125" t="s">
        <v>6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7</v>
      </c>
      <c r="AL125">
        <v>0</v>
      </c>
      <c r="AM125">
        <v>0</v>
      </c>
      <c r="AN125">
        <v>0</v>
      </c>
      <c r="AO125">
        <v>0</v>
      </c>
      <c r="AP125">
        <v>0</v>
      </c>
      <c r="AQ125" t="s">
        <v>9</v>
      </c>
      <c r="AR125" s="1">
        <v>8.8014123700000006E-5</v>
      </c>
      <c r="AS125" s="1">
        <v>7.6254101699999999E-26</v>
      </c>
      <c r="AT125">
        <v>6</v>
      </c>
      <c r="AU125" t="s">
        <v>10</v>
      </c>
      <c r="AV125">
        <v>0</v>
      </c>
      <c r="AW125">
        <v>0</v>
      </c>
      <c r="AX125">
        <v>0</v>
      </c>
      <c r="AY125">
        <v>8</v>
      </c>
      <c r="AZ125">
        <v>1</v>
      </c>
      <c r="BA125" t="s">
        <v>8</v>
      </c>
      <c r="BB125" t="s">
        <v>4</v>
      </c>
      <c r="BC125" t="s">
        <v>10</v>
      </c>
      <c r="BD125">
        <v>0</v>
      </c>
      <c r="BE125">
        <v>0</v>
      </c>
      <c r="BF125">
        <v>0</v>
      </c>
      <c r="BG125">
        <v>0</v>
      </c>
      <c r="BH125">
        <v>0</v>
      </c>
      <c r="BI125" t="s">
        <v>9</v>
      </c>
      <c r="BJ125">
        <v>6.4560000000000005E-5</v>
      </c>
      <c r="BK125">
        <v>0</v>
      </c>
      <c r="BL125">
        <v>-5.982E-5</v>
      </c>
      <c r="BM125" s="2">
        <f t="shared" si="1"/>
        <v>4.5921293701491938E-7</v>
      </c>
    </row>
    <row r="126" spans="1:65" x14ac:dyDescent="0.35">
      <c r="A126">
        <v>0</v>
      </c>
      <c r="B126" t="s">
        <v>11</v>
      </c>
      <c r="C126" t="s">
        <v>4</v>
      </c>
      <c r="D126">
        <v>0</v>
      </c>
      <c r="E126" t="s">
        <v>3</v>
      </c>
      <c r="F126" t="s">
        <v>5</v>
      </c>
      <c r="G126">
        <v>4946.6424310000002</v>
      </c>
      <c r="H126" t="s">
        <v>4</v>
      </c>
      <c r="I126">
        <v>990.16341899999998</v>
      </c>
      <c r="J126">
        <v>3956.4790119999998</v>
      </c>
      <c r="K126" t="s">
        <v>6</v>
      </c>
      <c r="L126" t="s">
        <v>7</v>
      </c>
      <c r="M126" t="s">
        <v>8</v>
      </c>
      <c r="N126" t="s">
        <v>6</v>
      </c>
      <c r="O126" t="s">
        <v>3</v>
      </c>
      <c r="P126" t="s">
        <v>3</v>
      </c>
      <c r="Q126" t="s">
        <v>3</v>
      </c>
      <c r="R126" t="s">
        <v>3</v>
      </c>
      <c r="S126" t="s">
        <v>11</v>
      </c>
      <c r="T126" t="s">
        <v>7</v>
      </c>
      <c r="U126">
        <v>0</v>
      </c>
      <c r="V126">
        <v>2</v>
      </c>
      <c r="W126">
        <v>0</v>
      </c>
      <c r="X126">
        <v>0</v>
      </c>
      <c r="Y126">
        <v>1</v>
      </c>
      <c r="Z126" t="s">
        <v>14</v>
      </c>
      <c r="AA126" t="s">
        <v>4</v>
      </c>
      <c r="AB126" t="s">
        <v>6</v>
      </c>
      <c r="AC126" t="s">
        <v>7</v>
      </c>
      <c r="AD126" t="s">
        <v>8</v>
      </c>
      <c r="AE126" t="s">
        <v>6</v>
      </c>
      <c r="AF126" t="s">
        <v>3</v>
      </c>
      <c r="AG126" t="s">
        <v>3</v>
      </c>
      <c r="AH126" t="s">
        <v>3</v>
      </c>
      <c r="AI126" t="s">
        <v>3</v>
      </c>
      <c r="AJ126" t="s">
        <v>3</v>
      </c>
      <c r="AK126" t="s">
        <v>7</v>
      </c>
      <c r="AL126">
        <v>0</v>
      </c>
      <c r="AM126">
        <v>0</v>
      </c>
      <c r="AN126">
        <v>0</v>
      </c>
      <c r="AO126">
        <v>0</v>
      </c>
      <c r="AP126">
        <v>0</v>
      </c>
      <c r="AQ126" t="s">
        <v>9</v>
      </c>
      <c r="AR126" s="1">
        <v>1.2820974E-5</v>
      </c>
      <c r="AS126" s="1">
        <v>1.74729836E-27</v>
      </c>
      <c r="AT126">
        <v>6</v>
      </c>
      <c r="AU126" t="s">
        <v>10</v>
      </c>
      <c r="AV126">
        <v>0</v>
      </c>
      <c r="AW126">
        <v>2</v>
      </c>
      <c r="AX126">
        <v>0</v>
      </c>
      <c r="AY126">
        <v>0</v>
      </c>
      <c r="AZ126">
        <v>1</v>
      </c>
      <c r="BA126" t="s">
        <v>14</v>
      </c>
      <c r="BB126" t="s">
        <v>4</v>
      </c>
      <c r="BC126" t="s">
        <v>10</v>
      </c>
      <c r="BD126">
        <v>0</v>
      </c>
      <c r="BE126">
        <v>0</v>
      </c>
      <c r="BF126">
        <v>0</v>
      </c>
      <c r="BG126">
        <v>0</v>
      </c>
      <c r="BH126">
        <v>0</v>
      </c>
      <c r="BI126" t="s">
        <v>9</v>
      </c>
      <c r="BJ126">
        <v>0</v>
      </c>
      <c r="BK126">
        <v>-1.2819999999999999E-5</v>
      </c>
      <c r="BL126">
        <v>0</v>
      </c>
      <c r="BM126" s="2">
        <f t="shared" si="1"/>
        <v>1.0522476743529087E-8</v>
      </c>
    </row>
    <row r="127" spans="1:65" x14ac:dyDescent="0.35">
      <c r="A127">
        <v>0</v>
      </c>
      <c r="B127" t="s">
        <v>3</v>
      </c>
      <c r="C127" t="s">
        <v>4</v>
      </c>
      <c r="D127">
        <v>0</v>
      </c>
      <c r="E127" t="s">
        <v>3</v>
      </c>
      <c r="F127" t="s">
        <v>5</v>
      </c>
      <c r="G127">
        <v>4292.2393760000004</v>
      </c>
      <c r="H127" t="s">
        <v>4</v>
      </c>
      <c r="I127">
        <v>990.16341899999998</v>
      </c>
      <c r="J127">
        <v>3302.075957</v>
      </c>
      <c r="K127" t="s">
        <v>6</v>
      </c>
      <c r="L127" t="s">
        <v>7</v>
      </c>
      <c r="M127" t="s">
        <v>8</v>
      </c>
      <c r="N127" t="s">
        <v>6</v>
      </c>
      <c r="O127" t="s">
        <v>3</v>
      </c>
      <c r="P127" t="s">
        <v>3</v>
      </c>
      <c r="Q127" t="s">
        <v>3</v>
      </c>
      <c r="R127" t="s">
        <v>3</v>
      </c>
      <c r="S127" t="s">
        <v>3</v>
      </c>
      <c r="T127" t="s">
        <v>7</v>
      </c>
      <c r="U127">
        <v>1</v>
      </c>
      <c r="V127">
        <v>1</v>
      </c>
      <c r="W127">
        <v>0</v>
      </c>
      <c r="X127">
        <v>4</v>
      </c>
      <c r="Y127">
        <v>0</v>
      </c>
      <c r="Z127" t="s">
        <v>8</v>
      </c>
      <c r="AA127" t="s">
        <v>4</v>
      </c>
      <c r="AB127" t="s">
        <v>6</v>
      </c>
      <c r="AC127" t="s">
        <v>7</v>
      </c>
      <c r="AD127" t="s">
        <v>8</v>
      </c>
      <c r="AE127" t="s">
        <v>6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7</v>
      </c>
      <c r="AL127">
        <v>0</v>
      </c>
      <c r="AM127">
        <v>0</v>
      </c>
      <c r="AN127">
        <v>0</v>
      </c>
      <c r="AO127">
        <v>0</v>
      </c>
      <c r="AP127">
        <v>0</v>
      </c>
      <c r="AQ127" t="s">
        <v>9</v>
      </c>
      <c r="AR127" s="1">
        <v>2.1708633899999999E-5</v>
      </c>
      <c r="AS127" s="1">
        <v>4.1808843999999999E-27</v>
      </c>
      <c r="AT127">
        <v>6</v>
      </c>
      <c r="AU127" t="s">
        <v>10</v>
      </c>
      <c r="AV127">
        <v>1</v>
      </c>
      <c r="AW127">
        <v>1</v>
      </c>
      <c r="AX127">
        <v>0</v>
      </c>
      <c r="AY127">
        <v>4</v>
      </c>
      <c r="AZ127">
        <v>0</v>
      </c>
      <c r="BA127" t="s">
        <v>8</v>
      </c>
      <c r="BB127" t="s">
        <v>4</v>
      </c>
      <c r="BC127" t="s">
        <v>10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9</v>
      </c>
      <c r="BJ127">
        <v>1.5420000000000001E-5</v>
      </c>
      <c r="BK127">
        <v>0</v>
      </c>
      <c r="BL127">
        <v>1.5279999999999999E-5</v>
      </c>
      <c r="BM127" s="2">
        <f t="shared" si="1"/>
        <v>2.5177874525323519E-8</v>
      </c>
    </row>
    <row r="128" spans="1:65" x14ac:dyDescent="0.35">
      <c r="A128">
        <v>0</v>
      </c>
      <c r="B128" t="s">
        <v>11</v>
      </c>
      <c r="C128" t="s">
        <v>4</v>
      </c>
      <c r="D128">
        <v>0</v>
      </c>
      <c r="E128" t="s">
        <v>3</v>
      </c>
      <c r="F128" t="s">
        <v>5</v>
      </c>
      <c r="G128">
        <v>4886.9509340000004</v>
      </c>
      <c r="H128" t="s">
        <v>4</v>
      </c>
      <c r="I128">
        <v>990.16341899999998</v>
      </c>
      <c r="J128">
        <v>3896.787515</v>
      </c>
      <c r="K128" t="s">
        <v>6</v>
      </c>
      <c r="L128" t="s">
        <v>7</v>
      </c>
      <c r="M128" t="s">
        <v>8</v>
      </c>
      <c r="N128" t="s">
        <v>6</v>
      </c>
      <c r="O128" t="s">
        <v>3</v>
      </c>
      <c r="P128" t="s">
        <v>3</v>
      </c>
      <c r="Q128" t="s">
        <v>3</v>
      </c>
      <c r="R128" t="s">
        <v>3</v>
      </c>
      <c r="S128" t="s">
        <v>11</v>
      </c>
      <c r="T128" t="s">
        <v>7</v>
      </c>
      <c r="U128">
        <v>3</v>
      </c>
      <c r="V128">
        <v>0</v>
      </c>
      <c r="W128">
        <v>0</v>
      </c>
      <c r="X128">
        <v>0</v>
      </c>
      <c r="Y128">
        <v>1</v>
      </c>
      <c r="Z128" t="s">
        <v>14</v>
      </c>
      <c r="AA128" t="s">
        <v>4</v>
      </c>
      <c r="AB128" t="s">
        <v>6</v>
      </c>
      <c r="AC128" t="s">
        <v>7</v>
      </c>
      <c r="AD128" t="s">
        <v>8</v>
      </c>
      <c r="AE128" t="s">
        <v>6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7</v>
      </c>
      <c r="AL128">
        <v>0</v>
      </c>
      <c r="AM128">
        <v>0</v>
      </c>
      <c r="AN128">
        <v>0</v>
      </c>
      <c r="AO128">
        <v>0</v>
      </c>
      <c r="AP128">
        <v>0</v>
      </c>
      <c r="AQ128" t="s">
        <v>9</v>
      </c>
      <c r="AR128" s="1">
        <v>2.06424489E-5</v>
      </c>
      <c r="AS128" s="1">
        <v>4.46113456E-27</v>
      </c>
      <c r="AT128">
        <v>6</v>
      </c>
      <c r="AU128" t="s">
        <v>10</v>
      </c>
      <c r="AV128">
        <v>3</v>
      </c>
      <c r="AW128">
        <v>0</v>
      </c>
      <c r="AX128">
        <v>0</v>
      </c>
      <c r="AY128">
        <v>0</v>
      </c>
      <c r="AZ128">
        <v>1</v>
      </c>
      <c r="BA128" t="s">
        <v>14</v>
      </c>
      <c r="BB128" t="s">
        <v>4</v>
      </c>
      <c r="BC128" t="s">
        <v>10</v>
      </c>
      <c r="BD128">
        <v>0</v>
      </c>
      <c r="BE128">
        <v>0</v>
      </c>
      <c r="BF128">
        <v>0</v>
      </c>
      <c r="BG128">
        <v>0</v>
      </c>
      <c r="BH128">
        <v>0</v>
      </c>
      <c r="BI128" t="s">
        <v>9</v>
      </c>
      <c r="BJ128">
        <v>0</v>
      </c>
      <c r="BK128">
        <v>2.0639999999999999E-5</v>
      </c>
      <c r="BL128">
        <v>0</v>
      </c>
      <c r="BM128" s="2">
        <f t="shared" si="1"/>
        <v>2.6865580448066048E-8</v>
      </c>
    </row>
    <row r="129" spans="1:65" x14ac:dyDescent="0.35">
      <c r="A129">
        <v>0</v>
      </c>
      <c r="B129" t="s">
        <v>11</v>
      </c>
      <c r="C129" t="s">
        <v>4</v>
      </c>
      <c r="D129">
        <v>0</v>
      </c>
      <c r="E129" t="s">
        <v>3</v>
      </c>
      <c r="F129" t="s">
        <v>5</v>
      </c>
      <c r="G129">
        <v>3651.0854220000001</v>
      </c>
      <c r="H129" t="s">
        <v>4</v>
      </c>
      <c r="I129">
        <v>990.16341899999998</v>
      </c>
      <c r="J129">
        <v>2660.9220030000001</v>
      </c>
      <c r="K129" t="s">
        <v>6</v>
      </c>
      <c r="L129" t="s">
        <v>7</v>
      </c>
      <c r="M129" t="s">
        <v>8</v>
      </c>
      <c r="N129" t="s">
        <v>6</v>
      </c>
      <c r="O129" t="s">
        <v>3</v>
      </c>
      <c r="P129" t="s">
        <v>3</v>
      </c>
      <c r="Q129" t="s">
        <v>3</v>
      </c>
      <c r="R129" t="s">
        <v>3</v>
      </c>
      <c r="S129" t="s">
        <v>11</v>
      </c>
      <c r="T129" t="s">
        <v>7</v>
      </c>
      <c r="U129">
        <v>0</v>
      </c>
      <c r="V129">
        <v>0</v>
      </c>
      <c r="W129">
        <v>0</v>
      </c>
      <c r="X129">
        <v>3</v>
      </c>
      <c r="Y129">
        <v>1</v>
      </c>
      <c r="Z129" t="s">
        <v>14</v>
      </c>
      <c r="AA129" t="s">
        <v>4</v>
      </c>
      <c r="AB129" t="s">
        <v>6</v>
      </c>
      <c r="AC129" t="s">
        <v>7</v>
      </c>
      <c r="AD129" t="s">
        <v>8</v>
      </c>
      <c r="AE129" t="s">
        <v>6</v>
      </c>
      <c r="AF129" t="s">
        <v>3</v>
      </c>
      <c r="AG129" t="s">
        <v>3</v>
      </c>
      <c r="AH129" t="s">
        <v>3</v>
      </c>
      <c r="AI129" t="s">
        <v>3</v>
      </c>
      <c r="AJ129" t="s">
        <v>3</v>
      </c>
      <c r="AK129" t="s">
        <v>7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9</v>
      </c>
      <c r="AR129" s="1">
        <v>1.8395073799999998E-5</v>
      </c>
      <c r="AS129" s="1">
        <v>2.41908001E-27</v>
      </c>
      <c r="AT129">
        <v>7</v>
      </c>
      <c r="AU129" t="s">
        <v>10</v>
      </c>
      <c r="AV129">
        <v>0</v>
      </c>
      <c r="AW129">
        <v>0</v>
      </c>
      <c r="AX129">
        <v>0</v>
      </c>
      <c r="AY129">
        <v>3</v>
      </c>
      <c r="AZ129">
        <v>1</v>
      </c>
      <c r="BA129" t="s">
        <v>14</v>
      </c>
      <c r="BB129" t="s">
        <v>4</v>
      </c>
      <c r="BC129" t="s">
        <v>10</v>
      </c>
      <c r="BD129">
        <v>0</v>
      </c>
      <c r="BE129">
        <v>0</v>
      </c>
      <c r="BF129">
        <v>0</v>
      </c>
      <c r="BG129">
        <v>0</v>
      </c>
      <c r="BH129">
        <v>0</v>
      </c>
      <c r="BI129" t="s">
        <v>9</v>
      </c>
      <c r="BJ129">
        <v>0</v>
      </c>
      <c r="BK129">
        <v>1.84E-5</v>
      </c>
      <c r="BL129">
        <v>0</v>
      </c>
      <c r="BM129" s="2">
        <f t="shared" si="1"/>
        <v>1.4568040426685407E-8</v>
      </c>
    </row>
    <row r="130" spans="1:65" x14ac:dyDescent="0.35">
      <c r="A130">
        <v>0</v>
      </c>
      <c r="B130" t="s">
        <v>11</v>
      </c>
      <c r="C130" t="s">
        <v>4</v>
      </c>
      <c r="D130">
        <v>0</v>
      </c>
      <c r="E130" t="s">
        <v>3</v>
      </c>
      <c r="F130" t="s">
        <v>5</v>
      </c>
      <c r="G130">
        <v>4106.5081</v>
      </c>
      <c r="H130" t="s">
        <v>4</v>
      </c>
      <c r="I130">
        <v>990.16341899999998</v>
      </c>
      <c r="J130">
        <v>3116.344681</v>
      </c>
      <c r="K130" t="s">
        <v>6</v>
      </c>
      <c r="L130" t="s">
        <v>7</v>
      </c>
      <c r="M130" t="s">
        <v>8</v>
      </c>
      <c r="N130" t="s">
        <v>6</v>
      </c>
      <c r="O130" t="s">
        <v>3</v>
      </c>
      <c r="P130" t="s">
        <v>3</v>
      </c>
      <c r="Q130" t="s">
        <v>3</v>
      </c>
      <c r="R130" t="s">
        <v>3</v>
      </c>
      <c r="S130" t="s">
        <v>11</v>
      </c>
      <c r="T130" t="s">
        <v>7</v>
      </c>
      <c r="U130">
        <v>3</v>
      </c>
      <c r="V130">
        <v>0</v>
      </c>
      <c r="W130">
        <v>0</v>
      </c>
      <c r="X130">
        <v>0</v>
      </c>
      <c r="Y130">
        <v>0</v>
      </c>
      <c r="Z130" t="s">
        <v>13</v>
      </c>
      <c r="AA130" t="s">
        <v>4</v>
      </c>
      <c r="AB130" t="s">
        <v>6</v>
      </c>
      <c r="AC130" t="s">
        <v>7</v>
      </c>
      <c r="AD130" t="s">
        <v>8</v>
      </c>
      <c r="AE130" t="s">
        <v>6</v>
      </c>
      <c r="AF130" t="s">
        <v>3</v>
      </c>
      <c r="AG130" t="s">
        <v>3</v>
      </c>
      <c r="AH130" t="s">
        <v>3</v>
      </c>
      <c r="AI130" t="s">
        <v>3</v>
      </c>
      <c r="AJ130" t="s">
        <v>3</v>
      </c>
      <c r="AK130" t="s">
        <v>7</v>
      </c>
      <c r="AL130">
        <v>0</v>
      </c>
      <c r="AM130">
        <v>0</v>
      </c>
      <c r="AN130">
        <v>0</v>
      </c>
      <c r="AO130">
        <v>0</v>
      </c>
      <c r="AP130">
        <v>0</v>
      </c>
      <c r="AQ130" t="s">
        <v>9</v>
      </c>
      <c r="AR130" s="1">
        <v>3.9672194200000003E-5</v>
      </c>
      <c r="AS130" s="1">
        <v>1.3177528500000001E-26</v>
      </c>
      <c r="AT130">
        <v>7</v>
      </c>
      <c r="AU130" t="s">
        <v>10</v>
      </c>
      <c r="AV130">
        <v>3</v>
      </c>
      <c r="AW130">
        <v>0</v>
      </c>
      <c r="AX130">
        <v>0</v>
      </c>
      <c r="AY130">
        <v>0</v>
      </c>
      <c r="AZ130">
        <v>0</v>
      </c>
      <c r="BA130" t="s">
        <v>13</v>
      </c>
      <c r="BB130" t="s">
        <v>4</v>
      </c>
      <c r="BC130" t="s">
        <v>10</v>
      </c>
      <c r="BD130">
        <v>0</v>
      </c>
      <c r="BE130">
        <v>0</v>
      </c>
      <c r="BF130">
        <v>0</v>
      </c>
      <c r="BG130">
        <v>0</v>
      </c>
      <c r="BH130">
        <v>0</v>
      </c>
      <c r="BI130" t="s">
        <v>9</v>
      </c>
      <c r="BJ130">
        <v>0</v>
      </c>
      <c r="BK130">
        <v>-3.9669999999999998E-5</v>
      </c>
      <c r="BL130">
        <v>0</v>
      </c>
      <c r="BM130" s="2">
        <f t="shared" ref="BM130:BM193" si="2">AS130*10^(-5)*6.0221408*10^(23)</f>
        <v>7.9356932023012792E-8</v>
      </c>
    </row>
    <row r="131" spans="1:65" x14ac:dyDescent="0.35">
      <c r="A131">
        <v>0</v>
      </c>
      <c r="B131" t="s">
        <v>3</v>
      </c>
      <c r="C131" t="s">
        <v>4</v>
      </c>
      <c r="D131">
        <v>0</v>
      </c>
      <c r="E131" t="s">
        <v>3</v>
      </c>
      <c r="F131" t="s">
        <v>5</v>
      </c>
      <c r="G131">
        <v>4212.1293599999999</v>
      </c>
      <c r="H131" t="s">
        <v>4</v>
      </c>
      <c r="I131">
        <v>990.16341899999998</v>
      </c>
      <c r="J131">
        <v>3221.9659409999999</v>
      </c>
      <c r="K131" t="s">
        <v>6</v>
      </c>
      <c r="L131" t="s">
        <v>7</v>
      </c>
      <c r="M131" t="s">
        <v>8</v>
      </c>
      <c r="N131" t="s">
        <v>6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7</v>
      </c>
      <c r="U131">
        <v>2</v>
      </c>
      <c r="V131">
        <v>2</v>
      </c>
      <c r="W131">
        <v>0</v>
      </c>
      <c r="X131">
        <v>0</v>
      </c>
      <c r="Y131">
        <v>0</v>
      </c>
      <c r="Z131" t="s">
        <v>8</v>
      </c>
      <c r="AA131" t="s">
        <v>4</v>
      </c>
      <c r="AB131" t="s">
        <v>6</v>
      </c>
      <c r="AC131" t="s">
        <v>7</v>
      </c>
      <c r="AD131" t="s">
        <v>8</v>
      </c>
      <c r="AE131" t="s">
        <v>6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7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9</v>
      </c>
      <c r="AR131" s="1">
        <v>2.32880645E-4</v>
      </c>
      <c r="AS131" s="1">
        <v>4.6946565E-25</v>
      </c>
      <c r="AT131">
        <v>6</v>
      </c>
      <c r="AU131" t="s">
        <v>10</v>
      </c>
      <c r="AV131">
        <v>2</v>
      </c>
      <c r="AW131">
        <v>2</v>
      </c>
      <c r="AX131">
        <v>0</v>
      </c>
      <c r="AY131">
        <v>0</v>
      </c>
      <c r="AZ131">
        <v>0</v>
      </c>
      <c r="BA131" t="s">
        <v>8</v>
      </c>
      <c r="BB131" t="s">
        <v>4</v>
      </c>
      <c r="BC131" t="s">
        <v>10</v>
      </c>
      <c r="BD131">
        <v>0</v>
      </c>
      <c r="BE131">
        <v>0</v>
      </c>
      <c r="BF131">
        <v>0</v>
      </c>
      <c r="BG131">
        <v>0</v>
      </c>
      <c r="BH131">
        <v>0</v>
      </c>
      <c r="BI131" t="s">
        <v>9</v>
      </c>
      <c r="BJ131">
        <v>-2.3273E-4</v>
      </c>
      <c r="BK131">
        <v>0</v>
      </c>
      <c r="BL131">
        <v>-8.3399999999999998E-6</v>
      </c>
      <c r="BM131" s="2">
        <f t="shared" si="2"/>
        <v>2.8271882450635205E-6</v>
      </c>
    </row>
    <row r="132" spans="1:65" x14ac:dyDescent="0.35">
      <c r="A132">
        <v>0</v>
      </c>
      <c r="B132" t="s">
        <v>3</v>
      </c>
      <c r="C132" t="s">
        <v>4</v>
      </c>
      <c r="D132">
        <v>0</v>
      </c>
      <c r="E132" t="s">
        <v>3</v>
      </c>
      <c r="F132" t="s">
        <v>5</v>
      </c>
      <c r="G132">
        <v>4589.7429510000002</v>
      </c>
      <c r="H132" t="s">
        <v>4</v>
      </c>
      <c r="I132">
        <v>990.16341899999998</v>
      </c>
      <c r="J132">
        <v>3599.5795320000002</v>
      </c>
      <c r="K132" t="s">
        <v>6</v>
      </c>
      <c r="L132" t="s">
        <v>7</v>
      </c>
      <c r="M132" t="s">
        <v>8</v>
      </c>
      <c r="N132" t="s">
        <v>6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7</v>
      </c>
      <c r="U132">
        <v>0</v>
      </c>
      <c r="V132">
        <v>0</v>
      </c>
      <c r="W132">
        <v>0</v>
      </c>
      <c r="X132">
        <v>6</v>
      </c>
      <c r="Y132">
        <v>0</v>
      </c>
      <c r="Z132" t="s">
        <v>24</v>
      </c>
      <c r="AA132" t="s">
        <v>4</v>
      </c>
      <c r="AB132" t="s">
        <v>6</v>
      </c>
      <c r="AC132" t="s">
        <v>7</v>
      </c>
      <c r="AD132" t="s">
        <v>8</v>
      </c>
      <c r="AE132" t="s">
        <v>6</v>
      </c>
      <c r="AF132" t="s">
        <v>3</v>
      </c>
      <c r="AG132" t="s">
        <v>3</v>
      </c>
      <c r="AH132" t="s">
        <v>3</v>
      </c>
      <c r="AI132" t="s">
        <v>3</v>
      </c>
      <c r="AJ132" t="s">
        <v>3</v>
      </c>
      <c r="AK132" t="s">
        <v>7</v>
      </c>
      <c r="AL132">
        <v>0</v>
      </c>
      <c r="AM132">
        <v>0</v>
      </c>
      <c r="AN132">
        <v>0</v>
      </c>
      <c r="AO132">
        <v>0</v>
      </c>
      <c r="AP132">
        <v>0</v>
      </c>
      <c r="AQ132" t="s">
        <v>9</v>
      </c>
      <c r="AR132" s="1">
        <v>2.9703592400000001E-4</v>
      </c>
      <c r="AS132" s="1">
        <v>8.5326882400000007E-25</v>
      </c>
      <c r="AT132">
        <v>7</v>
      </c>
      <c r="AU132" t="s">
        <v>10</v>
      </c>
      <c r="AV132">
        <v>0</v>
      </c>
      <c r="AW132">
        <v>0</v>
      </c>
      <c r="AX132">
        <v>0</v>
      </c>
      <c r="AY132">
        <v>6</v>
      </c>
      <c r="AZ132">
        <v>0</v>
      </c>
      <c r="BA132" t="s">
        <v>24</v>
      </c>
      <c r="BB132" t="s">
        <v>4</v>
      </c>
      <c r="BC132" t="s">
        <v>10</v>
      </c>
      <c r="BD132">
        <v>0</v>
      </c>
      <c r="BE132">
        <v>0</v>
      </c>
      <c r="BF132">
        <v>0</v>
      </c>
      <c r="BG132">
        <v>0</v>
      </c>
      <c r="BH132">
        <v>0</v>
      </c>
      <c r="BI132" t="s">
        <v>9</v>
      </c>
      <c r="BJ132">
        <v>-2.3158E-4</v>
      </c>
      <c r="BK132">
        <v>0</v>
      </c>
      <c r="BL132">
        <v>1.8602000000000001E-4</v>
      </c>
      <c r="BM132" s="2">
        <f t="shared" si="2"/>
        <v>5.1385049983784193E-6</v>
      </c>
    </row>
    <row r="133" spans="1:65" x14ac:dyDescent="0.35">
      <c r="A133">
        <v>0</v>
      </c>
      <c r="B133" t="s">
        <v>11</v>
      </c>
      <c r="C133" t="s">
        <v>4</v>
      </c>
      <c r="D133">
        <v>0</v>
      </c>
      <c r="E133" t="s">
        <v>3</v>
      </c>
      <c r="F133" t="s">
        <v>5</v>
      </c>
      <c r="G133">
        <v>4721.6977569999999</v>
      </c>
      <c r="H133" t="s">
        <v>4</v>
      </c>
      <c r="I133">
        <v>990.16341899999998</v>
      </c>
      <c r="J133">
        <v>3731.5343379999999</v>
      </c>
      <c r="K133" t="s">
        <v>6</v>
      </c>
      <c r="L133" t="s">
        <v>7</v>
      </c>
      <c r="M133" t="s">
        <v>8</v>
      </c>
      <c r="N133" t="s">
        <v>6</v>
      </c>
      <c r="O133" t="s">
        <v>3</v>
      </c>
      <c r="P133" t="s">
        <v>3</v>
      </c>
      <c r="Q133" t="s">
        <v>3</v>
      </c>
      <c r="R133" t="s">
        <v>3</v>
      </c>
      <c r="S133" t="s">
        <v>11</v>
      </c>
      <c r="T133" t="s">
        <v>7</v>
      </c>
      <c r="U133">
        <v>5</v>
      </c>
      <c r="V133">
        <v>0</v>
      </c>
      <c r="W133">
        <v>0</v>
      </c>
      <c r="X133">
        <v>0</v>
      </c>
      <c r="Y133">
        <v>0</v>
      </c>
      <c r="Z133" t="s">
        <v>18</v>
      </c>
      <c r="AA133" t="s">
        <v>4</v>
      </c>
      <c r="AB133" t="s">
        <v>6</v>
      </c>
      <c r="AC133" t="s">
        <v>7</v>
      </c>
      <c r="AD133" t="s">
        <v>8</v>
      </c>
      <c r="AE133" t="s">
        <v>6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7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9</v>
      </c>
      <c r="AR133" s="1">
        <v>3.9237894400000003E-6</v>
      </c>
      <c r="AS133" s="1">
        <v>1.5435296899999999E-28</v>
      </c>
      <c r="AT133">
        <v>6</v>
      </c>
      <c r="AU133" t="s">
        <v>10</v>
      </c>
      <c r="AV133">
        <v>5</v>
      </c>
      <c r="AW133">
        <v>0</v>
      </c>
      <c r="AX133">
        <v>0</v>
      </c>
      <c r="AY133">
        <v>0</v>
      </c>
      <c r="AZ133">
        <v>0</v>
      </c>
      <c r="BA133" t="s">
        <v>18</v>
      </c>
      <c r="BB133" t="s">
        <v>4</v>
      </c>
      <c r="BC133" t="s">
        <v>10</v>
      </c>
      <c r="BD133">
        <v>0</v>
      </c>
      <c r="BE133">
        <v>0</v>
      </c>
      <c r="BF133">
        <v>0</v>
      </c>
      <c r="BG133">
        <v>0</v>
      </c>
      <c r="BH133">
        <v>0</v>
      </c>
      <c r="BI133" t="s">
        <v>9</v>
      </c>
      <c r="BJ133">
        <v>0</v>
      </c>
      <c r="BK133">
        <v>3.9199999999999997E-6</v>
      </c>
      <c r="BL133">
        <v>0</v>
      </c>
      <c r="BM133" s="2">
        <f t="shared" si="2"/>
        <v>9.2953531221603503E-10</v>
      </c>
    </row>
    <row r="134" spans="1:65" x14ac:dyDescent="0.35">
      <c r="A134">
        <v>0</v>
      </c>
      <c r="B134" t="s">
        <v>3</v>
      </c>
      <c r="C134" t="s">
        <v>4</v>
      </c>
      <c r="D134">
        <v>0</v>
      </c>
      <c r="E134" t="s">
        <v>3</v>
      </c>
      <c r="F134" t="s">
        <v>5</v>
      </c>
      <c r="G134">
        <v>3140.0765449999999</v>
      </c>
      <c r="H134" t="s">
        <v>4</v>
      </c>
      <c r="I134">
        <v>990.16341899999998</v>
      </c>
      <c r="J134">
        <v>2149.9131259999999</v>
      </c>
      <c r="K134" t="s">
        <v>6</v>
      </c>
      <c r="L134" t="s">
        <v>7</v>
      </c>
      <c r="M134" t="s">
        <v>8</v>
      </c>
      <c r="N134" t="s">
        <v>6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7</v>
      </c>
      <c r="U134">
        <v>0</v>
      </c>
      <c r="V134">
        <v>1</v>
      </c>
      <c r="W134">
        <v>0</v>
      </c>
      <c r="X134">
        <v>0</v>
      </c>
      <c r="Y134">
        <v>0</v>
      </c>
      <c r="Z134" t="s">
        <v>24</v>
      </c>
      <c r="AA134" t="s">
        <v>4</v>
      </c>
      <c r="AB134" t="s">
        <v>6</v>
      </c>
      <c r="AC134" t="s">
        <v>7</v>
      </c>
      <c r="AD134" t="s">
        <v>8</v>
      </c>
      <c r="AE134" t="s">
        <v>6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7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9</v>
      </c>
      <c r="AR134" s="1">
        <v>1.31807835E-4</v>
      </c>
      <c r="AS134" s="1">
        <v>1.0034738099999999E-25</v>
      </c>
      <c r="AT134">
        <v>7</v>
      </c>
      <c r="AU134" t="s">
        <v>10</v>
      </c>
      <c r="AV134">
        <v>0</v>
      </c>
      <c r="AW134">
        <v>1</v>
      </c>
      <c r="AX134">
        <v>0</v>
      </c>
      <c r="AY134">
        <v>0</v>
      </c>
      <c r="AZ134">
        <v>0</v>
      </c>
      <c r="BA134" t="s">
        <v>24</v>
      </c>
      <c r="BB134" t="s">
        <v>4</v>
      </c>
      <c r="BC134" t="s">
        <v>10</v>
      </c>
      <c r="BD134">
        <v>0</v>
      </c>
      <c r="BE134">
        <v>0</v>
      </c>
      <c r="BF134">
        <v>0</v>
      </c>
      <c r="BG134">
        <v>0</v>
      </c>
      <c r="BH134">
        <v>0</v>
      </c>
      <c r="BI134" t="s">
        <v>9</v>
      </c>
      <c r="BJ134">
        <v>1.3154E-4</v>
      </c>
      <c r="BK134">
        <v>0</v>
      </c>
      <c r="BL134">
        <v>-8.4100000000000008E-6</v>
      </c>
      <c r="BM134" s="2">
        <f t="shared" si="2"/>
        <v>6.0430605729324475E-7</v>
      </c>
    </row>
    <row r="135" spans="1:65" x14ac:dyDescent="0.35">
      <c r="A135">
        <v>0</v>
      </c>
      <c r="B135" t="s">
        <v>3</v>
      </c>
      <c r="C135" t="s">
        <v>4</v>
      </c>
      <c r="D135">
        <v>0</v>
      </c>
      <c r="E135" t="s">
        <v>3</v>
      </c>
      <c r="F135" t="s">
        <v>5</v>
      </c>
      <c r="G135">
        <v>4365.4885670000003</v>
      </c>
      <c r="H135" t="s">
        <v>4</v>
      </c>
      <c r="I135">
        <v>990.16341899999998</v>
      </c>
      <c r="J135">
        <v>3375.3251479999999</v>
      </c>
      <c r="K135" t="s">
        <v>6</v>
      </c>
      <c r="L135" t="s">
        <v>7</v>
      </c>
      <c r="M135" t="s">
        <v>8</v>
      </c>
      <c r="N135" t="s">
        <v>6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7</v>
      </c>
      <c r="U135">
        <v>3</v>
      </c>
      <c r="V135">
        <v>0</v>
      </c>
      <c r="W135">
        <v>0</v>
      </c>
      <c r="X135">
        <v>0</v>
      </c>
      <c r="Y135">
        <v>0</v>
      </c>
      <c r="Z135" t="s">
        <v>24</v>
      </c>
      <c r="AA135" t="s">
        <v>4</v>
      </c>
      <c r="AB135" t="s">
        <v>6</v>
      </c>
      <c r="AC135" t="s">
        <v>7</v>
      </c>
      <c r="AD135" t="s">
        <v>8</v>
      </c>
      <c r="AE135" t="s">
        <v>6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t="s">
        <v>7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9</v>
      </c>
      <c r="AR135" s="1">
        <v>2.97155451E-4</v>
      </c>
      <c r="AS135" s="1">
        <v>8.0075405100000001E-25</v>
      </c>
      <c r="AT135">
        <v>6</v>
      </c>
      <c r="AU135" t="s">
        <v>10</v>
      </c>
      <c r="AV135">
        <v>3</v>
      </c>
      <c r="AW135">
        <v>0</v>
      </c>
      <c r="AX135">
        <v>0</v>
      </c>
      <c r="AY135">
        <v>0</v>
      </c>
      <c r="AZ135">
        <v>0</v>
      </c>
      <c r="BA135" t="s">
        <v>24</v>
      </c>
      <c r="BB135" t="s">
        <v>4</v>
      </c>
      <c r="BC135" t="s">
        <v>10</v>
      </c>
      <c r="BD135">
        <v>0</v>
      </c>
      <c r="BE135">
        <v>0</v>
      </c>
      <c r="BF135">
        <v>0</v>
      </c>
      <c r="BG135">
        <v>0</v>
      </c>
      <c r="BH135">
        <v>0</v>
      </c>
      <c r="BI135" t="s">
        <v>9</v>
      </c>
      <c r="BJ135">
        <v>2.9471E-4</v>
      </c>
      <c r="BK135">
        <v>0</v>
      </c>
      <c r="BL135">
        <v>-3.8059999999999998E-5</v>
      </c>
      <c r="BM135" s="2">
        <f t="shared" si="2"/>
        <v>4.8222536412923808E-6</v>
      </c>
    </row>
    <row r="136" spans="1:65" x14ac:dyDescent="0.35">
      <c r="A136">
        <v>0</v>
      </c>
      <c r="B136" t="s">
        <v>3</v>
      </c>
      <c r="C136" t="s">
        <v>4</v>
      </c>
      <c r="D136">
        <v>0</v>
      </c>
      <c r="E136" t="s">
        <v>3</v>
      </c>
      <c r="F136" t="s">
        <v>5</v>
      </c>
      <c r="G136">
        <v>3800.7773379999999</v>
      </c>
      <c r="H136" t="s">
        <v>4</v>
      </c>
      <c r="I136">
        <v>990.16341899999998</v>
      </c>
      <c r="J136">
        <v>2810.6139189999999</v>
      </c>
      <c r="K136" t="s">
        <v>6</v>
      </c>
      <c r="L136" t="s">
        <v>7</v>
      </c>
      <c r="M136" t="s">
        <v>8</v>
      </c>
      <c r="N136" t="s">
        <v>6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7</v>
      </c>
      <c r="U136">
        <v>1</v>
      </c>
      <c r="V136">
        <v>0</v>
      </c>
      <c r="W136">
        <v>0</v>
      </c>
      <c r="X136">
        <v>7</v>
      </c>
      <c r="Y136">
        <v>0</v>
      </c>
      <c r="Z136" t="s">
        <v>8</v>
      </c>
      <c r="AA136" t="s">
        <v>4</v>
      </c>
      <c r="AB136" t="s">
        <v>6</v>
      </c>
      <c r="AC136" t="s">
        <v>7</v>
      </c>
      <c r="AD136" t="s">
        <v>8</v>
      </c>
      <c r="AE136" t="s">
        <v>6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7</v>
      </c>
      <c r="AL136">
        <v>0</v>
      </c>
      <c r="AM136">
        <v>0</v>
      </c>
      <c r="AN136">
        <v>0</v>
      </c>
      <c r="AO136">
        <v>0</v>
      </c>
      <c r="AP136">
        <v>0</v>
      </c>
      <c r="AQ136" t="s">
        <v>9</v>
      </c>
      <c r="AR136" s="1">
        <v>3.7756831699999997E-5</v>
      </c>
      <c r="AS136" s="1">
        <v>1.07648477E-26</v>
      </c>
      <c r="AT136">
        <v>6</v>
      </c>
      <c r="AU136" t="s">
        <v>10</v>
      </c>
      <c r="AV136">
        <v>1</v>
      </c>
      <c r="AW136">
        <v>0</v>
      </c>
      <c r="AX136">
        <v>0</v>
      </c>
      <c r="AY136">
        <v>7</v>
      </c>
      <c r="AZ136">
        <v>0</v>
      </c>
      <c r="BA136" t="s">
        <v>8</v>
      </c>
      <c r="BB136" t="s">
        <v>4</v>
      </c>
      <c r="BC136" t="s">
        <v>10</v>
      </c>
      <c r="BD136">
        <v>0</v>
      </c>
      <c r="BE136">
        <v>0</v>
      </c>
      <c r="BF136">
        <v>0</v>
      </c>
      <c r="BG136">
        <v>0</v>
      </c>
      <c r="BH136">
        <v>0</v>
      </c>
      <c r="BI136" t="s">
        <v>9</v>
      </c>
      <c r="BJ136">
        <v>3.0790000000000002E-5</v>
      </c>
      <c r="BK136">
        <v>0</v>
      </c>
      <c r="BL136">
        <v>2.1849999999999999E-5</v>
      </c>
      <c r="BM136" s="2">
        <f t="shared" si="2"/>
        <v>6.4827428539956154E-8</v>
      </c>
    </row>
    <row r="137" spans="1:65" x14ac:dyDescent="0.35">
      <c r="A137">
        <v>0</v>
      </c>
      <c r="B137" t="s">
        <v>3</v>
      </c>
      <c r="C137" t="s">
        <v>4</v>
      </c>
      <c r="D137">
        <v>0</v>
      </c>
      <c r="E137" t="s">
        <v>3</v>
      </c>
      <c r="F137" t="s">
        <v>5</v>
      </c>
      <c r="G137">
        <v>3372.3401090000002</v>
      </c>
      <c r="H137" t="s">
        <v>4</v>
      </c>
      <c r="I137">
        <v>990.16341899999998</v>
      </c>
      <c r="J137">
        <v>2382.1766899999998</v>
      </c>
      <c r="K137" t="s">
        <v>6</v>
      </c>
      <c r="L137" t="s">
        <v>7</v>
      </c>
      <c r="M137" t="s">
        <v>8</v>
      </c>
      <c r="N137" t="s">
        <v>6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7</v>
      </c>
      <c r="U137">
        <v>2</v>
      </c>
      <c r="V137">
        <v>0</v>
      </c>
      <c r="W137">
        <v>0</v>
      </c>
      <c r="X137">
        <v>3</v>
      </c>
      <c r="Y137">
        <v>0</v>
      </c>
      <c r="Z137" t="s">
        <v>8</v>
      </c>
      <c r="AA137" t="s">
        <v>4</v>
      </c>
      <c r="AB137" t="s">
        <v>6</v>
      </c>
      <c r="AC137" t="s">
        <v>7</v>
      </c>
      <c r="AD137" t="s">
        <v>8</v>
      </c>
      <c r="AE137" t="s">
        <v>6</v>
      </c>
      <c r="AF137" t="s">
        <v>3</v>
      </c>
      <c r="AG137" t="s">
        <v>3</v>
      </c>
      <c r="AH137" t="s">
        <v>3</v>
      </c>
      <c r="AI137" t="s">
        <v>3</v>
      </c>
      <c r="AJ137" t="s">
        <v>3</v>
      </c>
      <c r="AK137" t="s">
        <v>7</v>
      </c>
      <c r="AL137">
        <v>0</v>
      </c>
      <c r="AM137">
        <v>0</v>
      </c>
      <c r="AN137">
        <v>0</v>
      </c>
      <c r="AO137">
        <v>0</v>
      </c>
      <c r="AP137">
        <v>0</v>
      </c>
      <c r="AQ137" t="s">
        <v>9</v>
      </c>
      <c r="AR137" s="1">
        <v>1.70526123E-4</v>
      </c>
      <c r="AS137" s="1">
        <v>1.86109087E-25</v>
      </c>
      <c r="AT137">
        <v>7</v>
      </c>
      <c r="AU137" t="s">
        <v>10</v>
      </c>
      <c r="AV137">
        <v>2</v>
      </c>
      <c r="AW137">
        <v>0</v>
      </c>
      <c r="AX137">
        <v>0</v>
      </c>
      <c r="AY137">
        <v>3</v>
      </c>
      <c r="AZ137">
        <v>0</v>
      </c>
      <c r="BA137" t="s">
        <v>8</v>
      </c>
      <c r="BB137" t="s">
        <v>4</v>
      </c>
      <c r="BC137" t="s">
        <v>10</v>
      </c>
      <c r="BD137">
        <v>0</v>
      </c>
      <c r="BE137">
        <v>0</v>
      </c>
      <c r="BF137">
        <v>0</v>
      </c>
      <c r="BG137">
        <v>0</v>
      </c>
      <c r="BH137">
        <v>0</v>
      </c>
      <c r="BI137" t="s">
        <v>9</v>
      </c>
      <c r="BJ137">
        <v>-1.6321E-4</v>
      </c>
      <c r="BK137">
        <v>0</v>
      </c>
      <c r="BL137">
        <v>4.9400000000000001E-5</v>
      </c>
      <c r="BM137" s="2">
        <f t="shared" si="2"/>
        <v>1.1207751260734495E-6</v>
      </c>
    </row>
    <row r="138" spans="1:65" x14ac:dyDescent="0.35">
      <c r="A138">
        <v>0</v>
      </c>
      <c r="B138" t="s">
        <v>3</v>
      </c>
      <c r="C138" t="s">
        <v>4</v>
      </c>
      <c r="D138">
        <v>0</v>
      </c>
      <c r="E138" t="s">
        <v>3</v>
      </c>
      <c r="F138" t="s">
        <v>5</v>
      </c>
      <c r="G138">
        <v>4832.2647450000004</v>
      </c>
      <c r="H138" t="s">
        <v>4</v>
      </c>
      <c r="I138">
        <v>990.16341899999998</v>
      </c>
      <c r="J138">
        <v>3842.101326</v>
      </c>
      <c r="K138" t="s">
        <v>6</v>
      </c>
      <c r="L138" t="s">
        <v>7</v>
      </c>
      <c r="M138" t="s">
        <v>8</v>
      </c>
      <c r="N138" t="s">
        <v>6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7</v>
      </c>
      <c r="U138">
        <v>0</v>
      </c>
      <c r="V138">
        <v>1</v>
      </c>
      <c r="W138">
        <v>0</v>
      </c>
      <c r="X138">
        <v>2</v>
      </c>
      <c r="Y138">
        <v>2</v>
      </c>
      <c r="Z138" t="s">
        <v>9</v>
      </c>
      <c r="AA138" t="s">
        <v>4</v>
      </c>
      <c r="AB138" t="s">
        <v>6</v>
      </c>
      <c r="AC138" t="s">
        <v>7</v>
      </c>
      <c r="AD138" t="s">
        <v>8</v>
      </c>
      <c r="AE138" t="s">
        <v>6</v>
      </c>
      <c r="AF138" t="s">
        <v>3</v>
      </c>
      <c r="AG138" t="s">
        <v>3</v>
      </c>
      <c r="AH138" t="s">
        <v>3</v>
      </c>
      <c r="AI138" t="s">
        <v>3</v>
      </c>
      <c r="AJ138" t="s">
        <v>3</v>
      </c>
      <c r="AK138" t="s">
        <v>7</v>
      </c>
      <c r="AL138">
        <v>0</v>
      </c>
      <c r="AM138">
        <v>0</v>
      </c>
      <c r="AN138">
        <v>0</v>
      </c>
      <c r="AO138">
        <v>0</v>
      </c>
      <c r="AP138">
        <v>0</v>
      </c>
      <c r="AQ138" t="s">
        <v>9</v>
      </c>
      <c r="AR138" s="1">
        <v>3.6914539E-5</v>
      </c>
      <c r="AS138" s="1">
        <v>1.4066299899999999E-26</v>
      </c>
      <c r="AT138">
        <v>6</v>
      </c>
      <c r="AU138" t="s">
        <v>10</v>
      </c>
      <c r="AV138">
        <v>0</v>
      </c>
      <c r="AW138">
        <v>1</v>
      </c>
      <c r="AX138">
        <v>0</v>
      </c>
      <c r="AY138">
        <v>2</v>
      </c>
      <c r="AZ138">
        <v>2</v>
      </c>
      <c r="BA138" t="s">
        <v>9</v>
      </c>
      <c r="BB138" t="s">
        <v>4</v>
      </c>
      <c r="BC138" t="s">
        <v>10</v>
      </c>
      <c r="BD138">
        <v>0</v>
      </c>
      <c r="BE138">
        <v>0</v>
      </c>
      <c r="BF138">
        <v>0</v>
      </c>
      <c r="BG138">
        <v>0</v>
      </c>
      <c r="BH138">
        <v>0</v>
      </c>
      <c r="BI138" t="s">
        <v>9</v>
      </c>
      <c r="BJ138">
        <v>-2.4219999999999999E-5</v>
      </c>
      <c r="BK138">
        <v>0</v>
      </c>
      <c r="BL138">
        <v>2.7860000000000001E-5</v>
      </c>
      <c r="BM138" s="2">
        <f t="shared" si="2"/>
        <v>8.4709238532825901E-8</v>
      </c>
    </row>
    <row r="139" spans="1:65" x14ac:dyDescent="0.35">
      <c r="A139">
        <v>0</v>
      </c>
      <c r="B139" t="s">
        <v>3</v>
      </c>
      <c r="C139" t="s">
        <v>4</v>
      </c>
      <c r="D139">
        <v>0</v>
      </c>
      <c r="E139" t="s">
        <v>3</v>
      </c>
      <c r="F139" t="s">
        <v>5</v>
      </c>
      <c r="G139">
        <v>3520.8856230000001</v>
      </c>
      <c r="H139" t="s">
        <v>4</v>
      </c>
      <c r="I139">
        <v>990.16341899999998</v>
      </c>
      <c r="J139">
        <v>2530.7222029999998</v>
      </c>
      <c r="K139" t="s">
        <v>6</v>
      </c>
      <c r="L139" t="s">
        <v>7</v>
      </c>
      <c r="M139" t="s">
        <v>8</v>
      </c>
      <c r="N139" t="s">
        <v>6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7</v>
      </c>
      <c r="U139">
        <v>1</v>
      </c>
      <c r="V139">
        <v>0</v>
      </c>
      <c r="W139">
        <v>0</v>
      </c>
      <c r="X139">
        <v>2</v>
      </c>
      <c r="Y139">
        <v>0</v>
      </c>
      <c r="Z139" t="s">
        <v>21</v>
      </c>
      <c r="AA139" t="s">
        <v>4</v>
      </c>
      <c r="AB139" t="s">
        <v>6</v>
      </c>
      <c r="AC139" t="s">
        <v>7</v>
      </c>
      <c r="AD139" t="s">
        <v>8</v>
      </c>
      <c r="AE139" t="s">
        <v>6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7</v>
      </c>
      <c r="AL139">
        <v>0</v>
      </c>
      <c r="AM139">
        <v>0</v>
      </c>
      <c r="AN139">
        <v>0</v>
      </c>
      <c r="AO139">
        <v>0</v>
      </c>
      <c r="AP139">
        <v>0</v>
      </c>
      <c r="AQ139" t="s">
        <v>9</v>
      </c>
      <c r="AR139" s="1">
        <v>1.45079575E-3</v>
      </c>
      <c r="AS139" s="1">
        <v>1.43110349E-23</v>
      </c>
      <c r="AT139">
        <v>6</v>
      </c>
      <c r="AU139" t="s">
        <v>10</v>
      </c>
      <c r="AV139">
        <v>1</v>
      </c>
      <c r="AW139">
        <v>0</v>
      </c>
      <c r="AX139">
        <v>0</v>
      </c>
      <c r="AY139">
        <v>2</v>
      </c>
      <c r="AZ139">
        <v>0</v>
      </c>
      <c r="BA139" t="s">
        <v>21</v>
      </c>
      <c r="BB139" t="s">
        <v>4</v>
      </c>
      <c r="BC139" t="s">
        <v>10</v>
      </c>
      <c r="BD139">
        <v>0</v>
      </c>
      <c r="BE139">
        <v>0</v>
      </c>
      <c r="BF139">
        <v>0</v>
      </c>
      <c r="BG139">
        <v>0</v>
      </c>
      <c r="BH139">
        <v>0</v>
      </c>
      <c r="BI139" t="s">
        <v>9</v>
      </c>
      <c r="BJ139">
        <v>-1.2944600000000001E-3</v>
      </c>
      <c r="BK139">
        <v>0</v>
      </c>
      <c r="BL139">
        <v>6.5512999999999997E-4</v>
      </c>
      <c r="BM139" s="2">
        <f t="shared" si="2"/>
        <v>8.6183067161513924E-5</v>
      </c>
    </row>
    <row r="140" spans="1:65" x14ac:dyDescent="0.35">
      <c r="A140">
        <v>0</v>
      </c>
      <c r="B140" t="s">
        <v>11</v>
      </c>
      <c r="C140" t="s">
        <v>4</v>
      </c>
      <c r="D140">
        <v>0</v>
      </c>
      <c r="E140" t="s">
        <v>3</v>
      </c>
      <c r="F140" t="s">
        <v>5</v>
      </c>
      <c r="G140">
        <v>3991.638649</v>
      </c>
      <c r="H140" t="s">
        <v>4</v>
      </c>
      <c r="I140">
        <v>990.16341899999998</v>
      </c>
      <c r="J140">
        <v>3001.47523</v>
      </c>
      <c r="K140" t="s">
        <v>6</v>
      </c>
      <c r="L140" t="s">
        <v>7</v>
      </c>
      <c r="M140" t="s">
        <v>8</v>
      </c>
      <c r="N140" t="s">
        <v>6</v>
      </c>
      <c r="O140" t="s">
        <v>3</v>
      </c>
      <c r="P140" t="s">
        <v>3</v>
      </c>
      <c r="Q140" t="s">
        <v>3</v>
      </c>
      <c r="R140" t="s">
        <v>3</v>
      </c>
      <c r="S140" t="s">
        <v>11</v>
      </c>
      <c r="T140" t="s">
        <v>7</v>
      </c>
      <c r="U140">
        <v>1</v>
      </c>
      <c r="V140">
        <v>0</v>
      </c>
      <c r="W140">
        <v>0</v>
      </c>
      <c r="X140">
        <v>3</v>
      </c>
      <c r="Y140">
        <v>1</v>
      </c>
      <c r="Z140" t="s">
        <v>18</v>
      </c>
      <c r="AA140" t="s">
        <v>4</v>
      </c>
      <c r="AB140" t="s">
        <v>6</v>
      </c>
      <c r="AC140" t="s">
        <v>7</v>
      </c>
      <c r="AD140" t="s">
        <v>8</v>
      </c>
      <c r="AE140" t="s">
        <v>6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t="s">
        <v>7</v>
      </c>
      <c r="AL140">
        <v>0</v>
      </c>
      <c r="AM140">
        <v>0</v>
      </c>
      <c r="AN140">
        <v>0</v>
      </c>
      <c r="AO140">
        <v>0</v>
      </c>
      <c r="AP140">
        <v>0</v>
      </c>
      <c r="AQ140" t="s">
        <v>9</v>
      </c>
      <c r="AR140" s="1">
        <v>1.64698547E-4</v>
      </c>
      <c r="AS140" s="1">
        <v>2.1874102299999999E-25</v>
      </c>
      <c r="AT140">
        <v>6</v>
      </c>
      <c r="AU140" t="s">
        <v>10</v>
      </c>
      <c r="AV140">
        <v>1</v>
      </c>
      <c r="AW140">
        <v>0</v>
      </c>
      <c r="AX140">
        <v>0</v>
      </c>
      <c r="AY140">
        <v>3</v>
      </c>
      <c r="AZ140">
        <v>1</v>
      </c>
      <c r="BA140" t="s">
        <v>18</v>
      </c>
      <c r="BB140" t="s">
        <v>4</v>
      </c>
      <c r="BC140" t="s">
        <v>10</v>
      </c>
      <c r="BD140">
        <v>0</v>
      </c>
      <c r="BE140">
        <v>0</v>
      </c>
      <c r="BF140">
        <v>0</v>
      </c>
      <c r="BG140">
        <v>0</v>
      </c>
      <c r="BH140">
        <v>0</v>
      </c>
      <c r="BI140" t="s">
        <v>9</v>
      </c>
      <c r="BJ140">
        <v>0</v>
      </c>
      <c r="BK140">
        <v>-1.6469999999999999E-4</v>
      </c>
      <c r="BL140">
        <v>0</v>
      </c>
      <c r="BM140" s="2">
        <f t="shared" si="2"/>
        <v>1.3172892392420383E-6</v>
      </c>
    </row>
    <row r="141" spans="1:65" x14ac:dyDescent="0.35">
      <c r="A141">
        <v>0</v>
      </c>
      <c r="B141" t="s">
        <v>3</v>
      </c>
      <c r="C141" t="s">
        <v>4</v>
      </c>
      <c r="D141">
        <v>0</v>
      </c>
      <c r="E141" t="s">
        <v>3</v>
      </c>
      <c r="F141" t="s">
        <v>5</v>
      </c>
      <c r="G141">
        <v>3907.7434899999998</v>
      </c>
      <c r="H141" t="s">
        <v>4</v>
      </c>
      <c r="I141">
        <v>990.16341899999998</v>
      </c>
      <c r="J141">
        <v>2917.5800709999999</v>
      </c>
      <c r="K141" t="s">
        <v>6</v>
      </c>
      <c r="L141" t="s">
        <v>7</v>
      </c>
      <c r="M141" t="s">
        <v>8</v>
      </c>
      <c r="N141" t="s">
        <v>6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7</v>
      </c>
      <c r="U141">
        <v>2</v>
      </c>
      <c r="V141">
        <v>0</v>
      </c>
      <c r="W141">
        <v>0</v>
      </c>
      <c r="X141">
        <v>3</v>
      </c>
      <c r="Y141">
        <v>0</v>
      </c>
      <c r="Z141" t="s">
        <v>9</v>
      </c>
      <c r="AA141" t="s">
        <v>4</v>
      </c>
      <c r="AB141" t="s">
        <v>6</v>
      </c>
      <c r="AC141" t="s">
        <v>7</v>
      </c>
      <c r="AD141" t="s">
        <v>8</v>
      </c>
      <c r="AE141" t="s">
        <v>6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7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9</v>
      </c>
      <c r="AR141" s="1">
        <v>1.01695673E-4</v>
      </c>
      <c r="AS141" s="1">
        <v>8.1066900099999996E-26</v>
      </c>
      <c r="AT141">
        <v>6</v>
      </c>
      <c r="AU141" t="s">
        <v>10</v>
      </c>
      <c r="AV141">
        <v>2</v>
      </c>
      <c r="AW141">
        <v>0</v>
      </c>
      <c r="AX141">
        <v>0</v>
      </c>
      <c r="AY141">
        <v>3</v>
      </c>
      <c r="AZ141">
        <v>0</v>
      </c>
      <c r="BA141" t="s">
        <v>9</v>
      </c>
      <c r="BB141" t="s">
        <v>4</v>
      </c>
      <c r="BC141" t="s">
        <v>10</v>
      </c>
      <c r="BD141">
        <v>0</v>
      </c>
      <c r="BE141">
        <v>0</v>
      </c>
      <c r="BF141">
        <v>0</v>
      </c>
      <c r="BG141">
        <v>0</v>
      </c>
      <c r="BH141">
        <v>0</v>
      </c>
      <c r="BI141" t="s">
        <v>9</v>
      </c>
      <c r="BJ141">
        <v>-2.9819999999999999E-5</v>
      </c>
      <c r="BK141">
        <v>0</v>
      </c>
      <c r="BL141">
        <v>-9.7230000000000003E-5</v>
      </c>
      <c r="BM141" s="2">
        <f t="shared" si="2"/>
        <v>4.8819628662173406E-7</v>
      </c>
    </row>
    <row r="142" spans="1:65" x14ac:dyDescent="0.35">
      <c r="A142">
        <v>0</v>
      </c>
      <c r="B142" t="s">
        <v>11</v>
      </c>
      <c r="C142" t="s">
        <v>4</v>
      </c>
      <c r="D142">
        <v>0</v>
      </c>
      <c r="E142" t="s">
        <v>3</v>
      </c>
      <c r="F142" t="s">
        <v>5</v>
      </c>
      <c r="G142">
        <v>2220.5849039999998</v>
      </c>
      <c r="H142" t="s">
        <v>4</v>
      </c>
      <c r="I142">
        <v>990.16341899999998</v>
      </c>
      <c r="J142">
        <v>1230.4214850000001</v>
      </c>
      <c r="K142" t="s">
        <v>6</v>
      </c>
      <c r="L142" t="s">
        <v>7</v>
      </c>
      <c r="M142" t="s">
        <v>8</v>
      </c>
      <c r="N142" t="s">
        <v>6</v>
      </c>
      <c r="O142" t="s">
        <v>3</v>
      </c>
      <c r="P142" t="s">
        <v>3</v>
      </c>
      <c r="Q142" t="s">
        <v>3</v>
      </c>
      <c r="R142" t="s">
        <v>3</v>
      </c>
      <c r="S142" t="s">
        <v>11</v>
      </c>
      <c r="T142" t="s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19</v>
      </c>
      <c r="AA142" t="s">
        <v>4</v>
      </c>
      <c r="AB142" t="s">
        <v>6</v>
      </c>
      <c r="AC142" t="s">
        <v>7</v>
      </c>
      <c r="AD142" t="s">
        <v>8</v>
      </c>
      <c r="AE142" t="s">
        <v>6</v>
      </c>
      <c r="AF142" t="s">
        <v>3</v>
      </c>
      <c r="AG142" t="s">
        <v>3</v>
      </c>
      <c r="AH142" t="s">
        <v>3</v>
      </c>
      <c r="AI142" t="s">
        <v>3</v>
      </c>
      <c r="AJ142" t="s">
        <v>3</v>
      </c>
      <c r="AK142" t="s">
        <v>7</v>
      </c>
      <c r="AL142">
        <v>0</v>
      </c>
      <c r="AM142">
        <v>0</v>
      </c>
      <c r="AN142">
        <v>0</v>
      </c>
      <c r="AO142">
        <v>0</v>
      </c>
      <c r="AP142">
        <v>0</v>
      </c>
      <c r="AQ142" t="s">
        <v>9</v>
      </c>
      <c r="AR142" s="1">
        <v>2.5739582199999999E-3</v>
      </c>
      <c r="AS142" s="1">
        <v>2.1843847E-23</v>
      </c>
      <c r="AT142">
        <v>6</v>
      </c>
      <c r="AU142" t="s">
        <v>10</v>
      </c>
      <c r="AV142">
        <v>0</v>
      </c>
      <c r="AW142">
        <v>0</v>
      </c>
      <c r="AX142">
        <v>0</v>
      </c>
      <c r="AY142">
        <v>0</v>
      </c>
      <c r="AZ142">
        <v>0</v>
      </c>
      <c r="BA142" t="s">
        <v>19</v>
      </c>
      <c r="BB142" t="s">
        <v>4</v>
      </c>
      <c r="BC142" t="s">
        <v>10</v>
      </c>
      <c r="BD142">
        <v>0</v>
      </c>
      <c r="BE142">
        <v>0</v>
      </c>
      <c r="BF142">
        <v>0</v>
      </c>
      <c r="BG142">
        <v>0</v>
      </c>
      <c r="BH142">
        <v>0</v>
      </c>
      <c r="BI142" t="s">
        <v>9</v>
      </c>
      <c r="BJ142">
        <v>0</v>
      </c>
      <c r="BK142">
        <v>2.5739600000000001E-3</v>
      </c>
      <c r="BL142">
        <v>0</v>
      </c>
      <c r="BM142" s="2">
        <f t="shared" si="2"/>
        <v>1.3154672224765761E-4</v>
      </c>
    </row>
    <row r="143" spans="1:65" x14ac:dyDescent="0.35">
      <c r="A143">
        <v>0</v>
      </c>
      <c r="B143" t="s">
        <v>11</v>
      </c>
      <c r="C143" t="s">
        <v>4</v>
      </c>
      <c r="D143">
        <v>0</v>
      </c>
      <c r="E143" t="s">
        <v>3</v>
      </c>
      <c r="F143" t="s">
        <v>5</v>
      </c>
      <c r="G143">
        <v>1376.7298639999999</v>
      </c>
      <c r="H143" t="s">
        <v>4</v>
      </c>
      <c r="I143">
        <v>990.16341899999998</v>
      </c>
      <c r="J143">
        <v>386.56644499999999</v>
      </c>
      <c r="K143" t="s">
        <v>6</v>
      </c>
      <c r="L143" t="s">
        <v>7</v>
      </c>
      <c r="M143" t="s">
        <v>8</v>
      </c>
      <c r="N143" t="s">
        <v>6</v>
      </c>
      <c r="O143" t="s">
        <v>3</v>
      </c>
      <c r="P143" t="s">
        <v>3</v>
      </c>
      <c r="Q143" t="s">
        <v>3</v>
      </c>
      <c r="R143" t="s">
        <v>3</v>
      </c>
      <c r="S143" t="s">
        <v>11</v>
      </c>
      <c r="T143" t="s">
        <v>7</v>
      </c>
      <c r="U143">
        <v>1</v>
      </c>
      <c r="V143">
        <v>0</v>
      </c>
      <c r="W143">
        <v>0</v>
      </c>
      <c r="X143">
        <v>0</v>
      </c>
      <c r="Y143">
        <v>0</v>
      </c>
      <c r="Z143" t="s">
        <v>18</v>
      </c>
      <c r="AA143" t="s">
        <v>4</v>
      </c>
      <c r="AB143" t="s">
        <v>6</v>
      </c>
      <c r="AC143" t="s">
        <v>7</v>
      </c>
      <c r="AD143" t="s">
        <v>8</v>
      </c>
      <c r="AE143" t="s">
        <v>6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7</v>
      </c>
      <c r="AL143">
        <v>0</v>
      </c>
      <c r="AM143">
        <v>0</v>
      </c>
      <c r="AN143">
        <v>0</v>
      </c>
      <c r="AO143">
        <v>0</v>
      </c>
      <c r="AP143">
        <v>0</v>
      </c>
      <c r="AQ143" t="s">
        <v>9</v>
      </c>
      <c r="AR143" s="1">
        <v>3.1071536000000001E-5</v>
      </c>
      <c r="AS143" s="1">
        <v>8.47588409E-28</v>
      </c>
      <c r="AT143">
        <v>8</v>
      </c>
      <c r="AU143" t="s">
        <v>10</v>
      </c>
      <c r="AV143">
        <v>1</v>
      </c>
      <c r="AW143">
        <v>0</v>
      </c>
      <c r="AX143">
        <v>0</v>
      </c>
      <c r="AY143">
        <v>0</v>
      </c>
      <c r="AZ143">
        <v>0</v>
      </c>
      <c r="BA143" t="s">
        <v>18</v>
      </c>
      <c r="BB143" t="s">
        <v>4</v>
      </c>
      <c r="BC143" t="s">
        <v>10</v>
      </c>
      <c r="BD143">
        <v>0</v>
      </c>
      <c r="BE143">
        <v>0</v>
      </c>
      <c r="BF143">
        <v>0</v>
      </c>
      <c r="BG143">
        <v>0</v>
      </c>
      <c r="BH143">
        <v>0</v>
      </c>
      <c r="BI143" t="s">
        <v>9</v>
      </c>
      <c r="BJ143">
        <v>0</v>
      </c>
      <c r="BK143">
        <v>-3.1069999999999999E-5</v>
      </c>
      <c r="BL143">
        <v>0</v>
      </c>
      <c r="BM143" s="2">
        <f t="shared" si="2"/>
        <v>5.1042967394459877E-9</v>
      </c>
    </row>
    <row r="144" spans="1:65" x14ac:dyDescent="0.35">
      <c r="A144">
        <v>0</v>
      </c>
      <c r="B144" t="s">
        <v>3</v>
      </c>
      <c r="C144" t="s">
        <v>4</v>
      </c>
      <c r="D144">
        <v>0</v>
      </c>
      <c r="E144" t="s">
        <v>3</v>
      </c>
      <c r="F144" t="s">
        <v>5</v>
      </c>
      <c r="G144">
        <v>2645.6186990000001</v>
      </c>
      <c r="H144" t="s">
        <v>4</v>
      </c>
      <c r="I144">
        <v>990.16341899999998</v>
      </c>
      <c r="J144">
        <v>1655.4552799999999</v>
      </c>
      <c r="K144" t="s">
        <v>6</v>
      </c>
      <c r="L144" t="s">
        <v>7</v>
      </c>
      <c r="M144" t="s">
        <v>8</v>
      </c>
      <c r="N144" t="s">
        <v>6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7</v>
      </c>
      <c r="U144">
        <v>0</v>
      </c>
      <c r="V144">
        <v>0</v>
      </c>
      <c r="W144">
        <v>0</v>
      </c>
      <c r="X144">
        <v>4</v>
      </c>
      <c r="Y144">
        <v>0</v>
      </c>
      <c r="Z144" t="s">
        <v>15</v>
      </c>
      <c r="AA144" t="s">
        <v>4</v>
      </c>
      <c r="AB144" t="s">
        <v>6</v>
      </c>
      <c r="AC144" t="s">
        <v>7</v>
      </c>
      <c r="AD144" t="s">
        <v>8</v>
      </c>
      <c r="AE144" t="s">
        <v>6</v>
      </c>
      <c r="AF144" t="s">
        <v>3</v>
      </c>
      <c r="AG144" t="s">
        <v>3</v>
      </c>
      <c r="AH144" t="s">
        <v>3</v>
      </c>
      <c r="AI144" t="s">
        <v>3</v>
      </c>
      <c r="AJ144" t="s">
        <v>3</v>
      </c>
      <c r="AK144" t="s">
        <v>7</v>
      </c>
      <c r="AL144">
        <v>0</v>
      </c>
      <c r="AM144">
        <v>0</v>
      </c>
      <c r="AN144">
        <v>0</v>
      </c>
      <c r="AO144">
        <v>0</v>
      </c>
      <c r="AP144">
        <v>0</v>
      </c>
      <c r="AQ144" t="s">
        <v>9</v>
      </c>
      <c r="AR144" s="1">
        <v>3.2202062399999997E-5</v>
      </c>
      <c r="AS144" s="1">
        <v>4.6105655799999997E-27</v>
      </c>
      <c r="AT144">
        <v>6</v>
      </c>
      <c r="AU144" t="s">
        <v>10</v>
      </c>
      <c r="AV144">
        <v>0</v>
      </c>
      <c r="AW144">
        <v>0</v>
      </c>
      <c r="AX144">
        <v>0</v>
      </c>
      <c r="AY144">
        <v>4</v>
      </c>
      <c r="AZ144">
        <v>0</v>
      </c>
      <c r="BA144" t="s">
        <v>15</v>
      </c>
      <c r="BB144" t="s">
        <v>4</v>
      </c>
      <c r="BC144" t="s">
        <v>10</v>
      </c>
      <c r="BD144">
        <v>0</v>
      </c>
      <c r="BE144">
        <v>0</v>
      </c>
      <c r="BF144">
        <v>0</v>
      </c>
      <c r="BG144">
        <v>0</v>
      </c>
      <c r="BH144">
        <v>0</v>
      </c>
      <c r="BI144" t="s">
        <v>9</v>
      </c>
      <c r="BJ144">
        <v>-1.876E-5</v>
      </c>
      <c r="BK144">
        <v>0</v>
      </c>
      <c r="BL144">
        <v>2.6169999999999998E-5</v>
      </c>
      <c r="BM144" s="2">
        <f t="shared" si="2"/>
        <v>2.7765475090393659E-8</v>
      </c>
    </row>
    <row r="145" spans="1:65" x14ac:dyDescent="0.35">
      <c r="A145">
        <v>0</v>
      </c>
      <c r="B145" t="s">
        <v>3</v>
      </c>
      <c r="C145" t="s">
        <v>4</v>
      </c>
      <c r="D145">
        <v>0</v>
      </c>
      <c r="E145" t="s">
        <v>3</v>
      </c>
      <c r="F145" t="s">
        <v>5</v>
      </c>
      <c r="G145">
        <v>4782.2568700000002</v>
      </c>
      <c r="H145" t="s">
        <v>4</v>
      </c>
      <c r="I145">
        <v>990.16341899999998</v>
      </c>
      <c r="J145">
        <v>3792.0934510000002</v>
      </c>
      <c r="K145" t="s">
        <v>6</v>
      </c>
      <c r="L145" t="s">
        <v>7</v>
      </c>
      <c r="M145" t="s">
        <v>8</v>
      </c>
      <c r="N145" t="s">
        <v>6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7</v>
      </c>
      <c r="U145">
        <v>3</v>
      </c>
      <c r="V145">
        <v>1</v>
      </c>
      <c r="W145">
        <v>0</v>
      </c>
      <c r="X145">
        <v>0</v>
      </c>
      <c r="Y145">
        <v>0</v>
      </c>
      <c r="Z145" t="s">
        <v>9</v>
      </c>
      <c r="AA145" t="s">
        <v>4</v>
      </c>
      <c r="AB145" t="s">
        <v>6</v>
      </c>
      <c r="AC145" t="s">
        <v>7</v>
      </c>
      <c r="AD145" t="s">
        <v>8</v>
      </c>
      <c r="AE145" t="s">
        <v>6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t="s">
        <v>7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9</v>
      </c>
      <c r="AR145" s="1">
        <v>6.4458221700000004E-5</v>
      </c>
      <c r="AS145" s="1">
        <v>4.2330347099999998E-26</v>
      </c>
      <c r="AT145">
        <v>7</v>
      </c>
      <c r="AU145" t="s">
        <v>10</v>
      </c>
      <c r="AV145">
        <v>3</v>
      </c>
      <c r="AW145">
        <v>1</v>
      </c>
      <c r="AX145">
        <v>0</v>
      </c>
      <c r="AY145">
        <v>0</v>
      </c>
      <c r="AZ145">
        <v>0</v>
      </c>
      <c r="BA145" t="s">
        <v>9</v>
      </c>
      <c r="BB145" t="s">
        <v>4</v>
      </c>
      <c r="BC145" t="s">
        <v>10</v>
      </c>
      <c r="BD145">
        <v>0</v>
      </c>
      <c r="BE145">
        <v>0</v>
      </c>
      <c r="BF145">
        <v>0</v>
      </c>
      <c r="BG145">
        <v>0</v>
      </c>
      <c r="BH145">
        <v>0</v>
      </c>
      <c r="BI145" t="s">
        <v>9</v>
      </c>
      <c r="BJ145">
        <v>-4.4849999999999999E-5</v>
      </c>
      <c r="BK145">
        <v>0</v>
      </c>
      <c r="BL145">
        <v>4.6300000000000001E-5</v>
      </c>
      <c r="BM145" s="2">
        <f t="shared" si="2"/>
        <v>2.5491931034907169E-7</v>
      </c>
    </row>
    <row r="146" spans="1:65" x14ac:dyDescent="0.35">
      <c r="A146">
        <v>0</v>
      </c>
      <c r="B146" t="s">
        <v>11</v>
      </c>
      <c r="C146" t="s">
        <v>4</v>
      </c>
      <c r="D146">
        <v>0</v>
      </c>
      <c r="E146" t="s">
        <v>3</v>
      </c>
      <c r="F146" t="s">
        <v>5</v>
      </c>
      <c r="G146">
        <v>4506.8755780000001</v>
      </c>
      <c r="H146" t="s">
        <v>4</v>
      </c>
      <c r="I146">
        <v>990.16341899999998</v>
      </c>
      <c r="J146">
        <v>3516.7121590000002</v>
      </c>
      <c r="K146" t="s">
        <v>6</v>
      </c>
      <c r="L146" t="s">
        <v>7</v>
      </c>
      <c r="M146" t="s">
        <v>8</v>
      </c>
      <c r="N146" t="s">
        <v>6</v>
      </c>
      <c r="O146" t="s">
        <v>3</v>
      </c>
      <c r="P146" t="s">
        <v>3</v>
      </c>
      <c r="Q146" t="s">
        <v>3</v>
      </c>
      <c r="R146" t="s">
        <v>3</v>
      </c>
      <c r="S146" t="s">
        <v>11</v>
      </c>
      <c r="T146" t="s">
        <v>7</v>
      </c>
      <c r="U146">
        <v>2</v>
      </c>
      <c r="V146">
        <v>0</v>
      </c>
      <c r="W146">
        <v>0</v>
      </c>
      <c r="X146">
        <v>0</v>
      </c>
      <c r="Y146">
        <v>0</v>
      </c>
      <c r="Z146" t="s">
        <v>23</v>
      </c>
      <c r="AA146" t="s">
        <v>4</v>
      </c>
      <c r="AB146" t="s">
        <v>6</v>
      </c>
      <c r="AC146" t="s">
        <v>7</v>
      </c>
      <c r="AD146" t="s">
        <v>8</v>
      </c>
      <c r="AE146" t="s">
        <v>6</v>
      </c>
      <c r="AF146" t="s">
        <v>3</v>
      </c>
      <c r="AG146" t="s">
        <v>3</v>
      </c>
      <c r="AH146" t="s">
        <v>3</v>
      </c>
      <c r="AI146" t="s">
        <v>3</v>
      </c>
      <c r="AJ146" t="s">
        <v>3</v>
      </c>
      <c r="AK146" t="s">
        <v>7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9</v>
      </c>
      <c r="AR146" s="1">
        <v>3.0544614100000002E-5</v>
      </c>
      <c r="AS146" s="1">
        <v>8.81499869E-27</v>
      </c>
      <c r="AT146">
        <v>6</v>
      </c>
      <c r="AU146" t="s">
        <v>10</v>
      </c>
      <c r="AV146">
        <v>2</v>
      </c>
      <c r="AW146">
        <v>0</v>
      </c>
      <c r="AX146">
        <v>0</v>
      </c>
      <c r="AY146">
        <v>0</v>
      </c>
      <c r="AZ146">
        <v>0</v>
      </c>
      <c r="BA146" t="s">
        <v>23</v>
      </c>
      <c r="BB146" t="s">
        <v>4</v>
      </c>
      <c r="BC146" t="s">
        <v>10</v>
      </c>
      <c r="BD146">
        <v>0</v>
      </c>
      <c r="BE146">
        <v>0</v>
      </c>
      <c r="BF146">
        <v>0</v>
      </c>
      <c r="BG146">
        <v>0</v>
      </c>
      <c r="BH146">
        <v>0</v>
      </c>
      <c r="BI146" t="s">
        <v>9</v>
      </c>
      <c r="BJ146">
        <v>0</v>
      </c>
      <c r="BK146">
        <v>3.0540000000000002E-5</v>
      </c>
      <c r="BL146">
        <v>0</v>
      </c>
      <c r="BM146" s="2">
        <f t="shared" si="2"/>
        <v>5.3085163262995549E-8</v>
      </c>
    </row>
    <row r="147" spans="1:65" x14ac:dyDescent="0.35">
      <c r="A147">
        <v>0</v>
      </c>
      <c r="B147" t="s">
        <v>11</v>
      </c>
      <c r="C147" t="s">
        <v>4</v>
      </c>
      <c r="D147">
        <v>0</v>
      </c>
      <c r="E147" t="s">
        <v>3</v>
      </c>
      <c r="F147" t="s">
        <v>5</v>
      </c>
      <c r="G147">
        <v>2960.976424</v>
      </c>
      <c r="H147" t="s">
        <v>4</v>
      </c>
      <c r="I147">
        <v>990.16341899999998</v>
      </c>
      <c r="J147">
        <v>1970.813005</v>
      </c>
      <c r="K147" t="s">
        <v>6</v>
      </c>
      <c r="L147" t="s">
        <v>7</v>
      </c>
      <c r="M147" t="s">
        <v>8</v>
      </c>
      <c r="N147" t="s">
        <v>6</v>
      </c>
      <c r="O147" t="s">
        <v>3</v>
      </c>
      <c r="P147" t="s">
        <v>3</v>
      </c>
      <c r="Q147" t="s">
        <v>3</v>
      </c>
      <c r="R147" t="s">
        <v>3</v>
      </c>
      <c r="S147" t="s">
        <v>11</v>
      </c>
      <c r="T147" t="s">
        <v>7</v>
      </c>
      <c r="U147">
        <v>1</v>
      </c>
      <c r="V147">
        <v>0</v>
      </c>
      <c r="W147">
        <v>0</v>
      </c>
      <c r="X147">
        <v>4</v>
      </c>
      <c r="Y147">
        <v>0</v>
      </c>
      <c r="Z147" t="s">
        <v>18</v>
      </c>
      <c r="AA147" t="s">
        <v>4</v>
      </c>
      <c r="AB147" t="s">
        <v>6</v>
      </c>
      <c r="AC147" t="s">
        <v>7</v>
      </c>
      <c r="AD147" t="s">
        <v>8</v>
      </c>
      <c r="AE147" t="s">
        <v>6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7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9</v>
      </c>
      <c r="AR147" s="1">
        <v>2.2511204199999999E-6</v>
      </c>
      <c r="AS147" s="1">
        <v>2.6830392100000002E-29</v>
      </c>
      <c r="AT147">
        <v>7</v>
      </c>
      <c r="AU147" t="s">
        <v>10</v>
      </c>
      <c r="AV147">
        <v>1</v>
      </c>
      <c r="AW147">
        <v>0</v>
      </c>
      <c r="AX147">
        <v>0</v>
      </c>
      <c r="AY147">
        <v>4</v>
      </c>
      <c r="AZ147">
        <v>0</v>
      </c>
      <c r="BA147" t="s">
        <v>18</v>
      </c>
      <c r="BB147" t="s">
        <v>4</v>
      </c>
      <c r="BC147" t="s">
        <v>10</v>
      </c>
      <c r="BD147">
        <v>0</v>
      </c>
      <c r="BE147">
        <v>0</v>
      </c>
      <c r="BF147">
        <v>0</v>
      </c>
      <c r="BG147">
        <v>0</v>
      </c>
      <c r="BH147">
        <v>0</v>
      </c>
      <c r="BI147" t="s">
        <v>9</v>
      </c>
      <c r="BJ147">
        <v>0</v>
      </c>
      <c r="BK147">
        <v>-2.2500000000000001E-6</v>
      </c>
      <c r="BL147">
        <v>0</v>
      </c>
      <c r="BM147" s="2">
        <f t="shared" si="2"/>
        <v>1.615763989454077E-10</v>
      </c>
    </row>
    <row r="148" spans="1:65" x14ac:dyDescent="0.35">
      <c r="A148">
        <v>0</v>
      </c>
      <c r="B148" t="s">
        <v>11</v>
      </c>
      <c r="C148" t="s">
        <v>4</v>
      </c>
      <c r="D148">
        <v>0</v>
      </c>
      <c r="E148" t="s">
        <v>3</v>
      </c>
      <c r="F148" t="s">
        <v>5</v>
      </c>
      <c r="G148">
        <v>4947.662636</v>
      </c>
      <c r="H148" t="s">
        <v>4</v>
      </c>
      <c r="I148">
        <v>990.16341899999998</v>
      </c>
      <c r="J148">
        <v>3957.499217</v>
      </c>
      <c r="K148" t="s">
        <v>6</v>
      </c>
      <c r="L148" t="s">
        <v>7</v>
      </c>
      <c r="M148" t="s">
        <v>8</v>
      </c>
      <c r="N148" t="s">
        <v>6</v>
      </c>
      <c r="O148" t="s">
        <v>3</v>
      </c>
      <c r="P148" t="s">
        <v>3</v>
      </c>
      <c r="Q148" t="s">
        <v>3</v>
      </c>
      <c r="R148" t="s">
        <v>3</v>
      </c>
      <c r="S148" t="s">
        <v>11</v>
      </c>
      <c r="T148" t="s">
        <v>7</v>
      </c>
      <c r="U148">
        <v>0</v>
      </c>
      <c r="V148">
        <v>0</v>
      </c>
      <c r="W148">
        <v>1</v>
      </c>
      <c r="X148">
        <v>0</v>
      </c>
      <c r="Y148">
        <v>1</v>
      </c>
      <c r="Z148" t="s">
        <v>18</v>
      </c>
      <c r="AA148" t="s">
        <v>4</v>
      </c>
      <c r="AB148" t="s">
        <v>6</v>
      </c>
      <c r="AC148" t="s">
        <v>7</v>
      </c>
      <c r="AD148" t="s">
        <v>8</v>
      </c>
      <c r="AE148" t="s">
        <v>6</v>
      </c>
      <c r="AF148" t="s">
        <v>3</v>
      </c>
      <c r="AG148" t="s">
        <v>3</v>
      </c>
      <c r="AH148" t="s">
        <v>3</v>
      </c>
      <c r="AI148" t="s">
        <v>3</v>
      </c>
      <c r="AJ148" t="s">
        <v>3</v>
      </c>
      <c r="AK148" t="s">
        <v>7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9</v>
      </c>
      <c r="AR148" s="1">
        <v>1.41181629E-6</v>
      </c>
      <c r="AS148" s="1">
        <v>2.1193045799999999E-29</v>
      </c>
      <c r="AT148">
        <v>7</v>
      </c>
      <c r="AU148" t="s">
        <v>10</v>
      </c>
      <c r="AV148">
        <v>0</v>
      </c>
      <c r="AW148">
        <v>0</v>
      </c>
      <c r="AX148">
        <v>1</v>
      </c>
      <c r="AY148">
        <v>0</v>
      </c>
      <c r="AZ148">
        <v>1</v>
      </c>
      <c r="BA148" t="s">
        <v>18</v>
      </c>
      <c r="BB148" t="s">
        <v>4</v>
      </c>
      <c r="BC148" t="s">
        <v>10</v>
      </c>
      <c r="BD148">
        <v>0</v>
      </c>
      <c r="BE148">
        <v>0</v>
      </c>
      <c r="BF148">
        <v>0</v>
      </c>
      <c r="BG148">
        <v>0</v>
      </c>
      <c r="BH148">
        <v>0</v>
      </c>
      <c r="BI148" t="s">
        <v>9</v>
      </c>
      <c r="BJ148">
        <v>0</v>
      </c>
      <c r="BK148">
        <v>1.4100000000000001E-6</v>
      </c>
      <c r="BL148">
        <v>0</v>
      </c>
      <c r="BM148" s="2">
        <f t="shared" si="2"/>
        <v>1.2762750578844863E-10</v>
      </c>
    </row>
    <row r="149" spans="1:65" x14ac:dyDescent="0.35">
      <c r="A149">
        <v>0</v>
      </c>
      <c r="B149" t="s">
        <v>11</v>
      </c>
      <c r="C149" t="s">
        <v>4</v>
      </c>
      <c r="D149">
        <v>0</v>
      </c>
      <c r="E149" t="s">
        <v>3</v>
      </c>
      <c r="F149" t="s">
        <v>5</v>
      </c>
      <c r="G149">
        <v>3656.3124760000001</v>
      </c>
      <c r="H149" t="s">
        <v>4</v>
      </c>
      <c r="I149">
        <v>990.16341899999998</v>
      </c>
      <c r="J149">
        <v>2666.1490570000001</v>
      </c>
      <c r="K149" t="s">
        <v>6</v>
      </c>
      <c r="L149" t="s">
        <v>7</v>
      </c>
      <c r="M149" t="s">
        <v>8</v>
      </c>
      <c r="N149" t="s">
        <v>6</v>
      </c>
      <c r="O149" t="s">
        <v>3</v>
      </c>
      <c r="P149" t="s">
        <v>3</v>
      </c>
      <c r="Q149" t="s">
        <v>3</v>
      </c>
      <c r="R149" t="s">
        <v>3</v>
      </c>
      <c r="S149" t="s">
        <v>11</v>
      </c>
      <c r="T149" t="s">
        <v>7</v>
      </c>
      <c r="U149">
        <v>2</v>
      </c>
      <c r="V149">
        <v>0</v>
      </c>
      <c r="W149">
        <v>0</v>
      </c>
      <c r="X149">
        <v>1</v>
      </c>
      <c r="Y149">
        <v>0</v>
      </c>
      <c r="Z149" t="s">
        <v>13</v>
      </c>
      <c r="AA149" t="s">
        <v>4</v>
      </c>
      <c r="AB149" t="s">
        <v>6</v>
      </c>
      <c r="AC149" t="s">
        <v>7</v>
      </c>
      <c r="AD149" t="s">
        <v>8</v>
      </c>
      <c r="AE149" t="s">
        <v>6</v>
      </c>
      <c r="AF149" t="s">
        <v>3</v>
      </c>
      <c r="AG149" t="s">
        <v>3</v>
      </c>
      <c r="AH149" t="s">
        <v>3</v>
      </c>
      <c r="AI149" t="s">
        <v>3</v>
      </c>
      <c r="AJ149" t="s">
        <v>3</v>
      </c>
      <c r="AK149" t="s">
        <v>7</v>
      </c>
      <c r="AL149">
        <v>0</v>
      </c>
      <c r="AM149">
        <v>0</v>
      </c>
      <c r="AN149">
        <v>0</v>
      </c>
      <c r="AO149">
        <v>0</v>
      </c>
      <c r="AP149">
        <v>0</v>
      </c>
      <c r="AQ149" t="s">
        <v>9</v>
      </c>
      <c r="AR149" s="1">
        <v>8.2941063900000001E-5</v>
      </c>
      <c r="AS149" s="1">
        <v>4.92763666E-26</v>
      </c>
      <c r="AT149">
        <v>8</v>
      </c>
      <c r="AU149" t="s">
        <v>10</v>
      </c>
      <c r="AV149">
        <v>2</v>
      </c>
      <c r="AW149">
        <v>0</v>
      </c>
      <c r="AX149">
        <v>0</v>
      </c>
      <c r="AY149">
        <v>1</v>
      </c>
      <c r="AZ149">
        <v>0</v>
      </c>
      <c r="BA149" t="s">
        <v>13</v>
      </c>
      <c r="BB149" t="s">
        <v>4</v>
      </c>
      <c r="BC149" t="s">
        <v>10</v>
      </c>
      <c r="BD149">
        <v>0</v>
      </c>
      <c r="BE149">
        <v>0</v>
      </c>
      <c r="BF149">
        <v>0</v>
      </c>
      <c r="BG149">
        <v>0</v>
      </c>
      <c r="BH149">
        <v>0</v>
      </c>
      <c r="BI149" t="s">
        <v>9</v>
      </c>
      <c r="BJ149">
        <v>0</v>
      </c>
      <c r="BK149">
        <v>-8.2940000000000002E-5</v>
      </c>
      <c r="BL149">
        <v>0</v>
      </c>
      <c r="BM149" s="2">
        <f t="shared" si="2"/>
        <v>2.9674921777761725E-7</v>
      </c>
    </row>
    <row r="150" spans="1:65" x14ac:dyDescent="0.35">
      <c r="A150">
        <v>0</v>
      </c>
      <c r="B150" t="s">
        <v>3</v>
      </c>
      <c r="C150" t="s">
        <v>4</v>
      </c>
      <c r="D150">
        <v>0</v>
      </c>
      <c r="E150" t="s">
        <v>3</v>
      </c>
      <c r="F150" t="s">
        <v>5</v>
      </c>
      <c r="G150">
        <v>4655.9904980000001</v>
      </c>
      <c r="H150" t="s">
        <v>4</v>
      </c>
      <c r="I150">
        <v>990.16341899999998</v>
      </c>
      <c r="J150">
        <v>3665.8270790000001</v>
      </c>
      <c r="K150" t="s">
        <v>6</v>
      </c>
      <c r="L150" t="s">
        <v>7</v>
      </c>
      <c r="M150" t="s">
        <v>8</v>
      </c>
      <c r="N150" t="s">
        <v>6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7</v>
      </c>
      <c r="U150">
        <v>4</v>
      </c>
      <c r="V150">
        <v>1</v>
      </c>
      <c r="W150">
        <v>0</v>
      </c>
      <c r="X150">
        <v>0</v>
      </c>
      <c r="Y150">
        <v>0</v>
      </c>
      <c r="Z150" t="s">
        <v>8</v>
      </c>
      <c r="AA150" t="s">
        <v>4</v>
      </c>
      <c r="AB150" t="s">
        <v>6</v>
      </c>
      <c r="AC150" t="s">
        <v>7</v>
      </c>
      <c r="AD150" t="s">
        <v>8</v>
      </c>
      <c r="AE150" t="s">
        <v>6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7</v>
      </c>
      <c r="AL150">
        <v>0</v>
      </c>
      <c r="AM150">
        <v>0</v>
      </c>
      <c r="AN150">
        <v>0</v>
      </c>
      <c r="AO150">
        <v>0</v>
      </c>
      <c r="AP150">
        <v>0</v>
      </c>
      <c r="AQ150" t="s">
        <v>9</v>
      </c>
      <c r="AR150" s="1">
        <v>4.96140502E-4</v>
      </c>
      <c r="AS150" s="1">
        <v>2.4243621299999999E-24</v>
      </c>
      <c r="AT150">
        <v>7</v>
      </c>
      <c r="AU150" t="s">
        <v>10</v>
      </c>
      <c r="AV150">
        <v>4</v>
      </c>
      <c r="AW150">
        <v>1</v>
      </c>
      <c r="AX150">
        <v>0</v>
      </c>
      <c r="AY150">
        <v>0</v>
      </c>
      <c r="AZ150">
        <v>0</v>
      </c>
      <c r="BA150" t="s">
        <v>8</v>
      </c>
      <c r="BB150" t="s">
        <v>4</v>
      </c>
      <c r="BC150" t="s">
        <v>10</v>
      </c>
      <c r="BD150">
        <v>0</v>
      </c>
      <c r="BE150">
        <v>0</v>
      </c>
      <c r="BF150">
        <v>0</v>
      </c>
      <c r="BG150">
        <v>0</v>
      </c>
      <c r="BH150">
        <v>0</v>
      </c>
      <c r="BI150" t="s">
        <v>9</v>
      </c>
      <c r="BJ150">
        <v>-3.4977000000000001E-4</v>
      </c>
      <c r="BK150">
        <v>0</v>
      </c>
      <c r="BL150">
        <v>3.5187E-4</v>
      </c>
      <c r="BM150" s="2">
        <f t="shared" si="2"/>
        <v>1.4599850097047903E-5</v>
      </c>
    </row>
    <row r="151" spans="1:65" x14ac:dyDescent="0.35">
      <c r="A151">
        <v>0</v>
      </c>
      <c r="B151" t="s">
        <v>11</v>
      </c>
      <c r="C151" t="s">
        <v>4</v>
      </c>
      <c r="D151">
        <v>0</v>
      </c>
      <c r="E151" t="s">
        <v>3</v>
      </c>
      <c r="F151" t="s">
        <v>5</v>
      </c>
      <c r="G151">
        <v>4887.6178520000003</v>
      </c>
      <c r="H151" t="s">
        <v>4</v>
      </c>
      <c r="I151">
        <v>990.16341899999998</v>
      </c>
      <c r="J151">
        <v>3897.454432</v>
      </c>
      <c r="K151" t="s">
        <v>6</v>
      </c>
      <c r="L151" t="s">
        <v>7</v>
      </c>
      <c r="M151" t="s">
        <v>8</v>
      </c>
      <c r="N151" t="s">
        <v>6</v>
      </c>
      <c r="O151" t="s">
        <v>3</v>
      </c>
      <c r="P151" t="s">
        <v>3</v>
      </c>
      <c r="Q151" t="s">
        <v>3</v>
      </c>
      <c r="R151" t="s">
        <v>3</v>
      </c>
      <c r="S151" t="s">
        <v>11</v>
      </c>
      <c r="T151" t="s">
        <v>7</v>
      </c>
      <c r="U151">
        <v>0</v>
      </c>
      <c r="V151">
        <v>1</v>
      </c>
      <c r="W151">
        <v>0</v>
      </c>
      <c r="X151">
        <v>0</v>
      </c>
      <c r="Y151">
        <v>0</v>
      </c>
      <c r="Z151" t="s">
        <v>28</v>
      </c>
      <c r="AA151" t="s">
        <v>4</v>
      </c>
      <c r="AB151" t="s">
        <v>6</v>
      </c>
      <c r="AC151" t="s">
        <v>7</v>
      </c>
      <c r="AD151" t="s">
        <v>8</v>
      </c>
      <c r="AE151" t="s">
        <v>6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t="s">
        <v>7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9</v>
      </c>
      <c r="AR151" s="1">
        <v>2.00580002E-5</v>
      </c>
      <c r="AS151" s="1">
        <v>4.2128157699999997E-27</v>
      </c>
      <c r="AT151">
        <v>7</v>
      </c>
      <c r="AU151" t="s">
        <v>10</v>
      </c>
      <c r="AV151">
        <v>0</v>
      </c>
      <c r="AW151">
        <v>1</v>
      </c>
      <c r="AX151">
        <v>0</v>
      </c>
      <c r="AY151">
        <v>0</v>
      </c>
      <c r="AZ151">
        <v>0</v>
      </c>
      <c r="BA151" t="s">
        <v>28</v>
      </c>
      <c r="BB151" t="s">
        <v>4</v>
      </c>
      <c r="BC151" t="s">
        <v>10</v>
      </c>
      <c r="BD151">
        <v>0</v>
      </c>
      <c r="BE151">
        <v>0</v>
      </c>
      <c r="BF151">
        <v>0</v>
      </c>
      <c r="BG151">
        <v>0</v>
      </c>
      <c r="BH151">
        <v>0</v>
      </c>
      <c r="BI151" t="s">
        <v>9</v>
      </c>
      <c r="BJ151">
        <v>0</v>
      </c>
      <c r="BK151">
        <v>2.0060000000000001E-5</v>
      </c>
      <c r="BL151">
        <v>0</v>
      </c>
      <c r="BM151" s="2">
        <f t="shared" si="2"/>
        <v>2.5370169731400412E-8</v>
      </c>
    </row>
    <row r="152" spans="1:65" x14ac:dyDescent="0.35">
      <c r="A152">
        <v>0</v>
      </c>
      <c r="B152" t="s">
        <v>3</v>
      </c>
      <c r="C152" t="s">
        <v>4</v>
      </c>
      <c r="D152">
        <v>0</v>
      </c>
      <c r="E152" t="s">
        <v>3</v>
      </c>
      <c r="F152" t="s">
        <v>5</v>
      </c>
      <c r="G152">
        <v>4106.6263909999998</v>
      </c>
      <c r="H152" t="s">
        <v>4</v>
      </c>
      <c r="I152">
        <v>990.16341899999998</v>
      </c>
      <c r="J152">
        <v>3116.4629719999998</v>
      </c>
      <c r="K152" t="s">
        <v>6</v>
      </c>
      <c r="L152" t="s">
        <v>7</v>
      </c>
      <c r="M152" t="s">
        <v>8</v>
      </c>
      <c r="N152" t="s">
        <v>6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7</v>
      </c>
      <c r="U152">
        <v>1</v>
      </c>
      <c r="V152">
        <v>0</v>
      </c>
      <c r="W152">
        <v>0</v>
      </c>
      <c r="X152">
        <v>0</v>
      </c>
      <c r="Y152">
        <v>0</v>
      </c>
      <c r="Z152" t="s">
        <v>17</v>
      </c>
      <c r="AA152" t="s">
        <v>4</v>
      </c>
      <c r="AB152" t="s">
        <v>6</v>
      </c>
      <c r="AC152" t="s">
        <v>7</v>
      </c>
      <c r="AD152" t="s">
        <v>8</v>
      </c>
      <c r="AE152" t="s">
        <v>6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7</v>
      </c>
      <c r="AL152">
        <v>0</v>
      </c>
      <c r="AM152">
        <v>0</v>
      </c>
      <c r="AN152">
        <v>0</v>
      </c>
      <c r="AO152">
        <v>0</v>
      </c>
      <c r="AP152">
        <v>0</v>
      </c>
      <c r="AQ152" t="s">
        <v>9</v>
      </c>
      <c r="AR152" s="1">
        <v>2.9259167999999998E-5</v>
      </c>
      <c r="AS152" s="1">
        <v>7.1680653099999997E-27</v>
      </c>
      <c r="AT152">
        <v>8</v>
      </c>
      <c r="AU152" t="s">
        <v>10</v>
      </c>
      <c r="AV152">
        <v>1</v>
      </c>
      <c r="AW152">
        <v>0</v>
      </c>
      <c r="AX152">
        <v>0</v>
      </c>
      <c r="AY152">
        <v>0</v>
      </c>
      <c r="AZ152">
        <v>0</v>
      </c>
      <c r="BA152" t="s">
        <v>17</v>
      </c>
      <c r="BB152" t="s">
        <v>4</v>
      </c>
      <c r="BC152" t="s">
        <v>10</v>
      </c>
      <c r="BD152">
        <v>0</v>
      </c>
      <c r="BE152">
        <v>0</v>
      </c>
      <c r="BF152">
        <v>0</v>
      </c>
      <c r="BG152">
        <v>0</v>
      </c>
      <c r="BH152">
        <v>0</v>
      </c>
      <c r="BI152" t="s">
        <v>9</v>
      </c>
      <c r="BJ152">
        <v>-1.7799999999999999E-6</v>
      </c>
      <c r="BK152">
        <v>0</v>
      </c>
      <c r="BL152">
        <v>2.9200000000000002E-5</v>
      </c>
      <c r="BM152" s="2">
        <f t="shared" si="2"/>
        <v>4.3167098560415649E-8</v>
      </c>
    </row>
    <row r="153" spans="1:65" x14ac:dyDescent="0.35">
      <c r="A153">
        <v>0</v>
      </c>
      <c r="B153" t="s">
        <v>3</v>
      </c>
      <c r="C153" t="s">
        <v>4</v>
      </c>
      <c r="D153">
        <v>0</v>
      </c>
      <c r="E153" t="s">
        <v>3</v>
      </c>
      <c r="F153" t="s">
        <v>5</v>
      </c>
      <c r="G153">
        <v>4294.3930350000001</v>
      </c>
      <c r="H153" t="s">
        <v>4</v>
      </c>
      <c r="I153">
        <v>990.16341899999998</v>
      </c>
      <c r="J153">
        <v>3304.2296160000001</v>
      </c>
      <c r="K153" t="s">
        <v>6</v>
      </c>
      <c r="L153" t="s">
        <v>7</v>
      </c>
      <c r="M153" t="s">
        <v>8</v>
      </c>
      <c r="N153" t="s">
        <v>6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7</v>
      </c>
      <c r="U153">
        <v>2</v>
      </c>
      <c r="V153">
        <v>0</v>
      </c>
      <c r="W153">
        <v>0</v>
      </c>
      <c r="X153">
        <v>0</v>
      </c>
      <c r="Y153">
        <v>0</v>
      </c>
      <c r="Z153" t="s">
        <v>22</v>
      </c>
      <c r="AA153" t="s">
        <v>4</v>
      </c>
      <c r="AB153" t="s">
        <v>6</v>
      </c>
      <c r="AC153" t="s">
        <v>7</v>
      </c>
      <c r="AD153" t="s">
        <v>8</v>
      </c>
      <c r="AE153" t="s">
        <v>6</v>
      </c>
      <c r="AF153" t="s">
        <v>3</v>
      </c>
      <c r="AG153" t="s">
        <v>3</v>
      </c>
      <c r="AH153" t="s">
        <v>3</v>
      </c>
      <c r="AI153" t="s">
        <v>3</v>
      </c>
      <c r="AJ153" t="s">
        <v>3</v>
      </c>
      <c r="AK153" t="s">
        <v>7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9</v>
      </c>
      <c r="AR153" s="1">
        <v>1.15070137E-4</v>
      </c>
      <c r="AS153" s="1">
        <v>1.1754701199999999E-25</v>
      </c>
      <c r="AT153">
        <v>7</v>
      </c>
      <c r="AU153" t="s">
        <v>10</v>
      </c>
      <c r="AV153">
        <v>2</v>
      </c>
      <c r="AW153">
        <v>0</v>
      </c>
      <c r="AX153">
        <v>0</v>
      </c>
      <c r="AY153">
        <v>0</v>
      </c>
      <c r="AZ153">
        <v>0</v>
      </c>
      <c r="BA153" t="s">
        <v>22</v>
      </c>
      <c r="BB153" t="s">
        <v>4</v>
      </c>
      <c r="BC153" t="s">
        <v>10</v>
      </c>
      <c r="BD153">
        <v>0</v>
      </c>
      <c r="BE153">
        <v>0</v>
      </c>
      <c r="BF153">
        <v>0</v>
      </c>
      <c r="BG153">
        <v>0</v>
      </c>
      <c r="BH153">
        <v>0</v>
      </c>
      <c r="BI153" t="s">
        <v>9</v>
      </c>
      <c r="BJ153">
        <v>-9.6390000000000004E-5</v>
      </c>
      <c r="BK153">
        <v>0</v>
      </c>
      <c r="BL153">
        <v>-6.2849999999999996E-5</v>
      </c>
      <c r="BM153" s="2">
        <f t="shared" si="2"/>
        <v>7.0788465688328952E-7</v>
      </c>
    </row>
    <row r="154" spans="1:65" x14ac:dyDescent="0.35">
      <c r="A154">
        <v>0</v>
      </c>
      <c r="B154" t="s">
        <v>11</v>
      </c>
      <c r="C154" t="s">
        <v>4</v>
      </c>
      <c r="D154">
        <v>0</v>
      </c>
      <c r="E154" t="s">
        <v>3</v>
      </c>
      <c r="F154" t="s">
        <v>5</v>
      </c>
      <c r="G154">
        <v>4590.4039339999999</v>
      </c>
      <c r="H154" t="s">
        <v>4</v>
      </c>
      <c r="I154">
        <v>990.16341899999998</v>
      </c>
      <c r="J154">
        <v>3600.240515</v>
      </c>
      <c r="K154" t="s">
        <v>6</v>
      </c>
      <c r="L154" t="s">
        <v>7</v>
      </c>
      <c r="M154" t="s">
        <v>8</v>
      </c>
      <c r="N154" t="s">
        <v>6</v>
      </c>
      <c r="O154" t="s">
        <v>3</v>
      </c>
      <c r="P154" t="s">
        <v>3</v>
      </c>
      <c r="Q154" t="s">
        <v>3</v>
      </c>
      <c r="R154" t="s">
        <v>3</v>
      </c>
      <c r="S154" t="s">
        <v>11</v>
      </c>
      <c r="T154" t="s">
        <v>7</v>
      </c>
      <c r="U154">
        <v>0</v>
      </c>
      <c r="V154">
        <v>0</v>
      </c>
      <c r="W154">
        <v>0</v>
      </c>
      <c r="X154">
        <v>0</v>
      </c>
      <c r="Y154">
        <v>3</v>
      </c>
      <c r="Z154" t="s">
        <v>13</v>
      </c>
      <c r="AA154" t="s">
        <v>4</v>
      </c>
      <c r="AB154" t="s">
        <v>6</v>
      </c>
      <c r="AC154" t="s">
        <v>7</v>
      </c>
      <c r="AD154" t="s">
        <v>8</v>
      </c>
      <c r="AE154" t="s">
        <v>6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t="s">
        <v>7</v>
      </c>
      <c r="AL154">
        <v>0</v>
      </c>
      <c r="AM154">
        <v>0</v>
      </c>
      <c r="AN154">
        <v>0</v>
      </c>
      <c r="AO154">
        <v>0</v>
      </c>
      <c r="AP154">
        <v>0</v>
      </c>
      <c r="AQ154" t="s">
        <v>9</v>
      </c>
      <c r="AR154" s="1">
        <v>9.63218508E-6</v>
      </c>
      <c r="AS154" s="1">
        <v>8.9742322300000006E-28</v>
      </c>
      <c r="AT154">
        <v>8</v>
      </c>
      <c r="AU154" t="s">
        <v>10</v>
      </c>
      <c r="AV154">
        <v>0</v>
      </c>
      <c r="AW154">
        <v>0</v>
      </c>
      <c r="AX154">
        <v>0</v>
      </c>
      <c r="AY154">
        <v>0</v>
      </c>
      <c r="AZ154">
        <v>3</v>
      </c>
      <c r="BA154" t="s">
        <v>13</v>
      </c>
      <c r="BB154" t="s">
        <v>4</v>
      </c>
      <c r="BC154" t="s">
        <v>10</v>
      </c>
      <c r="BD154">
        <v>0</v>
      </c>
      <c r="BE154">
        <v>0</v>
      </c>
      <c r="BF154">
        <v>0</v>
      </c>
      <c r="BG154">
        <v>0</v>
      </c>
      <c r="BH154">
        <v>0</v>
      </c>
      <c r="BI154" t="s">
        <v>9</v>
      </c>
      <c r="BJ154">
        <v>0</v>
      </c>
      <c r="BK154">
        <v>-9.6299999999999993E-6</v>
      </c>
      <c r="BL154">
        <v>0</v>
      </c>
      <c r="BM154" s="2">
        <f t="shared" si="2"/>
        <v>5.4044090060957988E-9</v>
      </c>
    </row>
    <row r="155" spans="1:65" x14ac:dyDescent="0.35">
      <c r="A155">
        <v>0</v>
      </c>
      <c r="B155" t="s">
        <v>11</v>
      </c>
      <c r="C155" t="s">
        <v>4</v>
      </c>
      <c r="D155">
        <v>0</v>
      </c>
      <c r="E155" t="s">
        <v>3</v>
      </c>
      <c r="F155" t="s">
        <v>5</v>
      </c>
      <c r="G155">
        <v>3145.9230440000001</v>
      </c>
      <c r="H155" t="s">
        <v>4</v>
      </c>
      <c r="I155">
        <v>990.16341899999998</v>
      </c>
      <c r="J155">
        <v>2155.7596250000001</v>
      </c>
      <c r="K155" t="s">
        <v>6</v>
      </c>
      <c r="L155" t="s">
        <v>7</v>
      </c>
      <c r="M155" t="s">
        <v>8</v>
      </c>
      <c r="N155" t="s">
        <v>6</v>
      </c>
      <c r="O155" t="s">
        <v>3</v>
      </c>
      <c r="P155" t="s">
        <v>3</v>
      </c>
      <c r="Q155" t="s">
        <v>3</v>
      </c>
      <c r="R155" t="s">
        <v>3</v>
      </c>
      <c r="S155" t="s">
        <v>11</v>
      </c>
      <c r="T155" t="s">
        <v>7</v>
      </c>
      <c r="U155">
        <v>0</v>
      </c>
      <c r="V155">
        <v>1</v>
      </c>
      <c r="W155">
        <v>0</v>
      </c>
      <c r="X155">
        <v>1</v>
      </c>
      <c r="Y155">
        <v>0</v>
      </c>
      <c r="Z155" t="s">
        <v>14</v>
      </c>
      <c r="AA155" t="s">
        <v>4</v>
      </c>
      <c r="AB155" t="s">
        <v>6</v>
      </c>
      <c r="AC155" t="s">
        <v>7</v>
      </c>
      <c r="AD155" t="s">
        <v>8</v>
      </c>
      <c r="AE155" t="s">
        <v>6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7</v>
      </c>
      <c r="AL155">
        <v>0</v>
      </c>
      <c r="AM155">
        <v>0</v>
      </c>
      <c r="AN155">
        <v>0</v>
      </c>
      <c r="AO155">
        <v>0</v>
      </c>
      <c r="AP155">
        <v>0</v>
      </c>
      <c r="AQ155" t="s">
        <v>9</v>
      </c>
      <c r="AR155" s="1">
        <v>1.7321349099999999E-5</v>
      </c>
      <c r="AS155" s="1">
        <v>1.7376680600000001E-27</v>
      </c>
      <c r="AT155">
        <v>8</v>
      </c>
      <c r="AU155" t="s">
        <v>10</v>
      </c>
      <c r="AV155">
        <v>0</v>
      </c>
      <c r="AW155">
        <v>1</v>
      </c>
      <c r="AX155">
        <v>0</v>
      </c>
      <c r="AY155">
        <v>1</v>
      </c>
      <c r="AZ155">
        <v>0</v>
      </c>
      <c r="BA155" t="s">
        <v>14</v>
      </c>
      <c r="BB155" t="s">
        <v>4</v>
      </c>
      <c r="BC155" t="s">
        <v>10</v>
      </c>
      <c r="BD155">
        <v>0</v>
      </c>
      <c r="BE155">
        <v>0</v>
      </c>
      <c r="BF155">
        <v>0</v>
      </c>
      <c r="BG155">
        <v>0</v>
      </c>
      <c r="BH155">
        <v>0</v>
      </c>
      <c r="BI155" t="s">
        <v>9</v>
      </c>
      <c r="BJ155">
        <v>0</v>
      </c>
      <c r="BK155">
        <v>1.732E-5</v>
      </c>
      <c r="BL155">
        <v>0</v>
      </c>
      <c r="BM155" s="2">
        <f t="shared" si="2"/>
        <v>1.0464481720982847E-8</v>
      </c>
    </row>
    <row r="156" spans="1:65" x14ac:dyDescent="0.35">
      <c r="A156">
        <v>0</v>
      </c>
      <c r="B156" t="s">
        <v>11</v>
      </c>
      <c r="C156" t="s">
        <v>4</v>
      </c>
      <c r="D156">
        <v>0</v>
      </c>
      <c r="E156" t="s">
        <v>3</v>
      </c>
      <c r="F156" t="s">
        <v>5</v>
      </c>
      <c r="G156">
        <v>4212.8903899999996</v>
      </c>
      <c r="H156" t="s">
        <v>4</v>
      </c>
      <c r="I156">
        <v>990.16341899999998</v>
      </c>
      <c r="J156">
        <v>3222.726971</v>
      </c>
      <c r="K156" t="s">
        <v>6</v>
      </c>
      <c r="L156" t="s">
        <v>7</v>
      </c>
      <c r="M156" t="s">
        <v>8</v>
      </c>
      <c r="N156" t="s">
        <v>6</v>
      </c>
      <c r="O156" t="s">
        <v>3</v>
      </c>
      <c r="P156" t="s">
        <v>3</v>
      </c>
      <c r="Q156" t="s">
        <v>3</v>
      </c>
      <c r="R156" t="s">
        <v>3</v>
      </c>
      <c r="S156" t="s">
        <v>11</v>
      </c>
      <c r="T156" t="s">
        <v>7</v>
      </c>
      <c r="U156">
        <v>0</v>
      </c>
      <c r="V156">
        <v>2</v>
      </c>
      <c r="W156">
        <v>0</v>
      </c>
      <c r="X156">
        <v>3</v>
      </c>
      <c r="Y156">
        <v>0</v>
      </c>
      <c r="Z156" t="s">
        <v>18</v>
      </c>
      <c r="AA156" t="s">
        <v>4</v>
      </c>
      <c r="AB156" t="s">
        <v>6</v>
      </c>
      <c r="AC156" t="s">
        <v>7</v>
      </c>
      <c r="AD156" t="s">
        <v>8</v>
      </c>
      <c r="AE156" t="s">
        <v>6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7</v>
      </c>
      <c r="AL156">
        <v>0</v>
      </c>
      <c r="AM156">
        <v>0</v>
      </c>
      <c r="AN156">
        <v>0</v>
      </c>
      <c r="AO156">
        <v>0</v>
      </c>
      <c r="AP156">
        <v>0</v>
      </c>
      <c r="AQ156" t="s">
        <v>9</v>
      </c>
      <c r="AR156" s="1">
        <v>1.42888027E-5</v>
      </c>
      <c r="AS156" s="1">
        <v>1.7677924699999999E-27</v>
      </c>
      <c r="AT156">
        <v>7</v>
      </c>
      <c r="AU156" t="s">
        <v>10</v>
      </c>
      <c r="AV156">
        <v>0</v>
      </c>
      <c r="AW156">
        <v>2</v>
      </c>
      <c r="AX156">
        <v>0</v>
      </c>
      <c r="AY156">
        <v>3</v>
      </c>
      <c r="AZ156">
        <v>0</v>
      </c>
      <c r="BA156" t="s">
        <v>18</v>
      </c>
      <c r="BB156" t="s">
        <v>4</v>
      </c>
      <c r="BC156" t="s">
        <v>10</v>
      </c>
      <c r="BD156">
        <v>0</v>
      </c>
      <c r="BE156">
        <v>0</v>
      </c>
      <c r="BF156">
        <v>0</v>
      </c>
      <c r="BG156">
        <v>0</v>
      </c>
      <c r="BH156">
        <v>0</v>
      </c>
      <c r="BI156" t="s">
        <v>9</v>
      </c>
      <c r="BJ156">
        <v>0</v>
      </c>
      <c r="BK156">
        <v>1.429E-5</v>
      </c>
      <c r="BL156">
        <v>0</v>
      </c>
      <c r="BM156" s="2">
        <f t="shared" si="2"/>
        <v>1.0645895159519776E-8</v>
      </c>
    </row>
    <row r="157" spans="1:65" x14ac:dyDescent="0.35">
      <c r="A157">
        <v>0</v>
      </c>
      <c r="B157" t="s">
        <v>11</v>
      </c>
      <c r="C157" t="s">
        <v>4</v>
      </c>
      <c r="D157">
        <v>0</v>
      </c>
      <c r="E157" t="s">
        <v>3</v>
      </c>
      <c r="F157" t="s">
        <v>5</v>
      </c>
      <c r="G157">
        <v>3375.4736630000002</v>
      </c>
      <c r="H157" t="s">
        <v>4</v>
      </c>
      <c r="I157">
        <v>990.16341899999998</v>
      </c>
      <c r="J157">
        <v>2385.3102439999998</v>
      </c>
      <c r="K157" t="s">
        <v>6</v>
      </c>
      <c r="L157" t="s">
        <v>7</v>
      </c>
      <c r="M157" t="s">
        <v>8</v>
      </c>
      <c r="N157" t="s">
        <v>6</v>
      </c>
      <c r="O157" t="s">
        <v>3</v>
      </c>
      <c r="P157" t="s">
        <v>3</v>
      </c>
      <c r="Q157" t="s">
        <v>3</v>
      </c>
      <c r="R157" t="s">
        <v>3</v>
      </c>
      <c r="S157" t="s">
        <v>11</v>
      </c>
      <c r="T157" t="s">
        <v>7</v>
      </c>
      <c r="U157">
        <v>0</v>
      </c>
      <c r="V157">
        <v>0</v>
      </c>
      <c r="W157">
        <v>0</v>
      </c>
      <c r="X157">
        <v>2</v>
      </c>
      <c r="Y157">
        <v>1</v>
      </c>
      <c r="Z157" t="s">
        <v>13</v>
      </c>
      <c r="AA157" t="s">
        <v>4</v>
      </c>
      <c r="AB157" t="s">
        <v>6</v>
      </c>
      <c r="AC157" t="s">
        <v>7</v>
      </c>
      <c r="AD157" t="s">
        <v>8</v>
      </c>
      <c r="AE157" t="s">
        <v>6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t="s">
        <v>7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9</v>
      </c>
      <c r="AR157" s="1">
        <v>1.1262251E-5</v>
      </c>
      <c r="AS157" s="1">
        <v>8.12843835E-28</v>
      </c>
      <c r="AT157">
        <v>8</v>
      </c>
      <c r="AU157" t="s">
        <v>10</v>
      </c>
      <c r="AV157">
        <v>0</v>
      </c>
      <c r="AW157">
        <v>0</v>
      </c>
      <c r="AX157">
        <v>0</v>
      </c>
      <c r="AY157">
        <v>2</v>
      </c>
      <c r="AZ157">
        <v>1</v>
      </c>
      <c r="BA157" t="s">
        <v>13</v>
      </c>
      <c r="BB157" t="s">
        <v>4</v>
      </c>
      <c r="BC157" t="s">
        <v>10</v>
      </c>
      <c r="BD157">
        <v>0</v>
      </c>
      <c r="BE157">
        <v>0</v>
      </c>
      <c r="BF157">
        <v>0</v>
      </c>
      <c r="BG157">
        <v>0</v>
      </c>
      <c r="BH157">
        <v>0</v>
      </c>
      <c r="BI157" t="s">
        <v>9</v>
      </c>
      <c r="BJ157">
        <v>0</v>
      </c>
      <c r="BK157">
        <v>1.1260000000000001E-5</v>
      </c>
      <c r="BL157">
        <v>0</v>
      </c>
      <c r="BM157" s="2">
        <f t="shared" si="2"/>
        <v>4.895060022781968E-9</v>
      </c>
    </row>
    <row r="158" spans="1:65" x14ac:dyDescent="0.35">
      <c r="A158">
        <v>0</v>
      </c>
      <c r="B158" t="s">
        <v>3</v>
      </c>
      <c r="C158" t="s">
        <v>4</v>
      </c>
      <c r="D158">
        <v>0</v>
      </c>
      <c r="E158" t="s">
        <v>3</v>
      </c>
      <c r="F158" t="s">
        <v>5</v>
      </c>
      <c r="G158">
        <v>4722.8746090000004</v>
      </c>
      <c r="H158" t="s">
        <v>4</v>
      </c>
      <c r="I158">
        <v>990.16341899999998</v>
      </c>
      <c r="J158">
        <v>3732.71119</v>
      </c>
      <c r="K158" t="s">
        <v>6</v>
      </c>
      <c r="L158" t="s">
        <v>7</v>
      </c>
      <c r="M158" t="s">
        <v>8</v>
      </c>
      <c r="N158" t="s">
        <v>6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7</v>
      </c>
      <c r="U158">
        <v>1</v>
      </c>
      <c r="V158">
        <v>0</v>
      </c>
      <c r="W158">
        <v>0</v>
      </c>
      <c r="X158">
        <v>3</v>
      </c>
      <c r="Y158">
        <v>0</v>
      </c>
      <c r="Z158" t="s">
        <v>29</v>
      </c>
      <c r="AA158" t="s">
        <v>4</v>
      </c>
      <c r="AB158" t="s">
        <v>6</v>
      </c>
      <c r="AC158" t="s">
        <v>7</v>
      </c>
      <c r="AD158" t="s">
        <v>8</v>
      </c>
      <c r="AE158" t="s">
        <v>6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7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9</v>
      </c>
      <c r="AR158" s="1">
        <v>1.5075499200000001E-4</v>
      </c>
      <c r="AS158" s="1">
        <v>2.2792079300000001E-25</v>
      </c>
      <c r="AT158">
        <v>7</v>
      </c>
      <c r="AU158" t="s">
        <v>10</v>
      </c>
      <c r="AV158">
        <v>1</v>
      </c>
      <c r="AW158">
        <v>0</v>
      </c>
      <c r="AX158">
        <v>0</v>
      </c>
      <c r="AY158">
        <v>3</v>
      </c>
      <c r="AZ158">
        <v>0</v>
      </c>
      <c r="BA158" t="s">
        <v>29</v>
      </c>
      <c r="BB158" t="s">
        <v>4</v>
      </c>
      <c r="BC158" t="s">
        <v>10</v>
      </c>
      <c r="BD158">
        <v>0</v>
      </c>
      <c r="BE158">
        <v>0</v>
      </c>
      <c r="BF158">
        <v>0</v>
      </c>
      <c r="BG158">
        <v>0</v>
      </c>
      <c r="BH158">
        <v>0</v>
      </c>
      <c r="BI158" t="s">
        <v>9</v>
      </c>
      <c r="BJ158">
        <v>-9.9290000000000007E-5</v>
      </c>
      <c r="BK158">
        <v>0</v>
      </c>
      <c r="BL158">
        <v>1.1344E-4</v>
      </c>
      <c r="BM158" s="2">
        <f t="shared" si="2"/>
        <v>1.3725711066936546E-6</v>
      </c>
    </row>
    <row r="159" spans="1:65" x14ac:dyDescent="0.35">
      <c r="A159">
        <v>0</v>
      </c>
      <c r="B159" t="s">
        <v>11</v>
      </c>
      <c r="C159" t="s">
        <v>4</v>
      </c>
      <c r="D159">
        <v>0</v>
      </c>
      <c r="E159" t="s">
        <v>3</v>
      </c>
      <c r="F159" t="s">
        <v>5</v>
      </c>
      <c r="G159">
        <v>3801.5459209999999</v>
      </c>
      <c r="H159" t="s">
        <v>4</v>
      </c>
      <c r="I159">
        <v>990.16341899999998</v>
      </c>
      <c r="J159">
        <v>2811.3825019999999</v>
      </c>
      <c r="K159" t="s">
        <v>6</v>
      </c>
      <c r="L159" t="s">
        <v>7</v>
      </c>
      <c r="M159" t="s">
        <v>8</v>
      </c>
      <c r="N159" t="s">
        <v>6</v>
      </c>
      <c r="O159" t="s">
        <v>3</v>
      </c>
      <c r="P159" t="s">
        <v>3</v>
      </c>
      <c r="Q159" t="s">
        <v>3</v>
      </c>
      <c r="R159" t="s">
        <v>3</v>
      </c>
      <c r="S159" t="s">
        <v>11</v>
      </c>
      <c r="T159" t="s">
        <v>7</v>
      </c>
      <c r="U159">
        <v>1</v>
      </c>
      <c r="V159">
        <v>0</v>
      </c>
      <c r="W159">
        <v>0</v>
      </c>
      <c r="X159">
        <v>0</v>
      </c>
      <c r="Y159">
        <v>0</v>
      </c>
      <c r="Z159" t="s">
        <v>16</v>
      </c>
      <c r="AA159" t="s">
        <v>4</v>
      </c>
      <c r="AB159" t="s">
        <v>6</v>
      </c>
      <c r="AC159" t="s">
        <v>7</v>
      </c>
      <c r="AD159" t="s">
        <v>8</v>
      </c>
      <c r="AE159" t="s">
        <v>6</v>
      </c>
      <c r="AF159" t="s">
        <v>3</v>
      </c>
      <c r="AG159" t="s">
        <v>3</v>
      </c>
      <c r="AH159" t="s">
        <v>3</v>
      </c>
      <c r="AI159" t="s">
        <v>3</v>
      </c>
      <c r="AJ159" t="s">
        <v>3</v>
      </c>
      <c r="AK159" t="s">
        <v>7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9</v>
      </c>
      <c r="AR159" s="1">
        <v>1.376898E-4</v>
      </c>
      <c r="AS159" s="1">
        <v>1.43198703E-25</v>
      </c>
      <c r="AT159">
        <v>7</v>
      </c>
      <c r="AU159" t="s">
        <v>10</v>
      </c>
      <c r="AV159">
        <v>1</v>
      </c>
      <c r="AW159">
        <v>0</v>
      </c>
      <c r="AX159">
        <v>0</v>
      </c>
      <c r="AY159">
        <v>0</v>
      </c>
      <c r="AZ159">
        <v>0</v>
      </c>
      <c r="BA159" t="s">
        <v>16</v>
      </c>
      <c r="BB159" t="s">
        <v>4</v>
      </c>
      <c r="BC159" t="s">
        <v>10</v>
      </c>
      <c r="BD159">
        <v>0</v>
      </c>
      <c r="BE159">
        <v>0</v>
      </c>
      <c r="BF159">
        <v>0</v>
      </c>
      <c r="BG159">
        <v>0</v>
      </c>
      <c r="BH159">
        <v>0</v>
      </c>
      <c r="BI159" t="s">
        <v>9</v>
      </c>
      <c r="BJ159">
        <v>0</v>
      </c>
      <c r="BK159">
        <v>1.3768999999999999E-4</v>
      </c>
      <c r="BL159">
        <v>0</v>
      </c>
      <c r="BM159" s="2">
        <f t="shared" si="2"/>
        <v>8.6236275184338232E-7</v>
      </c>
    </row>
    <row r="160" spans="1:65" x14ac:dyDescent="0.35">
      <c r="A160">
        <v>0</v>
      </c>
      <c r="B160" t="s">
        <v>3</v>
      </c>
      <c r="C160" t="s">
        <v>4</v>
      </c>
      <c r="D160">
        <v>0</v>
      </c>
      <c r="E160" t="s">
        <v>3</v>
      </c>
      <c r="F160" t="s">
        <v>5</v>
      </c>
      <c r="G160">
        <v>4366.3936590000003</v>
      </c>
      <c r="H160" t="s">
        <v>4</v>
      </c>
      <c r="I160">
        <v>990.16341899999998</v>
      </c>
      <c r="J160">
        <v>3376.2302399999999</v>
      </c>
      <c r="K160" t="s">
        <v>6</v>
      </c>
      <c r="L160" t="s">
        <v>7</v>
      </c>
      <c r="M160" t="s">
        <v>8</v>
      </c>
      <c r="N160" t="s">
        <v>6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7</v>
      </c>
      <c r="U160">
        <v>2</v>
      </c>
      <c r="V160">
        <v>0</v>
      </c>
      <c r="W160">
        <v>0</v>
      </c>
      <c r="X160">
        <v>2</v>
      </c>
      <c r="Y160">
        <v>0</v>
      </c>
      <c r="Z160" t="s">
        <v>21</v>
      </c>
      <c r="AA160" t="s">
        <v>4</v>
      </c>
      <c r="AB160" t="s">
        <v>6</v>
      </c>
      <c r="AC160" t="s">
        <v>7</v>
      </c>
      <c r="AD160" t="s">
        <v>8</v>
      </c>
      <c r="AE160" t="s">
        <v>6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7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9</v>
      </c>
      <c r="AR160" s="1">
        <v>8.5579411600000002E-5</v>
      </c>
      <c r="AS160" s="1">
        <v>6.6433445199999997E-26</v>
      </c>
      <c r="AT160">
        <v>7</v>
      </c>
      <c r="AU160" t="s">
        <v>10</v>
      </c>
      <c r="AV160">
        <v>2</v>
      </c>
      <c r="AW160">
        <v>0</v>
      </c>
      <c r="AX160">
        <v>0</v>
      </c>
      <c r="AY160">
        <v>2</v>
      </c>
      <c r="AZ160">
        <v>0</v>
      </c>
      <c r="BA160" t="s">
        <v>21</v>
      </c>
      <c r="BB160" t="s">
        <v>4</v>
      </c>
      <c r="BC160" t="s">
        <v>10</v>
      </c>
      <c r="BD160">
        <v>0</v>
      </c>
      <c r="BE160">
        <v>0</v>
      </c>
      <c r="BF160">
        <v>0</v>
      </c>
      <c r="BG160">
        <v>0</v>
      </c>
      <c r="BH160">
        <v>0</v>
      </c>
      <c r="BI160" t="s">
        <v>9</v>
      </c>
      <c r="BJ160">
        <v>8.5560000000000001E-5</v>
      </c>
      <c r="BK160">
        <v>0</v>
      </c>
      <c r="BL160">
        <v>1.8300000000000001E-6</v>
      </c>
      <c r="BM160" s="2">
        <f t="shared" si="2"/>
        <v>4.0007156082348411E-7</v>
      </c>
    </row>
    <row r="161" spans="1:65" x14ac:dyDescent="0.35">
      <c r="A161">
        <v>0</v>
      </c>
      <c r="B161" t="s">
        <v>11</v>
      </c>
      <c r="C161" t="s">
        <v>4</v>
      </c>
      <c r="D161">
        <v>0</v>
      </c>
      <c r="E161" t="s">
        <v>3</v>
      </c>
      <c r="F161" t="s">
        <v>5</v>
      </c>
      <c r="G161">
        <v>4832.4636019999998</v>
      </c>
      <c r="H161" t="s">
        <v>4</v>
      </c>
      <c r="I161">
        <v>990.16341899999998</v>
      </c>
      <c r="J161">
        <v>3842.3001829999998</v>
      </c>
      <c r="K161" t="s">
        <v>6</v>
      </c>
      <c r="L161" t="s">
        <v>7</v>
      </c>
      <c r="M161" t="s">
        <v>8</v>
      </c>
      <c r="N161" t="s">
        <v>6</v>
      </c>
      <c r="O161" t="s">
        <v>3</v>
      </c>
      <c r="P161" t="s">
        <v>3</v>
      </c>
      <c r="Q161" t="s">
        <v>3</v>
      </c>
      <c r="R161" t="s">
        <v>3</v>
      </c>
      <c r="S161" t="s">
        <v>11</v>
      </c>
      <c r="T161" t="s">
        <v>7</v>
      </c>
      <c r="U161">
        <v>0</v>
      </c>
      <c r="V161">
        <v>2</v>
      </c>
      <c r="W161">
        <v>0</v>
      </c>
      <c r="X161">
        <v>2</v>
      </c>
      <c r="Y161">
        <v>0</v>
      </c>
      <c r="Z161" t="s">
        <v>14</v>
      </c>
      <c r="AA161" t="s">
        <v>4</v>
      </c>
      <c r="AB161" t="s">
        <v>6</v>
      </c>
      <c r="AC161" t="s">
        <v>7</v>
      </c>
      <c r="AD161" t="s">
        <v>8</v>
      </c>
      <c r="AE161" t="s">
        <v>6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t="s">
        <v>7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9</v>
      </c>
      <c r="AR161" s="1">
        <v>1.0548854100000001E-6</v>
      </c>
      <c r="AS161" s="1">
        <v>1.1487301600000001E-29</v>
      </c>
      <c r="AT161">
        <v>7</v>
      </c>
      <c r="AU161" t="s">
        <v>10</v>
      </c>
      <c r="AV161">
        <v>0</v>
      </c>
      <c r="AW161">
        <v>2</v>
      </c>
      <c r="AX161">
        <v>0</v>
      </c>
      <c r="AY161">
        <v>2</v>
      </c>
      <c r="AZ161">
        <v>0</v>
      </c>
      <c r="BA161" t="s">
        <v>14</v>
      </c>
      <c r="BB161" t="s">
        <v>4</v>
      </c>
      <c r="BC161" t="s">
        <v>10</v>
      </c>
      <c r="BD161">
        <v>0</v>
      </c>
      <c r="BE161">
        <v>0</v>
      </c>
      <c r="BF161">
        <v>0</v>
      </c>
      <c r="BG161">
        <v>0</v>
      </c>
      <c r="BH161">
        <v>0</v>
      </c>
      <c r="BI161" t="s">
        <v>9</v>
      </c>
      <c r="BJ161">
        <v>0</v>
      </c>
      <c r="BK161">
        <v>1.0499999999999999E-6</v>
      </c>
      <c r="BL161">
        <v>0</v>
      </c>
      <c r="BM161" s="2">
        <f t="shared" si="2"/>
        <v>6.9178147647265272E-11</v>
      </c>
    </row>
    <row r="162" spans="1:65" x14ac:dyDescent="0.35">
      <c r="A162">
        <v>0</v>
      </c>
      <c r="B162" t="s">
        <v>3</v>
      </c>
      <c r="C162" t="s">
        <v>4</v>
      </c>
      <c r="D162">
        <v>0</v>
      </c>
      <c r="E162" t="s">
        <v>3</v>
      </c>
      <c r="F162" t="s">
        <v>5</v>
      </c>
      <c r="G162">
        <v>3992.5825749999999</v>
      </c>
      <c r="H162" t="s">
        <v>4</v>
      </c>
      <c r="I162">
        <v>990.16341899999998</v>
      </c>
      <c r="J162">
        <v>3002.4191559999999</v>
      </c>
      <c r="K162" t="s">
        <v>6</v>
      </c>
      <c r="L162" t="s">
        <v>7</v>
      </c>
      <c r="M162" t="s">
        <v>8</v>
      </c>
      <c r="N162" t="s">
        <v>6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7</v>
      </c>
      <c r="U162">
        <v>1</v>
      </c>
      <c r="V162">
        <v>1</v>
      </c>
      <c r="W162">
        <v>0</v>
      </c>
      <c r="X162">
        <v>0</v>
      </c>
      <c r="Y162">
        <v>2</v>
      </c>
      <c r="Z162" t="s">
        <v>8</v>
      </c>
      <c r="AA162" t="s">
        <v>4</v>
      </c>
      <c r="AB162" t="s">
        <v>6</v>
      </c>
      <c r="AC162" t="s">
        <v>7</v>
      </c>
      <c r="AD162" t="s">
        <v>8</v>
      </c>
      <c r="AE162" t="s">
        <v>6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t="s">
        <v>7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9</v>
      </c>
      <c r="AR162" s="1">
        <v>1.00881858E-4</v>
      </c>
      <c r="AS162" s="1">
        <v>8.2094377399999996E-26</v>
      </c>
      <c r="AT162">
        <v>7</v>
      </c>
      <c r="AU162" t="s">
        <v>10</v>
      </c>
      <c r="AV162">
        <v>1</v>
      </c>
      <c r="AW162">
        <v>1</v>
      </c>
      <c r="AX162">
        <v>0</v>
      </c>
      <c r="AY162">
        <v>0</v>
      </c>
      <c r="AZ162">
        <v>2</v>
      </c>
      <c r="BA162" t="s">
        <v>8</v>
      </c>
      <c r="BB162" t="s">
        <v>4</v>
      </c>
      <c r="BC162" t="s">
        <v>10</v>
      </c>
      <c r="BD162">
        <v>0</v>
      </c>
      <c r="BE162">
        <v>0</v>
      </c>
      <c r="BF162">
        <v>0</v>
      </c>
      <c r="BG162">
        <v>0</v>
      </c>
      <c r="BH162">
        <v>0</v>
      </c>
      <c r="BI162" t="s">
        <v>9</v>
      </c>
      <c r="BJ162">
        <v>-5.7849999999999997E-5</v>
      </c>
      <c r="BK162">
        <v>0</v>
      </c>
      <c r="BL162">
        <v>8.2650000000000003E-5</v>
      </c>
      <c r="BM162" s="2">
        <f t="shared" si="2"/>
        <v>4.9438389959113785E-7</v>
      </c>
    </row>
    <row r="163" spans="1:65" x14ac:dyDescent="0.35">
      <c r="A163">
        <v>0</v>
      </c>
      <c r="B163" t="s">
        <v>3</v>
      </c>
      <c r="C163" t="s">
        <v>4</v>
      </c>
      <c r="D163">
        <v>0</v>
      </c>
      <c r="E163" t="s">
        <v>3</v>
      </c>
      <c r="F163" t="s">
        <v>5</v>
      </c>
      <c r="G163">
        <v>3521.2373010000001</v>
      </c>
      <c r="H163" t="s">
        <v>4</v>
      </c>
      <c r="I163">
        <v>990.16341899999998</v>
      </c>
      <c r="J163">
        <v>2531.0738820000001</v>
      </c>
      <c r="K163" t="s">
        <v>6</v>
      </c>
      <c r="L163" t="s">
        <v>7</v>
      </c>
      <c r="M163" t="s">
        <v>8</v>
      </c>
      <c r="N163" t="s">
        <v>6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7</v>
      </c>
      <c r="U163">
        <v>1</v>
      </c>
      <c r="V163">
        <v>0</v>
      </c>
      <c r="W163">
        <v>0</v>
      </c>
      <c r="X163">
        <v>2</v>
      </c>
      <c r="Y163">
        <v>0</v>
      </c>
      <c r="Z163" t="s">
        <v>21</v>
      </c>
      <c r="AA163" t="s">
        <v>4</v>
      </c>
      <c r="AB163" t="s">
        <v>6</v>
      </c>
      <c r="AC163" t="s">
        <v>7</v>
      </c>
      <c r="AD163" t="s">
        <v>8</v>
      </c>
      <c r="AE163" t="s">
        <v>6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t="s">
        <v>7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9</v>
      </c>
      <c r="AR163" s="1">
        <v>5.2798436199999997E-4</v>
      </c>
      <c r="AS163" s="1">
        <v>1.8956622600000001E-24</v>
      </c>
      <c r="AT163">
        <v>7</v>
      </c>
      <c r="AU163" t="s">
        <v>10</v>
      </c>
      <c r="AV163">
        <v>1</v>
      </c>
      <c r="AW163">
        <v>0</v>
      </c>
      <c r="AX163">
        <v>0</v>
      </c>
      <c r="AY163">
        <v>2</v>
      </c>
      <c r="AZ163">
        <v>0</v>
      </c>
      <c r="BA163" t="s">
        <v>21</v>
      </c>
      <c r="BB163" t="s">
        <v>4</v>
      </c>
      <c r="BC163" t="s">
        <v>10</v>
      </c>
      <c r="BD163">
        <v>0</v>
      </c>
      <c r="BE163">
        <v>0</v>
      </c>
      <c r="BF163">
        <v>0</v>
      </c>
      <c r="BG163">
        <v>0</v>
      </c>
      <c r="BH163">
        <v>0</v>
      </c>
      <c r="BI163" t="s">
        <v>9</v>
      </c>
      <c r="BJ163">
        <v>-4.1310000000000003E-5</v>
      </c>
      <c r="BK163">
        <v>0</v>
      </c>
      <c r="BL163">
        <v>-5.2636999999999996E-4</v>
      </c>
      <c r="BM163" s="2">
        <f t="shared" si="2"/>
        <v>1.1415945038966209E-5</v>
      </c>
    </row>
    <row r="164" spans="1:65" x14ac:dyDescent="0.35">
      <c r="A164">
        <v>0</v>
      </c>
      <c r="B164" t="s">
        <v>3</v>
      </c>
      <c r="C164" t="s">
        <v>4</v>
      </c>
      <c r="D164">
        <v>0</v>
      </c>
      <c r="E164" t="s">
        <v>3</v>
      </c>
      <c r="F164" t="s">
        <v>5</v>
      </c>
      <c r="G164">
        <v>1406.3629089999999</v>
      </c>
      <c r="H164" t="s">
        <v>4</v>
      </c>
      <c r="I164">
        <v>990.16341899999998</v>
      </c>
      <c r="J164">
        <v>416.19949000000003</v>
      </c>
      <c r="K164" t="s">
        <v>6</v>
      </c>
      <c r="L164" t="s">
        <v>7</v>
      </c>
      <c r="M164" t="s">
        <v>8</v>
      </c>
      <c r="N164" t="s">
        <v>6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7</v>
      </c>
      <c r="U164">
        <v>0</v>
      </c>
      <c r="V164">
        <v>0</v>
      </c>
      <c r="W164">
        <v>0</v>
      </c>
      <c r="X164">
        <v>1</v>
      </c>
      <c r="Y164">
        <v>0</v>
      </c>
      <c r="Z164" t="s">
        <v>9</v>
      </c>
      <c r="AA164" t="s">
        <v>4</v>
      </c>
      <c r="AB164" t="s">
        <v>6</v>
      </c>
      <c r="AC164" t="s">
        <v>7</v>
      </c>
      <c r="AD164" t="s">
        <v>8</v>
      </c>
      <c r="AE164" t="s">
        <v>6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7</v>
      </c>
      <c r="AL164">
        <v>0</v>
      </c>
      <c r="AM164">
        <v>0</v>
      </c>
      <c r="AN164">
        <v>0</v>
      </c>
      <c r="AO164">
        <v>0</v>
      </c>
      <c r="AP164">
        <v>0</v>
      </c>
      <c r="AQ164" t="s">
        <v>9</v>
      </c>
      <c r="AR164" s="1">
        <v>0.15456993199999999</v>
      </c>
      <c r="AS164" s="1">
        <v>2.3134169300000001E-20</v>
      </c>
      <c r="AT164">
        <v>9</v>
      </c>
      <c r="AU164" t="s">
        <v>10</v>
      </c>
      <c r="AV164">
        <v>0</v>
      </c>
      <c r="AW164">
        <v>0</v>
      </c>
      <c r="AX164">
        <v>0</v>
      </c>
      <c r="AY164">
        <v>1</v>
      </c>
      <c r="AZ164">
        <v>0</v>
      </c>
      <c r="BA164" t="s">
        <v>9</v>
      </c>
      <c r="BB164" t="s">
        <v>4</v>
      </c>
      <c r="BC164" t="s">
        <v>10</v>
      </c>
      <c r="BD164">
        <v>0</v>
      </c>
      <c r="BE164">
        <v>0</v>
      </c>
      <c r="BF164">
        <v>0</v>
      </c>
      <c r="BG164">
        <v>0</v>
      </c>
      <c r="BH164">
        <v>0</v>
      </c>
      <c r="BI164" t="s">
        <v>9</v>
      </c>
      <c r="BJ164">
        <v>0.10688253</v>
      </c>
      <c r="BK164">
        <v>0</v>
      </c>
      <c r="BL164">
        <v>0.11166015</v>
      </c>
      <c r="BM164" s="2">
        <f t="shared" si="2"/>
        <v>0.13931722481563744</v>
      </c>
    </row>
    <row r="165" spans="1:65" x14ac:dyDescent="0.35">
      <c r="A165">
        <v>0</v>
      </c>
      <c r="B165" t="s">
        <v>11</v>
      </c>
      <c r="C165" t="s">
        <v>4</v>
      </c>
      <c r="D165">
        <v>0</v>
      </c>
      <c r="E165" t="s">
        <v>3</v>
      </c>
      <c r="F165" t="s">
        <v>5</v>
      </c>
      <c r="G165">
        <v>2229.444974</v>
      </c>
      <c r="H165" t="s">
        <v>4</v>
      </c>
      <c r="I165">
        <v>990.16341899999998</v>
      </c>
      <c r="J165">
        <v>1239.281555</v>
      </c>
      <c r="K165" t="s">
        <v>6</v>
      </c>
      <c r="L165" t="s">
        <v>7</v>
      </c>
      <c r="M165" t="s">
        <v>8</v>
      </c>
      <c r="N165" t="s">
        <v>6</v>
      </c>
      <c r="O165" t="s">
        <v>3</v>
      </c>
      <c r="P165" t="s">
        <v>3</v>
      </c>
      <c r="Q165" t="s">
        <v>3</v>
      </c>
      <c r="R165" t="s">
        <v>3</v>
      </c>
      <c r="S165" t="s">
        <v>11</v>
      </c>
      <c r="T165" t="s">
        <v>7</v>
      </c>
      <c r="U165">
        <v>2</v>
      </c>
      <c r="V165">
        <v>0</v>
      </c>
      <c r="W165">
        <v>0</v>
      </c>
      <c r="X165">
        <v>0</v>
      </c>
      <c r="Y165">
        <v>0</v>
      </c>
      <c r="Z165" t="s">
        <v>18</v>
      </c>
      <c r="AA165" t="s">
        <v>4</v>
      </c>
      <c r="AB165" t="s">
        <v>6</v>
      </c>
      <c r="AC165" t="s">
        <v>7</v>
      </c>
      <c r="AD165" t="s">
        <v>8</v>
      </c>
      <c r="AE165" t="s">
        <v>6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7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9</v>
      </c>
      <c r="AR165" s="1">
        <v>1.7681739500000001E-4</v>
      </c>
      <c r="AS165" s="1">
        <v>1.03834137E-25</v>
      </c>
      <c r="AT165">
        <v>7</v>
      </c>
      <c r="AU165" t="s">
        <v>10</v>
      </c>
      <c r="AV165">
        <v>2</v>
      </c>
      <c r="AW165">
        <v>0</v>
      </c>
      <c r="AX165">
        <v>0</v>
      </c>
      <c r="AY165">
        <v>0</v>
      </c>
      <c r="AZ165">
        <v>0</v>
      </c>
      <c r="BA165" t="s">
        <v>18</v>
      </c>
      <c r="BB165" t="s">
        <v>4</v>
      </c>
      <c r="BC165" t="s">
        <v>10</v>
      </c>
      <c r="BD165">
        <v>0</v>
      </c>
      <c r="BE165">
        <v>0</v>
      </c>
      <c r="BF165">
        <v>0</v>
      </c>
      <c r="BG165">
        <v>0</v>
      </c>
      <c r="BH165">
        <v>0</v>
      </c>
      <c r="BI165" t="s">
        <v>9</v>
      </c>
      <c r="BJ165">
        <v>0</v>
      </c>
      <c r="BK165">
        <v>-1.7682E-4</v>
      </c>
      <c r="BL165">
        <v>0</v>
      </c>
      <c r="BM165" s="2">
        <f t="shared" si="2"/>
        <v>6.2530379286048961E-7</v>
      </c>
    </row>
    <row r="166" spans="1:65" x14ac:dyDescent="0.35">
      <c r="A166">
        <v>0</v>
      </c>
      <c r="B166" t="s">
        <v>3</v>
      </c>
      <c r="C166" t="s">
        <v>4</v>
      </c>
      <c r="D166">
        <v>0</v>
      </c>
      <c r="E166" t="s">
        <v>3</v>
      </c>
      <c r="F166" t="s">
        <v>5</v>
      </c>
      <c r="G166">
        <v>3909.2248570000002</v>
      </c>
      <c r="H166" t="s">
        <v>4</v>
      </c>
      <c r="I166">
        <v>990.16341899999998</v>
      </c>
      <c r="J166">
        <v>2919.0614380000002</v>
      </c>
      <c r="K166" t="s">
        <v>6</v>
      </c>
      <c r="L166" t="s">
        <v>7</v>
      </c>
      <c r="M166" t="s">
        <v>8</v>
      </c>
      <c r="N166" t="s">
        <v>6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7</v>
      </c>
      <c r="U166">
        <v>2</v>
      </c>
      <c r="V166">
        <v>0</v>
      </c>
      <c r="W166">
        <v>0</v>
      </c>
      <c r="X166">
        <v>3</v>
      </c>
      <c r="Y166">
        <v>0</v>
      </c>
      <c r="Z166" t="s">
        <v>15</v>
      </c>
      <c r="AA166" t="s">
        <v>4</v>
      </c>
      <c r="AB166" t="s">
        <v>6</v>
      </c>
      <c r="AC166" t="s">
        <v>7</v>
      </c>
      <c r="AD166" t="s">
        <v>8</v>
      </c>
      <c r="AE166" t="s">
        <v>6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7</v>
      </c>
      <c r="AL166">
        <v>0</v>
      </c>
      <c r="AM166">
        <v>0</v>
      </c>
      <c r="AN166">
        <v>0</v>
      </c>
      <c r="AO166">
        <v>0</v>
      </c>
      <c r="AP166">
        <v>0</v>
      </c>
      <c r="AQ166" t="s">
        <v>9</v>
      </c>
      <c r="AR166" s="1">
        <v>8.3717487800000003E-5</v>
      </c>
      <c r="AS166" s="1">
        <v>5.4965659699999998E-26</v>
      </c>
      <c r="AT166">
        <v>7</v>
      </c>
      <c r="AU166" t="s">
        <v>10</v>
      </c>
      <c r="AV166">
        <v>2</v>
      </c>
      <c r="AW166">
        <v>0</v>
      </c>
      <c r="AX166">
        <v>0</v>
      </c>
      <c r="AY166">
        <v>3</v>
      </c>
      <c r="AZ166">
        <v>0</v>
      </c>
      <c r="BA166" t="s">
        <v>15</v>
      </c>
      <c r="BB166" t="s">
        <v>4</v>
      </c>
      <c r="BC166" t="s">
        <v>10</v>
      </c>
      <c r="BD166">
        <v>0</v>
      </c>
      <c r="BE166">
        <v>0</v>
      </c>
      <c r="BF166">
        <v>0</v>
      </c>
      <c r="BG166">
        <v>0</v>
      </c>
      <c r="BH166">
        <v>0</v>
      </c>
      <c r="BI166" t="s">
        <v>9</v>
      </c>
      <c r="BJ166">
        <v>8.2039999999999994E-5</v>
      </c>
      <c r="BK166">
        <v>0</v>
      </c>
      <c r="BL166">
        <v>1.666E-5</v>
      </c>
      <c r="BM166" s="2">
        <f t="shared" si="2"/>
        <v>3.3101094187828568E-7</v>
      </c>
    </row>
    <row r="167" spans="1:65" x14ac:dyDescent="0.35">
      <c r="A167">
        <v>0</v>
      </c>
      <c r="B167" t="s">
        <v>3</v>
      </c>
      <c r="C167" t="s">
        <v>4</v>
      </c>
      <c r="D167">
        <v>0</v>
      </c>
      <c r="E167" t="s">
        <v>3</v>
      </c>
      <c r="F167" t="s">
        <v>5</v>
      </c>
      <c r="G167">
        <v>4782.7041589999999</v>
      </c>
      <c r="H167" t="s">
        <v>4</v>
      </c>
      <c r="I167">
        <v>990.16341899999998</v>
      </c>
      <c r="J167">
        <v>3792.5407399999999</v>
      </c>
      <c r="K167" t="s">
        <v>6</v>
      </c>
      <c r="L167" t="s">
        <v>7</v>
      </c>
      <c r="M167" t="s">
        <v>8</v>
      </c>
      <c r="N167" t="s">
        <v>6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7</v>
      </c>
      <c r="U167">
        <v>0</v>
      </c>
      <c r="V167">
        <v>3</v>
      </c>
      <c r="W167">
        <v>0</v>
      </c>
      <c r="X167">
        <v>0</v>
      </c>
      <c r="Y167">
        <v>0</v>
      </c>
      <c r="Z167" t="s">
        <v>15</v>
      </c>
      <c r="AA167" t="s">
        <v>4</v>
      </c>
      <c r="AB167" t="s">
        <v>6</v>
      </c>
      <c r="AC167" t="s">
        <v>7</v>
      </c>
      <c r="AD167" t="s">
        <v>8</v>
      </c>
      <c r="AE167" t="s">
        <v>6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t="s">
        <v>7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9</v>
      </c>
      <c r="AR167" s="1">
        <v>9.0403143800000006E-5</v>
      </c>
      <c r="AS167" s="1">
        <v>8.3274777200000001E-26</v>
      </c>
      <c r="AT167">
        <v>8</v>
      </c>
      <c r="AU167" t="s">
        <v>10</v>
      </c>
      <c r="AV167">
        <v>0</v>
      </c>
      <c r="AW167">
        <v>3</v>
      </c>
      <c r="AX167">
        <v>0</v>
      </c>
      <c r="AY167">
        <v>0</v>
      </c>
      <c r="AZ167">
        <v>0</v>
      </c>
      <c r="BA167" t="s">
        <v>15</v>
      </c>
      <c r="BB167" t="s">
        <v>4</v>
      </c>
      <c r="BC167" t="s">
        <v>10</v>
      </c>
      <c r="BD167">
        <v>0</v>
      </c>
      <c r="BE167">
        <v>0</v>
      </c>
      <c r="BF167">
        <v>0</v>
      </c>
      <c r="BG167">
        <v>0</v>
      </c>
      <c r="BH167">
        <v>0</v>
      </c>
      <c r="BI167" t="s">
        <v>9</v>
      </c>
      <c r="BJ167">
        <v>5.6390000000000001E-5</v>
      </c>
      <c r="BK167">
        <v>0</v>
      </c>
      <c r="BL167">
        <v>-7.0660000000000004E-5</v>
      </c>
      <c r="BM167" s="2">
        <f t="shared" si="2"/>
        <v>5.0149243338702975E-7</v>
      </c>
    </row>
    <row r="168" spans="1:65" x14ac:dyDescent="0.35">
      <c r="A168">
        <v>0</v>
      </c>
      <c r="B168" t="s">
        <v>3</v>
      </c>
      <c r="C168" t="s">
        <v>4</v>
      </c>
      <c r="D168">
        <v>0</v>
      </c>
      <c r="E168" t="s">
        <v>3</v>
      </c>
      <c r="F168" t="s">
        <v>5</v>
      </c>
      <c r="G168">
        <v>2652.5399430000002</v>
      </c>
      <c r="H168" t="s">
        <v>4</v>
      </c>
      <c r="I168">
        <v>990.16341899999998</v>
      </c>
      <c r="J168">
        <v>1662.3765229999999</v>
      </c>
      <c r="K168" t="s">
        <v>6</v>
      </c>
      <c r="L168" t="s">
        <v>7</v>
      </c>
      <c r="M168" t="s">
        <v>8</v>
      </c>
      <c r="N168" t="s">
        <v>6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7</v>
      </c>
      <c r="U168">
        <v>1</v>
      </c>
      <c r="V168">
        <v>0</v>
      </c>
      <c r="W168">
        <v>0</v>
      </c>
      <c r="X168">
        <v>2</v>
      </c>
      <c r="Y168">
        <v>0</v>
      </c>
      <c r="Z168" t="s">
        <v>9</v>
      </c>
      <c r="AA168" t="s">
        <v>4</v>
      </c>
      <c r="AB168" t="s">
        <v>6</v>
      </c>
      <c r="AC168" t="s">
        <v>7</v>
      </c>
      <c r="AD168" t="s">
        <v>8</v>
      </c>
      <c r="AE168" t="s">
        <v>6</v>
      </c>
      <c r="AF168" t="s">
        <v>3</v>
      </c>
      <c r="AG168" t="s">
        <v>3</v>
      </c>
      <c r="AH168" t="s">
        <v>3</v>
      </c>
      <c r="AI168" t="s">
        <v>3</v>
      </c>
      <c r="AJ168" t="s">
        <v>3</v>
      </c>
      <c r="AK168" t="s">
        <v>7</v>
      </c>
      <c r="AL168">
        <v>0</v>
      </c>
      <c r="AM168">
        <v>0</v>
      </c>
      <c r="AN168">
        <v>0</v>
      </c>
      <c r="AO168">
        <v>0</v>
      </c>
      <c r="AP168">
        <v>0</v>
      </c>
      <c r="AQ168" t="s">
        <v>9</v>
      </c>
      <c r="AR168" s="1">
        <v>3.9168595400000004E-3</v>
      </c>
      <c r="AS168" s="1">
        <v>6.8498268399999999E-23</v>
      </c>
      <c r="AT168">
        <v>7</v>
      </c>
      <c r="AU168" t="s">
        <v>10</v>
      </c>
      <c r="AV168">
        <v>1</v>
      </c>
      <c r="AW168">
        <v>0</v>
      </c>
      <c r="AX168">
        <v>0</v>
      </c>
      <c r="AY168">
        <v>2</v>
      </c>
      <c r="AZ168">
        <v>0</v>
      </c>
      <c r="BA168" t="s">
        <v>9</v>
      </c>
      <c r="BB168" t="s">
        <v>4</v>
      </c>
      <c r="BC168" t="s">
        <v>10</v>
      </c>
      <c r="BD168">
        <v>0</v>
      </c>
      <c r="BE168">
        <v>0</v>
      </c>
      <c r="BF168">
        <v>0</v>
      </c>
      <c r="BG168">
        <v>0</v>
      </c>
      <c r="BH168">
        <v>0</v>
      </c>
      <c r="BI168" t="s">
        <v>9</v>
      </c>
      <c r="BJ168">
        <v>1.03137E-3</v>
      </c>
      <c r="BK168">
        <v>0</v>
      </c>
      <c r="BL168">
        <v>-3.7786299999999998E-3</v>
      </c>
      <c r="BM168" s="2">
        <f t="shared" si="2"/>
        <v>4.1250621686099068E-4</v>
      </c>
    </row>
    <row r="169" spans="1:65" x14ac:dyDescent="0.35">
      <c r="A169">
        <v>0</v>
      </c>
      <c r="B169" t="s">
        <v>11</v>
      </c>
      <c r="C169" t="s">
        <v>4</v>
      </c>
      <c r="D169">
        <v>0</v>
      </c>
      <c r="E169" t="s">
        <v>3</v>
      </c>
      <c r="F169" t="s">
        <v>5</v>
      </c>
      <c r="G169">
        <v>3663.8945910000002</v>
      </c>
      <c r="H169" t="s">
        <v>4</v>
      </c>
      <c r="I169">
        <v>990.16341899999998</v>
      </c>
      <c r="J169">
        <v>2673.7311719999998</v>
      </c>
      <c r="K169" t="s">
        <v>6</v>
      </c>
      <c r="L169" t="s">
        <v>7</v>
      </c>
      <c r="M169" t="s">
        <v>8</v>
      </c>
      <c r="N169" t="s">
        <v>6</v>
      </c>
      <c r="O169" t="s">
        <v>3</v>
      </c>
      <c r="P169" t="s">
        <v>3</v>
      </c>
      <c r="Q169" t="s">
        <v>3</v>
      </c>
      <c r="R169" t="s">
        <v>3</v>
      </c>
      <c r="S169" t="s">
        <v>11</v>
      </c>
      <c r="T169" t="s">
        <v>7</v>
      </c>
      <c r="U169">
        <v>1</v>
      </c>
      <c r="V169">
        <v>0</v>
      </c>
      <c r="W169">
        <v>0</v>
      </c>
      <c r="X169">
        <v>0</v>
      </c>
      <c r="Y169">
        <v>0</v>
      </c>
      <c r="Z169" t="s">
        <v>23</v>
      </c>
      <c r="AA169" t="s">
        <v>4</v>
      </c>
      <c r="AB169" t="s">
        <v>6</v>
      </c>
      <c r="AC169" t="s">
        <v>7</v>
      </c>
      <c r="AD169" t="s">
        <v>8</v>
      </c>
      <c r="AE169" t="s">
        <v>6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7</v>
      </c>
      <c r="AL169">
        <v>0</v>
      </c>
      <c r="AM169">
        <v>0</v>
      </c>
      <c r="AN169">
        <v>0</v>
      </c>
      <c r="AO169">
        <v>0</v>
      </c>
      <c r="AP169">
        <v>0</v>
      </c>
      <c r="AQ169" t="s">
        <v>9</v>
      </c>
      <c r="AR169" s="1">
        <v>1.66983339E-4</v>
      </c>
      <c r="AS169" s="1">
        <v>2.0029915200000001E-25</v>
      </c>
      <c r="AT169">
        <v>9</v>
      </c>
      <c r="AU169" t="s">
        <v>10</v>
      </c>
      <c r="AV169">
        <v>1</v>
      </c>
      <c r="AW169">
        <v>0</v>
      </c>
      <c r="AX169">
        <v>0</v>
      </c>
      <c r="AY169">
        <v>0</v>
      </c>
      <c r="AZ169">
        <v>0</v>
      </c>
      <c r="BA169" t="s">
        <v>23</v>
      </c>
      <c r="BB169" t="s">
        <v>4</v>
      </c>
      <c r="BC169" t="s">
        <v>10</v>
      </c>
      <c r="BD169">
        <v>0</v>
      </c>
      <c r="BE169">
        <v>0</v>
      </c>
      <c r="BF169">
        <v>0</v>
      </c>
      <c r="BG169">
        <v>0</v>
      </c>
      <c r="BH169">
        <v>0</v>
      </c>
      <c r="BI169" t="s">
        <v>9</v>
      </c>
      <c r="BJ169">
        <v>0</v>
      </c>
      <c r="BK169">
        <v>1.6698E-4</v>
      </c>
      <c r="BL169">
        <v>0</v>
      </c>
      <c r="BM169" s="2">
        <f t="shared" si="2"/>
        <v>1.2062296954646016E-6</v>
      </c>
    </row>
    <row r="170" spans="1:65" x14ac:dyDescent="0.35">
      <c r="A170">
        <v>0</v>
      </c>
      <c r="B170" t="s">
        <v>11</v>
      </c>
      <c r="C170" t="s">
        <v>4</v>
      </c>
      <c r="D170">
        <v>0</v>
      </c>
      <c r="E170" t="s">
        <v>3</v>
      </c>
      <c r="F170" t="s">
        <v>5</v>
      </c>
      <c r="G170">
        <v>4508.0662000000002</v>
      </c>
      <c r="H170" t="s">
        <v>4</v>
      </c>
      <c r="I170">
        <v>990.16341899999998</v>
      </c>
      <c r="J170">
        <v>3517.9027809999998</v>
      </c>
      <c r="K170" t="s">
        <v>6</v>
      </c>
      <c r="L170" t="s">
        <v>7</v>
      </c>
      <c r="M170" t="s">
        <v>8</v>
      </c>
      <c r="N170" t="s">
        <v>6</v>
      </c>
      <c r="O170" t="s">
        <v>3</v>
      </c>
      <c r="P170" t="s">
        <v>3</v>
      </c>
      <c r="Q170" t="s">
        <v>3</v>
      </c>
      <c r="R170" t="s">
        <v>3</v>
      </c>
      <c r="S170" t="s">
        <v>11</v>
      </c>
      <c r="T170" t="s">
        <v>7</v>
      </c>
      <c r="U170">
        <v>0</v>
      </c>
      <c r="V170">
        <v>1</v>
      </c>
      <c r="W170">
        <v>0</v>
      </c>
      <c r="X170">
        <v>2</v>
      </c>
      <c r="Y170">
        <v>1</v>
      </c>
      <c r="Z170" t="s">
        <v>14</v>
      </c>
      <c r="AA170" t="s">
        <v>4</v>
      </c>
      <c r="AB170" t="s">
        <v>6</v>
      </c>
      <c r="AC170" t="s">
        <v>7</v>
      </c>
      <c r="AD170" t="s">
        <v>8</v>
      </c>
      <c r="AE170" t="s">
        <v>6</v>
      </c>
      <c r="AF170" t="s">
        <v>3</v>
      </c>
      <c r="AG170" t="s">
        <v>3</v>
      </c>
      <c r="AH170" t="s">
        <v>3</v>
      </c>
      <c r="AI170" t="s">
        <v>3</v>
      </c>
      <c r="AJ170" t="s">
        <v>3</v>
      </c>
      <c r="AK170" t="s">
        <v>7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9</v>
      </c>
      <c r="AR170" s="1">
        <v>1.3791362500000001E-6</v>
      </c>
      <c r="AS170" s="1">
        <v>1.79768803E-29</v>
      </c>
      <c r="AT170">
        <v>7</v>
      </c>
      <c r="AU170" t="s">
        <v>10</v>
      </c>
      <c r="AV170">
        <v>0</v>
      </c>
      <c r="AW170">
        <v>1</v>
      </c>
      <c r="AX170">
        <v>0</v>
      </c>
      <c r="AY170">
        <v>2</v>
      </c>
      <c r="AZ170">
        <v>1</v>
      </c>
      <c r="BA170" t="s">
        <v>14</v>
      </c>
      <c r="BB170" t="s">
        <v>4</v>
      </c>
      <c r="BC170" t="s">
        <v>10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9</v>
      </c>
      <c r="BJ170">
        <v>0</v>
      </c>
      <c r="BK170">
        <v>1.3799999999999999E-6</v>
      </c>
      <c r="BL170">
        <v>0</v>
      </c>
      <c r="BM170" s="2">
        <f t="shared" si="2"/>
        <v>1.0825930431134624E-10</v>
      </c>
    </row>
    <row r="171" spans="1:65" x14ac:dyDescent="0.35">
      <c r="A171">
        <v>0</v>
      </c>
      <c r="B171" t="s">
        <v>3</v>
      </c>
      <c r="C171" t="s">
        <v>4</v>
      </c>
      <c r="D171">
        <v>0</v>
      </c>
      <c r="E171" t="s">
        <v>3</v>
      </c>
      <c r="F171" t="s">
        <v>5</v>
      </c>
      <c r="G171">
        <v>2961.487521</v>
      </c>
      <c r="H171" t="s">
        <v>4</v>
      </c>
      <c r="I171">
        <v>990.16341899999998</v>
      </c>
      <c r="J171">
        <v>1971.324102</v>
      </c>
      <c r="K171" t="s">
        <v>6</v>
      </c>
      <c r="L171" t="s">
        <v>7</v>
      </c>
      <c r="M171" t="s">
        <v>8</v>
      </c>
      <c r="N171" t="s">
        <v>6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7</v>
      </c>
      <c r="U171">
        <v>2</v>
      </c>
      <c r="V171">
        <v>1</v>
      </c>
      <c r="W171">
        <v>0</v>
      </c>
      <c r="X171">
        <v>0</v>
      </c>
      <c r="Y171">
        <v>0</v>
      </c>
      <c r="Z171" t="s">
        <v>8</v>
      </c>
      <c r="AA171" t="s">
        <v>4</v>
      </c>
      <c r="AB171" t="s">
        <v>6</v>
      </c>
      <c r="AC171" t="s">
        <v>7</v>
      </c>
      <c r="AD171" t="s">
        <v>8</v>
      </c>
      <c r="AE171" t="s">
        <v>6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7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9</v>
      </c>
      <c r="AR171" s="1">
        <v>7.8747059500000003E-5</v>
      </c>
      <c r="AS171" s="1">
        <v>3.2840589799999999E-26</v>
      </c>
      <c r="AT171">
        <v>8</v>
      </c>
      <c r="AU171" t="s">
        <v>10</v>
      </c>
      <c r="AV171">
        <v>2</v>
      </c>
      <c r="AW171">
        <v>1</v>
      </c>
      <c r="AX171">
        <v>0</v>
      </c>
      <c r="AY171">
        <v>0</v>
      </c>
      <c r="AZ171">
        <v>0</v>
      </c>
      <c r="BA171" t="s">
        <v>8</v>
      </c>
      <c r="BB171" t="s">
        <v>4</v>
      </c>
      <c r="BC171" t="s">
        <v>10</v>
      </c>
      <c r="BD171">
        <v>0</v>
      </c>
      <c r="BE171">
        <v>0</v>
      </c>
      <c r="BF171">
        <v>0</v>
      </c>
      <c r="BG171">
        <v>0</v>
      </c>
      <c r="BH171">
        <v>0</v>
      </c>
      <c r="BI171" t="s">
        <v>9</v>
      </c>
      <c r="BJ171">
        <v>3.3000000000000003E-5</v>
      </c>
      <c r="BK171">
        <v>0</v>
      </c>
      <c r="BL171">
        <v>-7.1500000000000003E-5</v>
      </c>
      <c r="BM171" s="2">
        <f t="shared" si="2"/>
        <v>1.9777065573064384E-7</v>
      </c>
    </row>
    <row r="172" spans="1:65" x14ac:dyDescent="0.35">
      <c r="A172">
        <v>0</v>
      </c>
      <c r="B172" t="s">
        <v>3</v>
      </c>
      <c r="C172" t="s">
        <v>4</v>
      </c>
      <c r="D172">
        <v>0</v>
      </c>
      <c r="E172" t="s">
        <v>3</v>
      </c>
      <c r="F172" t="s">
        <v>5</v>
      </c>
      <c r="G172">
        <v>4949.7223119999999</v>
      </c>
      <c r="H172" t="s">
        <v>4</v>
      </c>
      <c r="I172">
        <v>990.16341899999998</v>
      </c>
      <c r="J172">
        <v>3959.558892</v>
      </c>
      <c r="K172" t="s">
        <v>6</v>
      </c>
      <c r="L172" t="s">
        <v>7</v>
      </c>
      <c r="M172" t="s">
        <v>8</v>
      </c>
      <c r="N172" t="s">
        <v>6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7</v>
      </c>
      <c r="U172">
        <v>2</v>
      </c>
      <c r="V172">
        <v>0</v>
      </c>
      <c r="W172">
        <v>0</v>
      </c>
      <c r="X172">
        <v>1</v>
      </c>
      <c r="Y172">
        <v>1</v>
      </c>
      <c r="Z172" t="s">
        <v>21</v>
      </c>
      <c r="AA172" t="s">
        <v>4</v>
      </c>
      <c r="AB172" t="s">
        <v>6</v>
      </c>
      <c r="AC172" t="s">
        <v>7</v>
      </c>
      <c r="AD172" t="s">
        <v>8</v>
      </c>
      <c r="AE172" t="s">
        <v>6</v>
      </c>
      <c r="AF172" t="s">
        <v>3</v>
      </c>
      <c r="AG172" t="s">
        <v>3</v>
      </c>
      <c r="AH172" t="s">
        <v>3</v>
      </c>
      <c r="AI172" t="s">
        <v>3</v>
      </c>
      <c r="AJ172" t="s">
        <v>3</v>
      </c>
      <c r="AK172" t="s">
        <v>7</v>
      </c>
      <c r="AL172">
        <v>0</v>
      </c>
      <c r="AM172">
        <v>0</v>
      </c>
      <c r="AN172">
        <v>0</v>
      </c>
      <c r="AO172">
        <v>0</v>
      </c>
      <c r="AP172">
        <v>0</v>
      </c>
      <c r="AQ172" t="s">
        <v>9</v>
      </c>
      <c r="AR172" s="1">
        <v>4.1356413399999998E-5</v>
      </c>
      <c r="AS172" s="1">
        <v>1.8194859400000001E-26</v>
      </c>
      <c r="AT172">
        <v>8</v>
      </c>
      <c r="AU172" t="s">
        <v>10</v>
      </c>
      <c r="AV172">
        <v>2</v>
      </c>
      <c r="AW172">
        <v>0</v>
      </c>
      <c r="AX172">
        <v>0</v>
      </c>
      <c r="AY172">
        <v>1</v>
      </c>
      <c r="AZ172">
        <v>1</v>
      </c>
      <c r="BA172" t="s">
        <v>21</v>
      </c>
      <c r="BB172" t="s">
        <v>4</v>
      </c>
      <c r="BC172" t="s">
        <v>10</v>
      </c>
      <c r="BD172">
        <v>0</v>
      </c>
      <c r="BE172">
        <v>0</v>
      </c>
      <c r="BF172">
        <v>0</v>
      </c>
      <c r="BG172">
        <v>0</v>
      </c>
      <c r="BH172">
        <v>0</v>
      </c>
      <c r="BI172" t="s">
        <v>9</v>
      </c>
      <c r="BJ172">
        <v>4.6E-6</v>
      </c>
      <c r="BK172">
        <v>0</v>
      </c>
      <c r="BL172">
        <v>-4.1100000000000003E-5</v>
      </c>
      <c r="BM172" s="2">
        <f t="shared" si="2"/>
        <v>1.0957200514300353E-7</v>
      </c>
    </row>
    <row r="173" spans="1:65" x14ac:dyDescent="0.35">
      <c r="A173">
        <v>0</v>
      </c>
      <c r="B173" t="s">
        <v>3</v>
      </c>
      <c r="C173" t="s">
        <v>4</v>
      </c>
      <c r="D173">
        <v>0</v>
      </c>
      <c r="E173" t="s">
        <v>3</v>
      </c>
      <c r="F173" t="s">
        <v>5</v>
      </c>
      <c r="G173">
        <v>4111.6395409999996</v>
      </c>
      <c r="H173" t="s">
        <v>4</v>
      </c>
      <c r="I173">
        <v>990.16341899999998</v>
      </c>
      <c r="J173">
        <v>3121.476122</v>
      </c>
      <c r="K173" t="s">
        <v>6</v>
      </c>
      <c r="L173" t="s">
        <v>7</v>
      </c>
      <c r="M173" t="s">
        <v>8</v>
      </c>
      <c r="N173" t="s">
        <v>6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7</v>
      </c>
      <c r="U173">
        <v>0</v>
      </c>
      <c r="V173">
        <v>0</v>
      </c>
      <c r="W173">
        <v>0</v>
      </c>
      <c r="X173">
        <v>5</v>
      </c>
      <c r="Y173">
        <v>0</v>
      </c>
      <c r="Z173" t="s">
        <v>24</v>
      </c>
      <c r="AA173" t="s">
        <v>4</v>
      </c>
      <c r="AB173" t="s">
        <v>6</v>
      </c>
      <c r="AC173" t="s">
        <v>7</v>
      </c>
      <c r="AD173" t="s">
        <v>8</v>
      </c>
      <c r="AE173" t="s">
        <v>6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7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9</v>
      </c>
      <c r="AR173" s="1">
        <v>1.2362557399999999E-4</v>
      </c>
      <c r="AS173" s="1">
        <v>1.28171863E-25</v>
      </c>
      <c r="AT173">
        <v>9</v>
      </c>
      <c r="AU173" t="s">
        <v>10</v>
      </c>
      <c r="AV173">
        <v>0</v>
      </c>
      <c r="AW173">
        <v>0</v>
      </c>
      <c r="AX173">
        <v>0</v>
      </c>
      <c r="AY173">
        <v>5</v>
      </c>
      <c r="AZ173">
        <v>0</v>
      </c>
      <c r="BA173" t="s">
        <v>24</v>
      </c>
      <c r="BB173" t="s">
        <v>4</v>
      </c>
      <c r="BC173" t="s">
        <v>10</v>
      </c>
      <c r="BD173">
        <v>0</v>
      </c>
      <c r="BE173">
        <v>0</v>
      </c>
      <c r="BF173">
        <v>0</v>
      </c>
      <c r="BG173">
        <v>0</v>
      </c>
      <c r="BH173">
        <v>0</v>
      </c>
      <c r="BI173" t="s">
        <v>9</v>
      </c>
      <c r="BJ173">
        <v>-1.2139E-4</v>
      </c>
      <c r="BK173">
        <v>0</v>
      </c>
      <c r="BL173">
        <v>-2.338E-5</v>
      </c>
      <c r="BM173" s="2">
        <f t="shared" si="2"/>
        <v>7.7186900558431041E-7</v>
      </c>
    </row>
    <row r="174" spans="1:65" x14ac:dyDescent="0.35">
      <c r="A174">
        <v>0</v>
      </c>
      <c r="B174" t="s">
        <v>11</v>
      </c>
      <c r="C174" t="s">
        <v>4</v>
      </c>
      <c r="D174">
        <v>0</v>
      </c>
      <c r="E174" t="s">
        <v>3</v>
      </c>
      <c r="F174" t="s">
        <v>5</v>
      </c>
      <c r="G174">
        <v>4658.1354700000002</v>
      </c>
      <c r="H174" t="s">
        <v>4</v>
      </c>
      <c r="I174">
        <v>990.16341899999998</v>
      </c>
      <c r="J174">
        <v>3667.9720510000002</v>
      </c>
      <c r="K174" t="s">
        <v>6</v>
      </c>
      <c r="L174" t="s">
        <v>7</v>
      </c>
      <c r="M174" t="s">
        <v>8</v>
      </c>
      <c r="N174" t="s">
        <v>6</v>
      </c>
      <c r="O174" t="s">
        <v>3</v>
      </c>
      <c r="P174" t="s">
        <v>3</v>
      </c>
      <c r="Q174" t="s">
        <v>3</v>
      </c>
      <c r="R174" t="s">
        <v>3</v>
      </c>
      <c r="S174" t="s">
        <v>11</v>
      </c>
      <c r="T174" t="s">
        <v>7</v>
      </c>
      <c r="U174">
        <v>1</v>
      </c>
      <c r="V174">
        <v>2</v>
      </c>
      <c r="W174">
        <v>0</v>
      </c>
      <c r="X174">
        <v>2</v>
      </c>
      <c r="Y174">
        <v>0</v>
      </c>
      <c r="Z174" t="s">
        <v>18</v>
      </c>
      <c r="AA174" t="s">
        <v>4</v>
      </c>
      <c r="AB174" t="s">
        <v>6</v>
      </c>
      <c r="AC174" t="s">
        <v>7</v>
      </c>
      <c r="AD174" t="s">
        <v>8</v>
      </c>
      <c r="AE174" t="s">
        <v>6</v>
      </c>
      <c r="AF174" t="s">
        <v>3</v>
      </c>
      <c r="AG174" t="s">
        <v>3</v>
      </c>
      <c r="AH174" t="s">
        <v>3</v>
      </c>
      <c r="AI174" t="s">
        <v>3</v>
      </c>
      <c r="AJ174" t="s">
        <v>3</v>
      </c>
      <c r="AK174" t="s">
        <v>7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9</v>
      </c>
      <c r="AR174" s="1">
        <v>5.4217776199999998E-7</v>
      </c>
      <c r="AS174" s="1">
        <v>2.8968471E-30</v>
      </c>
      <c r="AT174">
        <v>8</v>
      </c>
      <c r="AU174" t="s">
        <v>10</v>
      </c>
      <c r="AV174">
        <v>1</v>
      </c>
      <c r="AW174">
        <v>2</v>
      </c>
      <c r="AX174">
        <v>0</v>
      </c>
      <c r="AY174">
        <v>2</v>
      </c>
      <c r="AZ174">
        <v>0</v>
      </c>
      <c r="BA174" t="s">
        <v>18</v>
      </c>
      <c r="BB174" t="s">
        <v>4</v>
      </c>
      <c r="BC174" t="s">
        <v>10</v>
      </c>
      <c r="BD174">
        <v>0</v>
      </c>
      <c r="BE174">
        <v>0</v>
      </c>
      <c r="BF174">
        <v>0</v>
      </c>
      <c r="BG174">
        <v>0</v>
      </c>
      <c r="BH174">
        <v>0</v>
      </c>
      <c r="BI174" t="s">
        <v>9</v>
      </c>
      <c r="BJ174">
        <v>0</v>
      </c>
      <c r="BK174">
        <v>5.4000000000000002E-7</v>
      </c>
      <c r="BL174">
        <v>0</v>
      </c>
      <c r="BM174" s="2">
        <f t="shared" si="2"/>
        <v>1.7445221112271679E-11</v>
      </c>
    </row>
    <row r="175" spans="1:65" x14ac:dyDescent="0.35">
      <c r="A175">
        <v>0</v>
      </c>
      <c r="B175" t="s">
        <v>3</v>
      </c>
      <c r="C175" t="s">
        <v>4</v>
      </c>
      <c r="D175">
        <v>0</v>
      </c>
      <c r="E175" t="s">
        <v>3</v>
      </c>
      <c r="F175" t="s">
        <v>5</v>
      </c>
      <c r="G175">
        <v>4888.4164350000001</v>
      </c>
      <c r="H175" t="s">
        <v>4</v>
      </c>
      <c r="I175">
        <v>990.16341899999998</v>
      </c>
      <c r="J175">
        <v>3898.2530160000001</v>
      </c>
      <c r="K175" t="s">
        <v>6</v>
      </c>
      <c r="L175" t="s">
        <v>7</v>
      </c>
      <c r="M175" t="s">
        <v>8</v>
      </c>
      <c r="N175" t="s">
        <v>6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7</v>
      </c>
      <c r="U175">
        <v>3</v>
      </c>
      <c r="V175">
        <v>1</v>
      </c>
      <c r="W175">
        <v>0</v>
      </c>
      <c r="X175">
        <v>0</v>
      </c>
      <c r="Y175">
        <v>0</v>
      </c>
      <c r="Z175" t="s">
        <v>15</v>
      </c>
      <c r="AA175" t="s">
        <v>4</v>
      </c>
      <c r="AB175" t="s">
        <v>6</v>
      </c>
      <c r="AC175" t="s">
        <v>7</v>
      </c>
      <c r="AD175" t="s">
        <v>8</v>
      </c>
      <c r="AE175" t="s">
        <v>6</v>
      </c>
      <c r="AF175" t="s">
        <v>3</v>
      </c>
      <c r="AG175" t="s">
        <v>3</v>
      </c>
      <c r="AH175" t="s">
        <v>3</v>
      </c>
      <c r="AI175" t="s">
        <v>3</v>
      </c>
      <c r="AJ175" t="s">
        <v>3</v>
      </c>
      <c r="AK175" t="s">
        <v>7</v>
      </c>
      <c r="AL175">
        <v>0</v>
      </c>
      <c r="AM175">
        <v>0</v>
      </c>
      <c r="AN175">
        <v>0</v>
      </c>
      <c r="AO175">
        <v>0</v>
      </c>
      <c r="AP175">
        <v>0</v>
      </c>
      <c r="AQ175" t="s">
        <v>9</v>
      </c>
      <c r="AR175" s="1">
        <v>6.6188920700000002E-5</v>
      </c>
      <c r="AS175" s="1">
        <v>4.5883525800000002E-26</v>
      </c>
      <c r="AT175">
        <v>8</v>
      </c>
      <c r="AU175" t="s">
        <v>10</v>
      </c>
      <c r="AV175">
        <v>3</v>
      </c>
      <c r="AW175">
        <v>1</v>
      </c>
      <c r="AX175">
        <v>0</v>
      </c>
      <c r="AY175">
        <v>0</v>
      </c>
      <c r="AZ175">
        <v>0</v>
      </c>
      <c r="BA175" t="s">
        <v>15</v>
      </c>
      <c r="BB175" t="s">
        <v>4</v>
      </c>
      <c r="BC175" t="s">
        <v>10</v>
      </c>
      <c r="BD175">
        <v>0</v>
      </c>
      <c r="BE175">
        <v>0</v>
      </c>
      <c r="BF175">
        <v>0</v>
      </c>
      <c r="BG175">
        <v>0</v>
      </c>
      <c r="BH175">
        <v>0</v>
      </c>
      <c r="BI175" t="s">
        <v>9</v>
      </c>
      <c r="BJ175">
        <v>-4.1579999999999998E-5</v>
      </c>
      <c r="BK175">
        <v>0</v>
      </c>
      <c r="BL175">
        <v>5.1499999999999998E-5</v>
      </c>
      <c r="BM175" s="2">
        <f t="shared" si="2"/>
        <v>2.7631705276803259E-7</v>
      </c>
    </row>
    <row r="176" spans="1:65" x14ac:dyDescent="0.35">
      <c r="A176">
        <v>0</v>
      </c>
      <c r="B176" t="s">
        <v>3</v>
      </c>
      <c r="C176" t="s">
        <v>4</v>
      </c>
      <c r="D176">
        <v>0</v>
      </c>
      <c r="E176" t="s">
        <v>3</v>
      </c>
      <c r="F176" t="s">
        <v>5</v>
      </c>
      <c r="G176">
        <v>4593.4589459999997</v>
      </c>
      <c r="H176" t="s">
        <v>4</v>
      </c>
      <c r="I176">
        <v>990.16341899999998</v>
      </c>
      <c r="J176">
        <v>3603.2955270000002</v>
      </c>
      <c r="K176" t="s">
        <v>6</v>
      </c>
      <c r="L176" t="s">
        <v>7</v>
      </c>
      <c r="M176" t="s">
        <v>8</v>
      </c>
      <c r="N176" t="s">
        <v>6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7</v>
      </c>
      <c r="U176">
        <v>0</v>
      </c>
      <c r="V176">
        <v>1</v>
      </c>
      <c r="W176">
        <v>0</v>
      </c>
      <c r="X176">
        <v>0</v>
      </c>
      <c r="Y176">
        <v>4</v>
      </c>
      <c r="Z176" t="s">
        <v>8</v>
      </c>
      <c r="AA176" t="s">
        <v>4</v>
      </c>
      <c r="AB176" t="s">
        <v>6</v>
      </c>
      <c r="AC176" t="s">
        <v>7</v>
      </c>
      <c r="AD176" t="s">
        <v>8</v>
      </c>
      <c r="AE176" t="s">
        <v>6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7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9</v>
      </c>
      <c r="AR176" s="1">
        <v>4.5089949200000001E-5</v>
      </c>
      <c r="AS176" s="1">
        <v>1.9682285399999999E-26</v>
      </c>
      <c r="AT176">
        <v>9</v>
      </c>
      <c r="AU176" t="s">
        <v>10</v>
      </c>
      <c r="AV176">
        <v>0</v>
      </c>
      <c r="AW176">
        <v>1</v>
      </c>
      <c r="AX176">
        <v>0</v>
      </c>
      <c r="AY176">
        <v>0</v>
      </c>
      <c r="AZ176">
        <v>4</v>
      </c>
      <c r="BA176" t="s">
        <v>8</v>
      </c>
      <c r="BB176" t="s">
        <v>4</v>
      </c>
      <c r="BC176" t="s">
        <v>10</v>
      </c>
      <c r="BD176">
        <v>0</v>
      </c>
      <c r="BE176">
        <v>0</v>
      </c>
      <c r="BF176">
        <v>0</v>
      </c>
      <c r="BG176">
        <v>0</v>
      </c>
      <c r="BH176">
        <v>0</v>
      </c>
      <c r="BI176" t="s">
        <v>9</v>
      </c>
      <c r="BJ176">
        <v>-4.1810000000000001E-5</v>
      </c>
      <c r="BK176">
        <v>0</v>
      </c>
      <c r="BL176">
        <v>1.6880000000000001E-5</v>
      </c>
      <c r="BM176" s="2">
        <f t="shared" si="2"/>
        <v>1.1852949394458431E-7</v>
      </c>
    </row>
    <row r="177" spans="1:65" x14ac:dyDescent="0.35">
      <c r="A177">
        <v>0</v>
      </c>
      <c r="B177" t="s">
        <v>11</v>
      </c>
      <c r="C177" t="s">
        <v>4</v>
      </c>
      <c r="D177">
        <v>0</v>
      </c>
      <c r="E177" t="s">
        <v>3</v>
      </c>
      <c r="F177" t="s">
        <v>5</v>
      </c>
      <c r="G177">
        <v>3146.4415939999999</v>
      </c>
      <c r="H177" t="s">
        <v>4</v>
      </c>
      <c r="I177">
        <v>990.16341899999998</v>
      </c>
      <c r="J177">
        <v>2156.2781749999999</v>
      </c>
      <c r="K177" t="s">
        <v>6</v>
      </c>
      <c r="L177" t="s">
        <v>7</v>
      </c>
      <c r="M177" t="s">
        <v>8</v>
      </c>
      <c r="N177" t="s">
        <v>6</v>
      </c>
      <c r="O177" t="s">
        <v>3</v>
      </c>
      <c r="P177" t="s">
        <v>3</v>
      </c>
      <c r="Q177" t="s">
        <v>3</v>
      </c>
      <c r="R177" t="s">
        <v>3</v>
      </c>
      <c r="S177" t="s">
        <v>11</v>
      </c>
      <c r="T177" t="s">
        <v>7</v>
      </c>
      <c r="U177">
        <v>0</v>
      </c>
      <c r="V177">
        <v>1</v>
      </c>
      <c r="W177">
        <v>0</v>
      </c>
      <c r="X177">
        <v>1</v>
      </c>
      <c r="Y177">
        <v>0</v>
      </c>
      <c r="Z177" t="s">
        <v>14</v>
      </c>
      <c r="AA177" t="s">
        <v>4</v>
      </c>
      <c r="AB177" t="s">
        <v>6</v>
      </c>
      <c r="AC177" t="s">
        <v>7</v>
      </c>
      <c r="AD177" t="s">
        <v>8</v>
      </c>
      <c r="AE177" t="s">
        <v>6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7</v>
      </c>
      <c r="AL177">
        <v>0</v>
      </c>
      <c r="AM177">
        <v>0</v>
      </c>
      <c r="AN177">
        <v>0</v>
      </c>
      <c r="AO177">
        <v>0</v>
      </c>
      <c r="AP177">
        <v>0</v>
      </c>
      <c r="AQ177" t="s">
        <v>9</v>
      </c>
      <c r="AR177" s="1">
        <v>3.9440145399999998E-5</v>
      </c>
      <c r="AS177" s="1">
        <v>9.0112468999999999E-27</v>
      </c>
      <c r="AT177">
        <v>9</v>
      </c>
      <c r="AU177" t="s">
        <v>10</v>
      </c>
      <c r="AV177">
        <v>0</v>
      </c>
      <c r="AW177">
        <v>1</v>
      </c>
      <c r="AX177">
        <v>0</v>
      </c>
      <c r="AY177">
        <v>1</v>
      </c>
      <c r="AZ177">
        <v>0</v>
      </c>
      <c r="BA177" t="s">
        <v>14</v>
      </c>
      <c r="BB177" t="s">
        <v>4</v>
      </c>
      <c r="BC177" t="s">
        <v>10</v>
      </c>
      <c r="BD177">
        <v>0</v>
      </c>
      <c r="BE177">
        <v>0</v>
      </c>
      <c r="BF177">
        <v>0</v>
      </c>
      <c r="BG177">
        <v>0</v>
      </c>
      <c r="BH177">
        <v>0</v>
      </c>
      <c r="BI177" t="s">
        <v>9</v>
      </c>
      <c r="BJ177">
        <v>0</v>
      </c>
      <c r="BK177">
        <v>3.9440000000000002E-5</v>
      </c>
      <c r="BL177">
        <v>0</v>
      </c>
      <c r="BM177" s="2">
        <f t="shared" si="2"/>
        <v>5.4266997615363515E-8</v>
      </c>
    </row>
    <row r="178" spans="1:65" x14ac:dyDescent="0.35">
      <c r="A178">
        <v>0</v>
      </c>
      <c r="B178" t="s">
        <v>11</v>
      </c>
      <c r="C178" t="s">
        <v>4</v>
      </c>
      <c r="D178">
        <v>0</v>
      </c>
      <c r="E178" t="s">
        <v>3</v>
      </c>
      <c r="F178" t="s">
        <v>5</v>
      </c>
      <c r="G178">
        <v>3379.2977930000002</v>
      </c>
      <c r="H178" t="s">
        <v>4</v>
      </c>
      <c r="I178">
        <v>990.16341899999998</v>
      </c>
      <c r="J178">
        <v>2389.1343740000002</v>
      </c>
      <c r="K178" t="s">
        <v>6</v>
      </c>
      <c r="L178" t="s">
        <v>7</v>
      </c>
      <c r="M178" t="s">
        <v>8</v>
      </c>
      <c r="N178" t="s">
        <v>6</v>
      </c>
      <c r="O178" t="s">
        <v>3</v>
      </c>
      <c r="P178" t="s">
        <v>3</v>
      </c>
      <c r="Q178" t="s">
        <v>3</v>
      </c>
      <c r="R178" t="s">
        <v>3</v>
      </c>
      <c r="S178" t="s">
        <v>11</v>
      </c>
      <c r="T178" t="s">
        <v>7</v>
      </c>
      <c r="U178">
        <v>0</v>
      </c>
      <c r="V178">
        <v>0</v>
      </c>
      <c r="W178">
        <v>0</v>
      </c>
      <c r="X178">
        <v>2</v>
      </c>
      <c r="Y178">
        <v>1</v>
      </c>
      <c r="Z178" t="s">
        <v>13</v>
      </c>
      <c r="AA178" t="s">
        <v>4</v>
      </c>
      <c r="AB178" t="s">
        <v>6</v>
      </c>
      <c r="AC178" t="s">
        <v>7</v>
      </c>
      <c r="AD178" t="s">
        <v>8</v>
      </c>
      <c r="AE178" t="s">
        <v>6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7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9</v>
      </c>
      <c r="AR178" s="1">
        <v>2.1148386899999998E-5</v>
      </c>
      <c r="AS178" s="1">
        <v>2.8708267599999999E-27</v>
      </c>
      <c r="AT178">
        <v>9</v>
      </c>
      <c r="AU178" t="s">
        <v>10</v>
      </c>
      <c r="AV178">
        <v>0</v>
      </c>
      <c r="AW178">
        <v>0</v>
      </c>
      <c r="AX178">
        <v>0</v>
      </c>
      <c r="AY178">
        <v>2</v>
      </c>
      <c r="AZ178">
        <v>1</v>
      </c>
      <c r="BA178" t="s">
        <v>13</v>
      </c>
      <c r="BB178" t="s">
        <v>4</v>
      </c>
      <c r="BC178" t="s">
        <v>10</v>
      </c>
      <c r="BD178">
        <v>0</v>
      </c>
      <c r="BE178">
        <v>0</v>
      </c>
      <c r="BF178">
        <v>0</v>
      </c>
      <c r="BG178">
        <v>0</v>
      </c>
      <c r="BH178">
        <v>0</v>
      </c>
      <c r="BI178" t="s">
        <v>9</v>
      </c>
      <c r="BJ178">
        <v>0</v>
      </c>
      <c r="BK178">
        <v>2.1149999999999999E-5</v>
      </c>
      <c r="BL178">
        <v>0</v>
      </c>
      <c r="BM178" s="2">
        <f t="shared" si="2"/>
        <v>1.7288522961127805E-8</v>
      </c>
    </row>
    <row r="179" spans="1:65" x14ac:dyDescent="0.35">
      <c r="A179">
        <v>0</v>
      </c>
      <c r="B179" t="s">
        <v>3</v>
      </c>
      <c r="C179" t="s">
        <v>4</v>
      </c>
      <c r="D179">
        <v>0</v>
      </c>
      <c r="E179" t="s">
        <v>3</v>
      </c>
      <c r="F179" t="s">
        <v>5</v>
      </c>
      <c r="G179">
        <v>4296.917907</v>
      </c>
      <c r="H179" t="s">
        <v>4</v>
      </c>
      <c r="I179">
        <v>990.16341899999998</v>
      </c>
      <c r="J179">
        <v>3306.754488</v>
      </c>
      <c r="K179" t="s">
        <v>6</v>
      </c>
      <c r="L179" t="s">
        <v>7</v>
      </c>
      <c r="M179" t="s">
        <v>8</v>
      </c>
      <c r="N179" t="s">
        <v>6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7</v>
      </c>
      <c r="U179">
        <v>1</v>
      </c>
      <c r="V179">
        <v>2</v>
      </c>
      <c r="W179">
        <v>0</v>
      </c>
      <c r="X179">
        <v>0</v>
      </c>
      <c r="Y179">
        <v>1</v>
      </c>
      <c r="Z179" t="s">
        <v>8</v>
      </c>
      <c r="AA179" t="s">
        <v>4</v>
      </c>
      <c r="AB179" t="s">
        <v>6</v>
      </c>
      <c r="AC179" t="s">
        <v>7</v>
      </c>
      <c r="AD179" t="s">
        <v>8</v>
      </c>
      <c r="AE179" t="s">
        <v>6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t="s">
        <v>7</v>
      </c>
      <c r="AL179">
        <v>0</v>
      </c>
      <c r="AM179">
        <v>0</v>
      </c>
      <c r="AN179">
        <v>0</v>
      </c>
      <c r="AO179">
        <v>0</v>
      </c>
      <c r="AP179">
        <v>0</v>
      </c>
      <c r="AQ179" t="s">
        <v>9</v>
      </c>
      <c r="AR179" s="1">
        <v>1.92907707E-4</v>
      </c>
      <c r="AS179" s="1">
        <v>3.3061094099999999E-25</v>
      </c>
      <c r="AT179">
        <v>8</v>
      </c>
      <c r="AU179" t="s">
        <v>10</v>
      </c>
      <c r="AV179">
        <v>1</v>
      </c>
      <c r="AW179">
        <v>2</v>
      </c>
      <c r="AX179">
        <v>0</v>
      </c>
      <c r="AY179">
        <v>0</v>
      </c>
      <c r="AZ179">
        <v>1</v>
      </c>
      <c r="BA179" t="s">
        <v>8</v>
      </c>
      <c r="BB179" t="s">
        <v>4</v>
      </c>
      <c r="BC179" t="s">
        <v>10</v>
      </c>
      <c r="BD179">
        <v>0</v>
      </c>
      <c r="BE179">
        <v>0</v>
      </c>
      <c r="BF179">
        <v>0</v>
      </c>
      <c r="BG179">
        <v>0</v>
      </c>
      <c r="BH179">
        <v>0</v>
      </c>
      <c r="BI179" t="s">
        <v>9</v>
      </c>
      <c r="BJ179">
        <v>1.9286999999999999E-4</v>
      </c>
      <c r="BK179">
        <v>0</v>
      </c>
      <c r="BL179">
        <v>-4.0099999999999997E-6</v>
      </c>
      <c r="BM179" s="2">
        <f t="shared" si="2"/>
        <v>1.9909856367224929E-6</v>
      </c>
    </row>
    <row r="180" spans="1:65" x14ac:dyDescent="0.35">
      <c r="A180">
        <v>0</v>
      </c>
      <c r="B180" t="s">
        <v>11</v>
      </c>
      <c r="C180" t="s">
        <v>4</v>
      </c>
      <c r="D180">
        <v>0</v>
      </c>
      <c r="E180" t="s">
        <v>3</v>
      </c>
      <c r="F180" t="s">
        <v>5</v>
      </c>
      <c r="G180">
        <v>4214.2202399999996</v>
      </c>
      <c r="H180" t="s">
        <v>4</v>
      </c>
      <c r="I180">
        <v>990.16341899999998</v>
      </c>
      <c r="J180">
        <v>3224.0568210000001</v>
      </c>
      <c r="K180" t="s">
        <v>6</v>
      </c>
      <c r="L180" t="s">
        <v>7</v>
      </c>
      <c r="M180" t="s">
        <v>8</v>
      </c>
      <c r="N180" t="s">
        <v>6</v>
      </c>
      <c r="O180" t="s">
        <v>3</v>
      </c>
      <c r="P180" t="s">
        <v>3</v>
      </c>
      <c r="Q180" t="s">
        <v>3</v>
      </c>
      <c r="R180" t="s">
        <v>3</v>
      </c>
      <c r="S180" t="s">
        <v>11</v>
      </c>
      <c r="T180" t="s">
        <v>7</v>
      </c>
      <c r="U180">
        <v>0</v>
      </c>
      <c r="V180">
        <v>2</v>
      </c>
      <c r="W180">
        <v>0</v>
      </c>
      <c r="X180">
        <v>3</v>
      </c>
      <c r="Y180">
        <v>0</v>
      </c>
      <c r="Z180" t="s">
        <v>18</v>
      </c>
      <c r="AA180" t="s">
        <v>4</v>
      </c>
      <c r="AB180" t="s">
        <v>6</v>
      </c>
      <c r="AC180" t="s">
        <v>7</v>
      </c>
      <c r="AD180" t="s">
        <v>8</v>
      </c>
      <c r="AE180" t="s">
        <v>6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t="s">
        <v>7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9</v>
      </c>
      <c r="AR180" s="1">
        <v>1.85719495E-5</v>
      </c>
      <c r="AS180" s="1">
        <v>2.98767782E-27</v>
      </c>
      <c r="AT180">
        <v>8</v>
      </c>
      <c r="AU180" t="s">
        <v>10</v>
      </c>
      <c r="AV180">
        <v>0</v>
      </c>
      <c r="AW180">
        <v>2</v>
      </c>
      <c r="AX180">
        <v>0</v>
      </c>
      <c r="AY180">
        <v>3</v>
      </c>
      <c r="AZ180">
        <v>0</v>
      </c>
      <c r="BA180" t="s">
        <v>18</v>
      </c>
      <c r="BB180" t="s">
        <v>4</v>
      </c>
      <c r="BC180" t="s">
        <v>10</v>
      </c>
      <c r="BD180">
        <v>0</v>
      </c>
      <c r="BE180">
        <v>0</v>
      </c>
      <c r="BF180">
        <v>0</v>
      </c>
      <c r="BG180">
        <v>0</v>
      </c>
      <c r="BH180">
        <v>0</v>
      </c>
      <c r="BI180" t="s">
        <v>9</v>
      </c>
      <c r="BJ180">
        <v>0</v>
      </c>
      <c r="BK180">
        <v>-1.857E-5</v>
      </c>
      <c r="BL180">
        <v>0</v>
      </c>
      <c r="BM180" s="2">
        <f t="shared" si="2"/>
        <v>1.7992216497077056E-8</v>
      </c>
    </row>
    <row r="181" spans="1:65" x14ac:dyDescent="0.35">
      <c r="A181">
        <v>0</v>
      </c>
      <c r="B181" t="s">
        <v>3</v>
      </c>
      <c r="C181" t="s">
        <v>4</v>
      </c>
      <c r="D181">
        <v>0</v>
      </c>
      <c r="E181" t="s">
        <v>3</v>
      </c>
      <c r="F181" t="s">
        <v>5</v>
      </c>
      <c r="G181">
        <v>4724.8347329999997</v>
      </c>
      <c r="H181" t="s">
        <v>4</v>
      </c>
      <c r="I181">
        <v>990.16341899999998</v>
      </c>
      <c r="J181">
        <v>3734.6713140000002</v>
      </c>
      <c r="K181" t="s">
        <v>6</v>
      </c>
      <c r="L181" t="s">
        <v>7</v>
      </c>
      <c r="M181" t="s">
        <v>8</v>
      </c>
      <c r="N181" t="s">
        <v>6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7</v>
      </c>
      <c r="U181">
        <v>4</v>
      </c>
      <c r="V181">
        <v>0</v>
      </c>
      <c r="W181">
        <v>0</v>
      </c>
      <c r="X181">
        <v>1</v>
      </c>
      <c r="Y181">
        <v>0</v>
      </c>
      <c r="Z181" t="s">
        <v>9</v>
      </c>
      <c r="AA181" t="s">
        <v>4</v>
      </c>
      <c r="AB181" t="s">
        <v>6</v>
      </c>
      <c r="AC181" t="s">
        <v>7</v>
      </c>
      <c r="AD181" t="s">
        <v>8</v>
      </c>
      <c r="AE181" t="s">
        <v>6</v>
      </c>
      <c r="AF181" t="s">
        <v>3</v>
      </c>
      <c r="AG181" t="s">
        <v>3</v>
      </c>
      <c r="AH181" t="s">
        <v>3</v>
      </c>
      <c r="AI181" t="s">
        <v>3</v>
      </c>
      <c r="AJ181" t="s">
        <v>3</v>
      </c>
      <c r="AK181" t="s">
        <v>7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9</v>
      </c>
      <c r="AR181" s="1">
        <v>1.2494123199999999E-4</v>
      </c>
      <c r="AS181" s="1">
        <v>1.56631862E-25</v>
      </c>
      <c r="AT181">
        <v>8</v>
      </c>
      <c r="AU181" t="s">
        <v>10</v>
      </c>
      <c r="AV181">
        <v>4</v>
      </c>
      <c r="AW181">
        <v>0</v>
      </c>
      <c r="AX181">
        <v>0</v>
      </c>
      <c r="AY181">
        <v>1</v>
      </c>
      <c r="AZ181">
        <v>0</v>
      </c>
      <c r="BA181" t="s">
        <v>9</v>
      </c>
      <c r="BB181" t="s">
        <v>4</v>
      </c>
      <c r="BC181" t="s">
        <v>10</v>
      </c>
      <c r="BD181">
        <v>0</v>
      </c>
      <c r="BE181">
        <v>0</v>
      </c>
      <c r="BF181">
        <v>0</v>
      </c>
      <c r="BG181">
        <v>0</v>
      </c>
      <c r="BH181">
        <v>0</v>
      </c>
      <c r="BI181" t="s">
        <v>9</v>
      </c>
      <c r="BJ181">
        <v>8.564E-5</v>
      </c>
      <c r="BK181">
        <v>0</v>
      </c>
      <c r="BL181">
        <v>-9.0970000000000005E-5</v>
      </c>
      <c r="BM181" s="2">
        <f t="shared" si="2"/>
        <v>9.432591267301695E-7</v>
      </c>
    </row>
    <row r="182" spans="1:65" x14ac:dyDescent="0.35">
      <c r="A182">
        <v>0</v>
      </c>
      <c r="B182" t="s">
        <v>11</v>
      </c>
      <c r="C182" t="s">
        <v>4</v>
      </c>
      <c r="D182">
        <v>0</v>
      </c>
      <c r="E182" t="s">
        <v>3</v>
      </c>
      <c r="F182" t="s">
        <v>5</v>
      </c>
      <c r="G182">
        <v>4366.6519790000002</v>
      </c>
      <c r="H182" t="s">
        <v>4</v>
      </c>
      <c r="I182">
        <v>990.16341899999998</v>
      </c>
      <c r="J182">
        <v>3376.4885599999998</v>
      </c>
      <c r="K182" t="s">
        <v>6</v>
      </c>
      <c r="L182" t="s">
        <v>7</v>
      </c>
      <c r="M182" t="s">
        <v>8</v>
      </c>
      <c r="N182" t="s">
        <v>6</v>
      </c>
      <c r="O182" t="s">
        <v>3</v>
      </c>
      <c r="P182" t="s">
        <v>3</v>
      </c>
      <c r="Q182" t="s">
        <v>3</v>
      </c>
      <c r="R182" t="s">
        <v>3</v>
      </c>
      <c r="S182" t="s">
        <v>11</v>
      </c>
      <c r="T182" t="s">
        <v>7</v>
      </c>
      <c r="U182">
        <v>3</v>
      </c>
      <c r="V182">
        <v>0</v>
      </c>
      <c r="W182">
        <v>0</v>
      </c>
      <c r="X182">
        <v>1</v>
      </c>
      <c r="Y182">
        <v>0</v>
      </c>
      <c r="Z182" t="s">
        <v>14</v>
      </c>
      <c r="AA182" t="s">
        <v>4</v>
      </c>
      <c r="AB182" t="s">
        <v>6</v>
      </c>
      <c r="AC182" t="s">
        <v>7</v>
      </c>
      <c r="AD182" t="s">
        <v>8</v>
      </c>
      <c r="AE182" t="s">
        <v>6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7</v>
      </c>
      <c r="AL182">
        <v>0</v>
      </c>
      <c r="AM182">
        <v>0</v>
      </c>
      <c r="AN182">
        <v>0</v>
      </c>
      <c r="AO182">
        <v>0</v>
      </c>
      <c r="AP182">
        <v>0</v>
      </c>
      <c r="AQ182" t="s">
        <v>9</v>
      </c>
      <c r="AR182" s="1">
        <v>2.9444582999999999E-6</v>
      </c>
      <c r="AS182" s="1">
        <v>7.86488226E-29</v>
      </c>
      <c r="AT182">
        <v>8</v>
      </c>
      <c r="AU182" t="s">
        <v>10</v>
      </c>
      <c r="AV182">
        <v>3</v>
      </c>
      <c r="AW182">
        <v>0</v>
      </c>
      <c r="AX182">
        <v>0</v>
      </c>
      <c r="AY182">
        <v>1</v>
      </c>
      <c r="AZ182">
        <v>0</v>
      </c>
      <c r="BA182" t="s">
        <v>14</v>
      </c>
      <c r="BB182" t="s">
        <v>4</v>
      </c>
      <c r="BC182" t="s">
        <v>10</v>
      </c>
      <c r="BD182">
        <v>0</v>
      </c>
      <c r="BE182">
        <v>0</v>
      </c>
      <c r="BF182">
        <v>0</v>
      </c>
      <c r="BG182">
        <v>0</v>
      </c>
      <c r="BH182">
        <v>0</v>
      </c>
      <c r="BI182" t="s">
        <v>9</v>
      </c>
      <c r="BJ182">
        <v>0</v>
      </c>
      <c r="BK182">
        <v>-2.9399999999999998E-6</v>
      </c>
      <c r="BL182">
        <v>0</v>
      </c>
      <c r="BM182" s="2">
        <f t="shared" si="2"/>
        <v>4.7363428345142205E-10</v>
      </c>
    </row>
    <row r="183" spans="1:65" x14ac:dyDescent="0.35">
      <c r="A183">
        <v>0</v>
      </c>
      <c r="B183" t="s">
        <v>3</v>
      </c>
      <c r="C183" t="s">
        <v>4</v>
      </c>
      <c r="D183">
        <v>0</v>
      </c>
      <c r="E183" t="s">
        <v>3</v>
      </c>
      <c r="F183" t="s">
        <v>5</v>
      </c>
      <c r="G183">
        <v>3802.5062939999998</v>
      </c>
      <c r="H183" t="s">
        <v>4</v>
      </c>
      <c r="I183">
        <v>990.16341899999998</v>
      </c>
      <c r="J183">
        <v>2812.3428749999998</v>
      </c>
      <c r="K183" t="s">
        <v>6</v>
      </c>
      <c r="L183" t="s">
        <v>7</v>
      </c>
      <c r="M183" t="s">
        <v>8</v>
      </c>
      <c r="N183" t="s">
        <v>6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7</v>
      </c>
      <c r="U183">
        <v>1</v>
      </c>
      <c r="V183">
        <v>2</v>
      </c>
      <c r="W183">
        <v>0</v>
      </c>
      <c r="X183">
        <v>1</v>
      </c>
      <c r="Y183">
        <v>0</v>
      </c>
      <c r="Z183" t="s">
        <v>8</v>
      </c>
      <c r="AA183" t="s">
        <v>4</v>
      </c>
      <c r="AB183" t="s">
        <v>6</v>
      </c>
      <c r="AC183" t="s">
        <v>7</v>
      </c>
      <c r="AD183" t="s">
        <v>8</v>
      </c>
      <c r="AE183" t="s">
        <v>6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7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9</v>
      </c>
      <c r="AR183" s="1">
        <v>6.16425362E-5</v>
      </c>
      <c r="AS183" s="1">
        <v>2.8710772599999999E-26</v>
      </c>
      <c r="AT183">
        <v>8</v>
      </c>
      <c r="AU183" t="s">
        <v>10</v>
      </c>
      <c r="AV183">
        <v>1</v>
      </c>
      <c r="AW183">
        <v>2</v>
      </c>
      <c r="AX183">
        <v>0</v>
      </c>
      <c r="AY183">
        <v>1</v>
      </c>
      <c r="AZ183">
        <v>0</v>
      </c>
      <c r="BA183" t="s">
        <v>8</v>
      </c>
      <c r="BB183" t="s">
        <v>4</v>
      </c>
      <c r="BC183" t="s">
        <v>10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9</v>
      </c>
      <c r="BJ183">
        <v>5.4799999999999997E-5</v>
      </c>
      <c r="BK183">
        <v>0</v>
      </c>
      <c r="BL183">
        <v>2.8220000000000001E-5</v>
      </c>
      <c r="BM183" s="2">
        <f t="shared" si="2"/>
        <v>1.7290031507398205E-7</v>
      </c>
    </row>
    <row r="184" spans="1:65" x14ac:dyDescent="0.35">
      <c r="A184">
        <v>0</v>
      </c>
      <c r="B184" t="s">
        <v>3</v>
      </c>
      <c r="C184" t="s">
        <v>4</v>
      </c>
      <c r="D184">
        <v>0</v>
      </c>
      <c r="E184" t="s">
        <v>3</v>
      </c>
      <c r="F184" t="s">
        <v>5</v>
      </c>
      <c r="G184">
        <v>4833.3663370000004</v>
      </c>
      <c r="H184" t="s">
        <v>4</v>
      </c>
      <c r="I184">
        <v>990.16341899999998</v>
      </c>
      <c r="J184">
        <v>3843.202918</v>
      </c>
      <c r="K184" t="s">
        <v>6</v>
      </c>
      <c r="L184" t="s">
        <v>7</v>
      </c>
      <c r="M184" t="s">
        <v>8</v>
      </c>
      <c r="N184" t="s">
        <v>6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7</v>
      </c>
      <c r="U184">
        <v>1</v>
      </c>
      <c r="V184">
        <v>2</v>
      </c>
      <c r="W184">
        <v>0</v>
      </c>
      <c r="X184">
        <v>1</v>
      </c>
      <c r="Y184">
        <v>0</v>
      </c>
      <c r="Z184" t="s">
        <v>15</v>
      </c>
      <c r="AA184" t="s">
        <v>4</v>
      </c>
      <c r="AB184" t="s">
        <v>6</v>
      </c>
      <c r="AC184" t="s">
        <v>7</v>
      </c>
      <c r="AD184" t="s">
        <v>8</v>
      </c>
      <c r="AE184" t="s">
        <v>6</v>
      </c>
      <c r="AF184" t="s">
        <v>3</v>
      </c>
      <c r="AG184" t="s">
        <v>3</v>
      </c>
      <c r="AH184" t="s">
        <v>3</v>
      </c>
      <c r="AI184" t="s">
        <v>3</v>
      </c>
      <c r="AJ184" t="s">
        <v>3</v>
      </c>
      <c r="AK184" t="s">
        <v>7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9</v>
      </c>
      <c r="AR184" s="1">
        <v>6.4875221099999994E-5</v>
      </c>
      <c r="AS184" s="1">
        <v>4.3457744000000003E-26</v>
      </c>
      <c r="AT184">
        <v>8</v>
      </c>
      <c r="AU184" t="s">
        <v>10</v>
      </c>
      <c r="AV184">
        <v>1</v>
      </c>
      <c r="AW184">
        <v>2</v>
      </c>
      <c r="AX184">
        <v>0</v>
      </c>
      <c r="AY184">
        <v>1</v>
      </c>
      <c r="AZ184">
        <v>0</v>
      </c>
      <c r="BA184" t="s">
        <v>15</v>
      </c>
      <c r="BB184" t="s">
        <v>4</v>
      </c>
      <c r="BC184" t="s">
        <v>10</v>
      </c>
      <c r="BD184">
        <v>0</v>
      </c>
      <c r="BE184">
        <v>0</v>
      </c>
      <c r="BF184">
        <v>0</v>
      </c>
      <c r="BG184">
        <v>0</v>
      </c>
      <c r="BH184">
        <v>0</v>
      </c>
      <c r="BI184" t="s">
        <v>9</v>
      </c>
      <c r="BJ184">
        <v>-5.0179999999999997E-5</v>
      </c>
      <c r="BK184">
        <v>0</v>
      </c>
      <c r="BL184">
        <v>4.1119999999999999E-5</v>
      </c>
      <c r="BM184" s="2">
        <f t="shared" si="2"/>
        <v>2.6170865321835521E-7</v>
      </c>
    </row>
    <row r="185" spans="1:65" x14ac:dyDescent="0.35">
      <c r="A185">
        <v>0</v>
      </c>
      <c r="B185" t="s">
        <v>11</v>
      </c>
      <c r="C185" t="s">
        <v>4</v>
      </c>
      <c r="D185">
        <v>0</v>
      </c>
      <c r="E185" t="s">
        <v>3</v>
      </c>
      <c r="F185" t="s">
        <v>5</v>
      </c>
      <c r="G185">
        <v>1411.5281</v>
      </c>
      <c r="H185" t="s">
        <v>4</v>
      </c>
      <c r="I185">
        <v>990.16341899999998</v>
      </c>
      <c r="J185">
        <v>421.36468100000002</v>
      </c>
      <c r="K185" t="s">
        <v>6</v>
      </c>
      <c r="L185" t="s">
        <v>7</v>
      </c>
      <c r="M185" t="s">
        <v>8</v>
      </c>
      <c r="N185" t="s">
        <v>6</v>
      </c>
      <c r="O185" t="s">
        <v>3</v>
      </c>
      <c r="P185" t="s">
        <v>3</v>
      </c>
      <c r="Q185" t="s">
        <v>3</v>
      </c>
      <c r="R185" t="s">
        <v>3</v>
      </c>
      <c r="S185" t="s">
        <v>11</v>
      </c>
      <c r="T185" t="s">
        <v>7</v>
      </c>
      <c r="U185">
        <v>1</v>
      </c>
      <c r="V185">
        <v>0</v>
      </c>
      <c r="W185">
        <v>0</v>
      </c>
      <c r="X185">
        <v>0</v>
      </c>
      <c r="Y185">
        <v>0</v>
      </c>
      <c r="Z185" t="s">
        <v>18</v>
      </c>
      <c r="AA185" t="s">
        <v>4</v>
      </c>
      <c r="AB185" t="s">
        <v>6</v>
      </c>
      <c r="AC185" t="s">
        <v>7</v>
      </c>
      <c r="AD185" t="s">
        <v>8</v>
      </c>
      <c r="AE185" t="s">
        <v>6</v>
      </c>
      <c r="AF185" t="s">
        <v>3</v>
      </c>
      <c r="AG185" t="s">
        <v>3</v>
      </c>
      <c r="AH185" t="s">
        <v>3</v>
      </c>
      <c r="AI185" t="s">
        <v>3</v>
      </c>
      <c r="AJ185" t="s">
        <v>3</v>
      </c>
      <c r="AK185" t="s">
        <v>7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9</v>
      </c>
      <c r="AR185" s="1">
        <v>8.2729401499999995E-5</v>
      </c>
      <c r="AS185" s="1">
        <v>6.7349301599999996E-27</v>
      </c>
      <c r="AT185">
        <v>10</v>
      </c>
      <c r="AU185" t="s">
        <v>10</v>
      </c>
      <c r="AV185">
        <v>1</v>
      </c>
      <c r="AW185">
        <v>0</v>
      </c>
      <c r="AX185">
        <v>0</v>
      </c>
      <c r="AY185">
        <v>0</v>
      </c>
      <c r="AZ185">
        <v>0</v>
      </c>
      <c r="BA185" t="s">
        <v>18</v>
      </c>
      <c r="BB185" t="s">
        <v>4</v>
      </c>
      <c r="BC185" t="s">
        <v>10</v>
      </c>
      <c r="BD185">
        <v>0</v>
      </c>
      <c r="BE185">
        <v>0</v>
      </c>
      <c r="BF185">
        <v>0</v>
      </c>
      <c r="BG185">
        <v>0</v>
      </c>
      <c r="BH185">
        <v>0</v>
      </c>
      <c r="BI185" t="s">
        <v>9</v>
      </c>
      <c r="BJ185">
        <v>0</v>
      </c>
      <c r="BK185">
        <v>-8.2730000000000002E-5</v>
      </c>
      <c r="BL185">
        <v>0</v>
      </c>
      <c r="BM185" s="2">
        <f t="shared" si="2"/>
        <v>4.0558697701686526E-8</v>
      </c>
    </row>
    <row r="186" spans="1:65" x14ac:dyDescent="0.35">
      <c r="A186">
        <v>0</v>
      </c>
      <c r="B186" t="s">
        <v>3</v>
      </c>
      <c r="C186" t="s">
        <v>4</v>
      </c>
      <c r="D186">
        <v>0</v>
      </c>
      <c r="E186" t="s">
        <v>3</v>
      </c>
      <c r="F186" t="s">
        <v>5</v>
      </c>
      <c r="G186">
        <v>3994.4158320000001</v>
      </c>
      <c r="H186" t="s">
        <v>4</v>
      </c>
      <c r="I186">
        <v>990.16341899999998</v>
      </c>
      <c r="J186">
        <v>3004.2524130000002</v>
      </c>
      <c r="K186" t="s">
        <v>6</v>
      </c>
      <c r="L186" t="s">
        <v>7</v>
      </c>
      <c r="M186" t="s">
        <v>8</v>
      </c>
      <c r="N186" t="s">
        <v>6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7</v>
      </c>
      <c r="U186">
        <v>3</v>
      </c>
      <c r="V186">
        <v>0</v>
      </c>
      <c r="W186">
        <v>0</v>
      </c>
      <c r="X186">
        <v>1</v>
      </c>
      <c r="Y186">
        <v>0</v>
      </c>
      <c r="Z186" t="s">
        <v>15</v>
      </c>
      <c r="AA186" t="s">
        <v>4</v>
      </c>
      <c r="AB186" t="s">
        <v>6</v>
      </c>
      <c r="AC186" t="s">
        <v>7</v>
      </c>
      <c r="AD186" t="s">
        <v>8</v>
      </c>
      <c r="AE186" t="s">
        <v>6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7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9</v>
      </c>
      <c r="AR186" s="1">
        <v>1.2066143000000001E-4</v>
      </c>
      <c r="AS186" s="1">
        <v>1.1751391700000001E-25</v>
      </c>
      <c r="AT186">
        <v>8</v>
      </c>
      <c r="AU186" t="s">
        <v>10</v>
      </c>
      <c r="AV186">
        <v>3</v>
      </c>
      <c r="AW186">
        <v>0</v>
      </c>
      <c r="AX186">
        <v>0</v>
      </c>
      <c r="AY186">
        <v>1</v>
      </c>
      <c r="AZ186">
        <v>0</v>
      </c>
      <c r="BA186" t="s">
        <v>15</v>
      </c>
      <c r="BB186" t="s">
        <v>4</v>
      </c>
      <c r="BC186" t="s">
        <v>10</v>
      </c>
      <c r="BD186">
        <v>0</v>
      </c>
      <c r="BE186">
        <v>0</v>
      </c>
      <c r="BF186">
        <v>0</v>
      </c>
      <c r="BG186">
        <v>0</v>
      </c>
      <c r="BH186">
        <v>0</v>
      </c>
      <c r="BI186" t="s">
        <v>9</v>
      </c>
      <c r="BJ186">
        <v>-3.0630000000000003E-5</v>
      </c>
      <c r="BK186">
        <v>0</v>
      </c>
      <c r="BL186">
        <v>-1.1671E-4</v>
      </c>
      <c r="BM186" s="2">
        <f t="shared" si="2"/>
        <v>7.0768535413351371E-7</v>
      </c>
    </row>
    <row r="187" spans="1:65" x14ac:dyDescent="0.35">
      <c r="A187">
        <v>0</v>
      </c>
      <c r="B187" t="s">
        <v>3</v>
      </c>
      <c r="C187" t="s">
        <v>4</v>
      </c>
      <c r="D187">
        <v>0</v>
      </c>
      <c r="E187" t="s">
        <v>3</v>
      </c>
      <c r="F187" t="s">
        <v>5</v>
      </c>
      <c r="G187">
        <v>3525.0755220000001</v>
      </c>
      <c r="H187" t="s">
        <v>4</v>
      </c>
      <c r="I187">
        <v>990.16341899999998</v>
      </c>
      <c r="J187">
        <v>2534.9121030000001</v>
      </c>
      <c r="K187" t="s">
        <v>6</v>
      </c>
      <c r="L187" t="s">
        <v>7</v>
      </c>
      <c r="M187" t="s">
        <v>8</v>
      </c>
      <c r="N187" t="s">
        <v>6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7</v>
      </c>
      <c r="U187">
        <v>0</v>
      </c>
      <c r="V187">
        <v>1</v>
      </c>
      <c r="W187">
        <v>0</v>
      </c>
      <c r="X187">
        <v>3</v>
      </c>
      <c r="Y187">
        <v>0</v>
      </c>
      <c r="Z187" t="s">
        <v>15</v>
      </c>
      <c r="AA187" t="s">
        <v>4</v>
      </c>
      <c r="AB187" t="s">
        <v>6</v>
      </c>
      <c r="AC187" t="s">
        <v>7</v>
      </c>
      <c r="AD187" t="s">
        <v>8</v>
      </c>
      <c r="AE187" t="s">
        <v>6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7</v>
      </c>
      <c r="AL187">
        <v>0</v>
      </c>
      <c r="AM187">
        <v>0</v>
      </c>
      <c r="AN187">
        <v>0</v>
      </c>
      <c r="AO187">
        <v>0</v>
      </c>
      <c r="AP187">
        <v>0</v>
      </c>
      <c r="AQ187" t="s">
        <v>9</v>
      </c>
      <c r="AR187" s="1">
        <v>9.5827863399999998E-4</v>
      </c>
      <c r="AS187" s="1">
        <v>6.2540388799999999E-24</v>
      </c>
      <c r="AT187">
        <v>8</v>
      </c>
      <c r="AU187" t="s">
        <v>10</v>
      </c>
      <c r="AV187">
        <v>0</v>
      </c>
      <c r="AW187">
        <v>1</v>
      </c>
      <c r="AX187">
        <v>0</v>
      </c>
      <c r="AY187">
        <v>3</v>
      </c>
      <c r="AZ187">
        <v>0</v>
      </c>
      <c r="BA187" t="s">
        <v>15</v>
      </c>
      <c r="BB187" t="s">
        <v>4</v>
      </c>
      <c r="BC187" t="s">
        <v>10</v>
      </c>
      <c r="BD187">
        <v>0</v>
      </c>
      <c r="BE187">
        <v>0</v>
      </c>
      <c r="BF187">
        <v>0</v>
      </c>
      <c r="BG187">
        <v>0</v>
      </c>
      <c r="BH187">
        <v>0</v>
      </c>
      <c r="BI187" t="s">
        <v>9</v>
      </c>
      <c r="BJ187">
        <v>6.6014999999999997E-4</v>
      </c>
      <c r="BK187">
        <v>0</v>
      </c>
      <c r="BL187">
        <v>-6.9461999999999996E-4</v>
      </c>
      <c r="BM187" s="2">
        <f t="shared" si="2"/>
        <v>3.7662702704034304E-5</v>
      </c>
    </row>
    <row r="188" spans="1:65" x14ac:dyDescent="0.35">
      <c r="A188">
        <v>0</v>
      </c>
      <c r="B188" t="s">
        <v>3</v>
      </c>
      <c r="C188" t="s">
        <v>4</v>
      </c>
      <c r="D188">
        <v>0</v>
      </c>
      <c r="E188" t="s">
        <v>3</v>
      </c>
      <c r="F188" t="s">
        <v>5</v>
      </c>
      <c r="G188">
        <v>2238.2211510000002</v>
      </c>
      <c r="H188" t="s">
        <v>4</v>
      </c>
      <c r="I188">
        <v>990.16341899999998</v>
      </c>
      <c r="J188">
        <v>1248.0577310000001</v>
      </c>
      <c r="K188" t="s">
        <v>6</v>
      </c>
      <c r="L188" t="s">
        <v>7</v>
      </c>
      <c r="M188" t="s">
        <v>8</v>
      </c>
      <c r="N188" t="s">
        <v>6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7</v>
      </c>
      <c r="U188">
        <v>1</v>
      </c>
      <c r="V188">
        <v>0</v>
      </c>
      <c r="W188">
        <v>0</v>
      </c>
      <c r="X188">
        <v>1</v>
      </c>
      <c r="Y188">
        <v>0</v>
      </c>
      <c r="Z188" t="s">
        <v>9</v>
      </c>
      <c r="AA188" t="s">
        <v>4</v>
      </c>
      <c r="AB188" t="s">
        <v>6</v>
      </c>
      <c r="AC188" t="s">
        <v>7</v>
      </c>
      <c r="AD188" t="s">
        <v>8</v>
      </c>
      <c r="AE188" t="s">
        <v>6</v>
      </c>
      <c r="AF188" t="s">
        <v>3</v>
      </c>
      <c r="AG188" t="s">
        <v>3</v>
      </c>
      <c r="AH188" t="s">
        <v>3</v>
      </c>
      <c r="AI188" t="s">
        <v>3</v>
      </c>
      <c r="AJ188" t="s">
        <v>3</v>
      </c>
      <c r="AK188" t="s">
        <v>7</v>
      </c>
      <c r="AL188">
        <v>0</v>
      </c>
      <c r="AM188">
        <v>0</v>
      </c>
      <c r="AN188">
        <v>0</v>
      </c>
      <c r="AO188">
        <v>0</v>
      </c>
      <c r="AP188">
        <v>0</v>
      </c>
      <c r="AQ188" t="s">
        <v>9</v>
      </c>
      <c r="AR188" s="1">
        <v>3.00966477E-2</v>
      </c>
      <c r="AS188" s="1">
        <v>3.0299582499999999E-21</v>
      </c>
      <c r="AT188">
        <v>8</v>
      </c>
      <c r="AU188" t="s">
        <v>10</v>
      </c>
      <c r="AV188">
        <v>1</v>
      </c>
      <c r="AW188">
        <v>0</v>
      </c>
      <c r="AX188">
        <v>0</v>
      </c>
      <c r="AY188">
        <v>1</v>
      </c>
      <c r="AZ188">
        <v>0</v>
      </c>
      <c r="BA188" t="s">
        <v>9</v>
      </c>
      <c r="BB188" t="s">
        <v>4</v>
      </c>
      <c r="BC188" t="s">
        <v>10</v>
      </c>
      <c r="BD188">
        <v>0</v>
      </c>
      <c r="BE188">
        <v>0</v>
      </c>
      <c r="BF188">
        <v>0</v>
      </c>
      <c r="BG188">
        <v>0</v>
      </c>
      <c r="BH188">
        <v>0</v>
      </c>
      <c r="BI188" t="s">
        <v>9</v>
      </c>
      <c r="BJ188">
        <v>-2.8274359999999998E-2</v>
      </c>
      <c r="BK188">
        <v>0</v>
      </c>
      <c r="BL188">
        <v>1.031353E-2</v>
      </c>
      <c r="BM188" s="2">
        <f t="shared" si="2"/>
        <v>1.82468351996216E-2</v>
      </c>
    </row>
    <row r="189" spans="1:65" x14ac:dyDescent="0.35">
      <c r="A189">
        <v>0</v>
      </c>
      <c r="B189" t="s">
        <v>11</v>
      </c>
      <c r="C189" t="s">
        <v>4</v>
      </c>
      <c r="D189">
        <v>0</v>
      </c>
      <c r="E189" t="s">
        <v>3</v>
      </c>
      <c r="F189" t="s">
        <v>5</v>
      </c>
      <c r="G189">
        <v>3912.7303459999998</v>
      </c>
      <c r="H189" t="s">
        <v>4</v>
      </c>
      <c r="I189">
        <v>990.16341899999998</v>
      </c>
      <c r="J189">
        <v>2922.5669269999999</v>
      </c>
      <c r="K189" t="s">
        <v>6</v>
      </c>
      <c r="L189" t="s">
        <v>7</v>
      </c>
      <c r="M189" t="s">
        <v>8</v>
      </c>
      <c r="N189" t="s">
        <v>6</v>
      </c>
      <c r="O189" t="s">
        <v>3</v>
      </c>
      <c r="P189" t="s">
        <v>3</v>
      </c>
      <c r="Q189" t="s">
        <v>3</v>
      </c>
      <c r="R189" t="s">
        <v>3</v>
      </c>
      <c r="S189" t="s">
        <v>11</v>
      </c>
      <c r="T189" t="s">
        <v>7</v>
      </c>
      <c r="U189">
        <v>4</v>
      </c>
      <c r="V189">
        <v>0</v>
      </c>
      <c r="W189">
        <v>0</v>
      </c>
      <c r="X189">
        <v>0</v>
      </c>
      <c r="Y189">
        <v>0</v>
      </c>
      <c r="Z189" t="s">
        <v>18</v>
      </c>
      <c r="AA189" t="s">
        <v>4</v>
      </c>
      <c r="AB189" t="s">
        <v>6</v>
      </c>
      <c r="AC189" t="s">
        <v>7</v>
      </c>
      <c r="AD189" t="s">
        <v>8</v>
      </c>
      <c r="AE189" t="s">
        <v>6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t="s">
        <v>7</v>
      </c>
      <c r="AL189">
        <v>0</v>
      </c>
      <c r="AM189">
        <v>0</v>
      </c>
      <c r="AN189">
        <v>0</v>
      </c>
      <c r="AO189">
        <v>0</v>
      </c>
      <c r="AP189">
        <v>0</v>
      </c>
      <c r="AQ189" t="s">
        <v>9</v>
      </c>
      <c r="AR189" s="1">
        <v>3.89248767E-4</v>
      </c>
      <c r="AS189" s="1">
        <v>1.1896926999999999E-24</v>
      </c>
      <c r="AT189">
        <v>8</v>
      </c>
      <c r="AU189" t="s">
        <v>10</v>
      </c>
      <c r="AV189">
        <v>4</v>
      </c>
      <c r="AW189">
        <v>0</v>
      </c>
      <c r="AX189">
        <v>0</v>
      </c>
      <c r="AY189">
        <v>0</v>
      </c>
      <c r="AZ189">
        <v>0</v>
      </c>
      <c r="BA189" t="s">
        <v>18</v>
      </c>
      <c r="BB189" t="s">
        <v>4</v>
      </c>
      <c r="BC189" t="s">
        <v>10</v>
      </c>
      <c r="BD189">
        <v>0</v>
      </c>
      <c r="BE189">
        <v>0</v>
      </c>
      <c r="BF189">
        <v>0</v>
      </c>
      <c r="BG189">
        <v>0</v>
      </c>
      <c r="BH189">
        <v>0</v>
      </c>
      <c r="BI189" t="s">
        <v>9</v>
      </c>
      <c r="BJ189">
        <v>0</v>
      </c>
      <c r="BK189">
        <v>3.8925E-4</v>
      </c>
      <c r="BL189">
        <v>0</v>
      </c>
      <c r="BM189" s="2">
        <f t="shared" si="2"/>
        <v>7.1644969481321593E-6</v>
      </c>
    </row>
    <row r="190" spans="1:65" x14ac:dyDescent="0.35">
      <c r="A190">
        <v>0</v>
      </c>
      <c r="B190" t="s">
        <v>3</v>
      </c>
      <c r="C190" t="s">
        <v>4</v>
      </c>
      <c r="D190">
        <v>0</v>
      </c>
      <c r="E190" t="s">
        <v>3</v>
      </c>
      <c r="F190" t="s">
        <v>5</v>
      </c>
      <c r="G190">
        <v>3672.6086730000002</v>
      </c>
      <c r="H190" t="s">
        <v>4</v>
      </c>
      <c r="I190">
        <v>990.16341899999998</v>
      </c>
      <c r="J190">
        <v>2682.4452540000002</v>
      </c>
      <c r="K190" t="s">
        <v>6</v>
      </c>
      <c r="L190" t="s">
        <v>7</v>
      </c>
      <c r="M190" t="s">
        <v>8</v>
      </c>
      <c r="N190" t="s">
        <v>6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7</v>
      </c>
      <c r="U190">
        <v>0</v>
      </c>
      <c r="V190">
        <v>2</v>
      </c>
      <c r="W190">
        <v>0</v>
      </c>
      <c r="X190">
        <v>3</v>
      </c>
      <c r="Y190">
        <v>0</v>
      </c>
      <c r="Z190" t="s">
        <v>8</v>
      </c>
      <c r="AA190" t="s">
        <v>4</v>
      </c>
      <c r="AB190" t="s">
        <v>6</v>
      </c>
      <c r="AC190" t="s">
        <v>7</v>
      </c>
      <c r="AD190" t="s">
        <v>8</v>
      </c>
      <c r="AE190" t="s">
        <v>6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7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9</v>
      </c>
      <c r="AR190" s="1">
        <v>1.5029684200000001E-6</v>
      </c>
      <c r="AS190" s="1">
        <v>1.62796743E-29</v>
      </c>
      <c r="AT190">
        <v>10</v>
      </c>
      <c r="AU190" t="s">
        <v>10</v>
      </c>
      <c r="AV190">
        <v>0</v>
      </c>
      <c r="AW190">
        <v>2</v>
      </c>
      <c r="AX190">
        <v>0</v>
      </c>
      <c r="AY190">
        <v>3</v>
      </c>
      <c r="AZ190">
        <v>0</v>
      </c>
      <c r="BA190" t="s">
        <v>8</v>
      </c>
      <c r="BB190" t="s">
        <v>4</v>
      </c>
      <c r="BC190" t="s">
        <v>10</v>
      </c>
      <c r="BD190">
        <v>0</v>
      </c>
      <c r="BE190">
        <v>0</v>
      </c>
      <c r="BF190">
        <v>0</v>
      </c>
      <c r="BG190">
        <v>0</v>
      </c>
      <c r="BH190">
        <v>0</v>
      </c>
      <c r="BI190" t="s">
        <v>9</v>
      </c>
      <c r="BJ190">
        <v>1.1000000000000001E-6</v>
      </c>
      <c r="BK190">
        <v>0</v>
      </c>
      <c r="BL190">
        <v>1.0300000000000001E-6</v>
      </c>
      <c r="BM190" s="2">
        <f t="shared" si="2"/>
        <v>9.8038490812741437E-11</v>
      </c>
    </row>
    <row r="191" spans="1:65" x14ac:dyDescent="0.35">
      <c r="A191">
        <v>0</v>
      </c>
      <c r="B191" t="s">
        <v>3</v>
      </c>
      <c r="C191" t="s">
        <v>4</v>
      </c>
      <c r="D191">
        <v>0</v>
      </c>
      <c r="E191" t="s">
        <v>3</v>
      </c>
      <c r="F191" t="s">
        <v>5</v>
      </c>
      <c r="G191">
        <v>4783.8228239999999</v>
      </c>
      <c r="H191" t="s">
        <v>4</v>
      </c>
      <c r="I191">
        <v>990.16341899999998</v>
      </c>
      <c r="J191">
        <v>3793.6594049999999</v>
      </c>
      <c r="K191" t="s">
        <v>6</v>
      </c>
      <c r="L191" t="s">
        <v>7</v>
      </c>
      <c r="M191" t="s">
        <v>8</v>
      </c>
      <c r="N191" t="s">
        <v>6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7</v>
      </c>
      <c r="U191">
        <v>4</v>
      </c>
      <c r="V191">
        <v>0</v>
      </c>
      <c r="W191">
        <v>0</v>
      </c>
      <c r="X191">
        <v>1</v>
      </c>
      <c r="Y191">
        <v>0</v>
      </c>
      <c r="Z191" t="s">
        <v>15</v>
      </c>
      <c r="AA191" t="s">
        <v>4</v>
      </c>
      <c r="AB191" t="s">
        <v>6</v>
      </c>
      <c r="AC191" t="s">
        <v>7</v>
      </c>
      <c r="AD191" t="s">
        <v>8</v>
      </c>
      <c r="AE191" t="s">
        <v>6</v>
      </c>
      <c r="AF191" t="s">
        <v>3</v>
      </c>
      <c r="AG191" t="s">
        <v>3</v>
      </c>
      <c r="AH191" t="s">
        <v>3</v>
      </c>
      <c r="AI191" t="s">
        <v>3</v>
      </c>
      <c r="AJ191" t="s">
        <v>3</v>
      </c>
      <c r="AK191" t="s">
        <v>7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9</v>
      </c>
      <c r="AR191" s="1">
        <v>6.5890695200000005E-5</v>
      </c>
      <c r="AS191" s="1">
        <v>4.4250957800000002E-26</v>
      </c>
      <c r="AT191">
        <v>9</v>
      </c>
      <c r="AU191" t="s">
        <v>10</v>
      </c>
      <c r="AV191">
        <v>4</v>
      </c>
      <c r="AW191">
        <v>0</v>
      </c>
      <c r="AX191">
        <v>0</v>
      </c>
      <c r="AY191">
        <v>1</v>
      </c>
      <c r="AZ191">
        <v>0</v>
      </c>
      <c r="BA191" t="s">
        <v>15</v>
      </c>
      <c r="BB191" t="s">
        <v>4</v>
      </c>
      <c r="BC191" t="s">
        <v>10</v>
      </c>
      <c r="BD191">
        <v>0</v>
      </c>
      <c r="BE191">
        <v>0</v>
      </c>
      <c r="BF191">
        <v>0</v>
      </c>
      <c r="BG191">
        <v>0</v>
      </c>
      <c r="BH191">
        <v>0</v>
      </c>
      <c r="BI191" t="s">
        <v>9</v>
      </c>
      <c r="BJ191">
        <v>-1.261E-5</v>
      </c>
      <c r="BK191">
        <v>0</v>
      </c>
      <c r="BL191">
        <v>6.4670000000000003E-5</v>
      </c>
      <c r="BM191" s="2">
        <f t="shared" si="2"/>
        <v>2.6648549840645821E-7</v>
      </c>
    </row>
    <row r="192" spans="1:65" x14ac:dyDescent="0.35">
      <c r="A192">
        <v>0</v>
      </c>
      <c r="B192" t="s">
        <v>11</v>
      </c>
      <c r="C192" t="s">
        <v>4</v>
      </c>
      <c r="D192">
        <v>0</v>
      </c>
      <c r="E192" t="s">
        <v>3</v>
      </c>
      <c r="F192" t="s">
        <v>5</v>
      </c>
      <c r="G192">
        <v>2658.1254180000001</v>
      </c>
      <c r="H192" t="s">
        <v>4</v>
      </c>
      <c r="I192">
        <v>990.16341899999998</v>
      </c>
      <c r="J192">
        <v>1667.9619990000001</v>
      </c>
      <c r="K192" t="s">
        <v>6</v>
      </c>
      <c r="L192" t="s">
        <v>7</v>
      </c>
      <c r="M192" t="s">
        <v>8</v>
      </c>
      <c r="N192" t="s">
        <v>6</v>
      </c>
      <c r="O192" t="s">
        <v>3</v>
      </c>
      <c r="P192" t="s">
        <v>3</v>
      </c>
      <c r="Q192" t="s">
        <v>3</v>
      </c>
      <c r="R192" t="s">
        <v>3</v>
      </c>
      <c r="S192" t="s">
        <v>11</v>
      </c>
      <c r="T192" t="s">
        <v>7</v>
      </c>
      <c r="U192">
        <v>2</v>
      </c>
      <c r="V192">
        <v>0</v>
      </c>
      <c r="W192">
        <v>0</v>
      </c>
      <c r="X192">
        <v>1</v>
      </c>
      <c r="Y192">
        <v>0</v>
      </c>
      <c r="Z192" t="s">
        <v>18</v>
      </c>
      <c r="AA192" t="s">
        <v>4</v>
      </c>
      <c r="AB192" t="s">
        <v>6</v>
      </c>
      <c r="AC192" t="s">
        <v>7</v>
      </c>
      <c r="AD192" t="s">
        <v>8</v>
      </c>
      <c r="AE192" t="s">
        <v>6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7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9</v>
      </c>
      <c r="AR192" s="1">
        <v>3.4363074399999999E-6</v>
      </c>
      <c r="AS192" s="1">
        <v>5.2899084300000004E-29</v>
      </c>
      <c r="AT192">
        <v>8</v>
      </c>
      <c r="AU192" t="s">
        <v>10</v>
      </c>
      <c r="AV192">
        <v>2</v>
      </c>
      <c r="AW192">
        <v>0</v>
      </c>
      <c r="AX192">
        <v>0</v>
      </c>
      <c r="AY192">
        <v>1</v>
      </c>
      <c r="AZ192">
        <v>0</v>
      </c>
      <c r="BA192" t="s">
        <v>18</v>
      </c>
      <c r="BB192" t="s">
        <v>4</v>
      </c>
      <c r="BC192" t="s">
        <v>10</v>
      </c>
      <c r="BD192">
        <v>0</v>
      </c>
      <c r="BE192">
        <v>0</v>
      </c>
      <c r="BF192">
        <v>0</v>
      </c>
      <c r="BG192">
        <v>0</v>
      </c>
      <c r="BH192">
        <v>0</v>
      </c>
      <c r="BI192" t="s">
        <v>9</v>
      </c>
      <c r="BJ192">
        <v>0</v>
      </c>
      <c r="BK192">
        <v>-3.4400000000000001E-6</v>
      </c>
      <c r="BL192">
        <v>0</v>
      </c>
      <c r="BM192" s="2">
        <f t="shared" si="2"/>
        <v>3.1856573384566945E-10</v>
      </c>
    </row>
    <row r="193" spans="1:65" x14ac:dyDescent="0.35">
      <c r="A193">
        <v>0</v>
      </c>
      <c r="B193" t="s">
        <v>11</v>
      </c>
      <c r="C193" t="s">
        <v>4</v>
      </c>
      <c r="D193">
        <v>0</v>
      </c>
      <c r="E193" t="s">
        <v>3</v>
      </c>
      <c r="F193" t="s">
        <v>5</v>
      </c>
      <c r="G193">
        <v>2971.7811419999998</v>
      </c>
      <c r="H193" t="s">
        <v>4</v>
      </c>
      <c r="I193">
        <v>990.16341899999998</v>
      </c>
      <c r="J193">
        <v>1981.617722</v>
      </c>
      <c r="K193" t="s">
        <v>6</v>
      </c>
      <c r="L193" t="s">
        <v>7</v>
      </c>
      <c r="M193" t="s">
        <v>8</v>
      </c>
      <c r="N193" t="s">
        <v>6</v>
      </c>
      <c r="O193" t="s">
        <v>3</v>
      </c>
      <c r="P193" t="s">
        <v>3</v>
      </c>
      <c r="Q193" t="s">
        <v>3</v>
      </c>
      <c r="R193" t="s">
        <v>3</v>
      </c>
      <c r="S193" t="s">
        <v>11</v>
      </c>
      <c r="T193" t="s">
        <v>7</v>
      </c>
      <c r="U193">
        <v>0</v>
      </c>
      <c r="V193">
        <v>1</v>
      </c>
      <c r="W193">
        <v>0</v>
      </c>
      <c r="X193">
        <v>3</v>
      </c>
      <c r="Y193">
        <v>0</v>
      </c>
      <c r="Z193" t="s">
        <v>18</v>
      </c>
      <c r="AA193" t="s">
        <v>4</v>
      </c>
      <c r="AB193" t="s">
        <v>6</v>
      </c>
      <c r="AC193" t="s">
        <v>7</v>
      </c>
      <c r="AD193" t="s">
        <v>8</v>
      </c>
      <c r="AE193" t="s">
        <v>6</v>
      </c>
      <c r="AF193" t="s">
        <v>3</v>
      </c>
      <c r="AG193" t="s">
        <v>3</v>
      </c>
      <c r="AH193" t="s">
        <v>3</v>
      </c>
      <c r="AI193" t="s">
        <v>3</v>
      </c>
      <c r="AJ193" t="s">
        <v>3</v>
      </c>
      <c r="AK193" t="s">
        <v>7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9</v>
      </c>
      <c r="AR193" s="1">
        <v>3.4913660800000001E-5</v>
      </c>
      <c r="AS193" s="1">
        <v>6.4892787099999996E-27</v>
      </c>
      <c r="AT193">
        <v>9</v>
      </c>
      <c r="AU193" t="s">
        <v>10</v>
      </c>
      <c r="AV193">
        <v>0</v>
      </c>
      <c r="AW193">
        <v>1</v>
      </c>
      <c r="AX193">
        <v>0</v>
      </c>
      <c r="AY193">
        <v>3</v>
      </c>
      <c r="AZ193">
        <v>0</v>
      </c>
      <c r="BA193" t="s">
        <v>18</v>
      </c>
      <c r="BB193" t="s">
        <v>4</v>
      </c>
      <c r="BC193" t="s">
        <v>10</v>
      </c>
      <c r="BD193">
        <v>0</v>
      </c>
      <c r="BE193">
        <v>0</v>
      </c>
      <c r="BF193">
        <v>0</v>
      </c>
      <c r="BG193">
        <v>0</v>
      </c>
      <c r="BH193">
        <v>0</v>
      </c>
      <c r="BI193" t="s">
        <v>9</v>
      </c>
      <c r="BJ193">
        <v>0</v>
      </c>
      <c r="BK193">
        <v>-3.4910000000000003E-5</v>
      </c>
      <c r="BL193">
        <v>0</v>
      </c>
      <c r="BM193" s="2">
        <f t="shared" si="2"/>
        <v>3.907935008206236E-8</v>
      </c>
    </row>
    <row r="194" spans="1:65" x14ac:dyDescent="0.35">
      <c r="A194">
        <v>0</v>
      </c>
      <c r="B194" t="s">
        <v>11</v>
      </c>
      <c r="C194" t="s">
        <v>4</v>
      </c>
      <c r="D194">
        <v>0</v>
      </c>
      <c r="E194" t="s">
        <v>3</v>
      </c>
      <c r="F194" t="s">
        <v>5</v>
      </c>
      <c r="G194">
        <v>4510.1146440000002</v>
      </c>
      <c r="H194" t="s">
        <v>4</v>
      </c>
      <c r="I194">
        <v>990.16341899999998</v>
      </c>
      <c r="J194">
        <v>3519.9512249999998</v>
      </c>
      <c r="K194" t="s">
        <v>6</v>
      </c>
      <c r="L194" t="s">
        <v>7</v>
      </c>
      <c r="M194" t="s">
        <v>8</v>
      </c>
      <c r="N194" t="s">
        <v>6</v>
      </c>
      <c r="O194" t="s">
        <v>3</v>
      </c>
      <c r="P194" t="s">
        <v>3</v>
      </c>
      <c r="Q194" t="s">
        <v>3</v>
      </c>
      <c r="R194" t="s">
        <v>3</v>
      </c>
      <c r="S194" t="s">
        <v>11</v>
      </c>
      <c r="T194" t="s">
        <v>7</v>
      </c>
      <c r="U194">
        <v>0</v>
      </c>
      <c r="V194">
        <v>1</v>
      </c>
      <c r="W194">
        <v>0</v>
      </c>
      <c r="X194">
        <v>2</v>
      </c>
      <c r="Y194">
        <v>1</v>
      </c>
      <c r="Z194" t="s">
        <v>14</v>
      </c>
      <c r="AA194" t="s">
        <v>4</v>
      </c>
      <c r="AB194" t="s">
        <v>6</v>
      </c>
      <c r="AC194" t="s">
        <v>7</v>
      </c>
      <c r="AD194" t="s">
        <v>8</v>
      </c>
      <c r="AE194" t="s">
        <v>6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7</v>
      </c>
      <c r="AL194">
        <v>0</v>
      </c>
      <c r="AM194">
        <v>0</v>
      </c>
      <c r="AN194">
        <v>0</v>
      </c>
      <c r="AO194">
        <v>0</v>
      </c>
      <c r="AP194">
        <v>0</v>
      </c>
      <c r="AQ194" t="s">
        <v>9</v>
      </c>
      <c r="AR194" s="1">
        <v>7.7299297699999997E-6</v>
      </c>
      <c r="AS194" s="1">
        <v>5.6507212800000001E-28</v>
      </c>
      <c r="AT194">
        <v>8</v>
      </c>
      <c r="AU194" t="s">
        <v>10</v>
      </c>
      <c r="AV194">
        <v>0</v>
      </c>
      <c r="AW194">
        <v>1</v>
      </c>
      <c r="AX194">
        <v>0</v>
      </c>
      <c r="AY194">
        <v>2</v>
      </c>
      <c r="AZ194">
        <v>1</v>
      </c>
      <c r="BA194" t="s">
        <v>14</v>
      </c>
      <c r="BB194" t="s">
        <v>4</v>
      </c>
      <c r="BC194" t="s">
        <v>10</v>
      </c>
      <c r="BD194">
        <v>0</v>
      </c>
      <c r="BE194">
        <v>0</v>
      </c>
      <c r="BF194">
        <v>0</v>
      </c>
      <c r="BG194">
        <v>0</v>
      </c>
      <c r="BH194">
        <v>0</v>
      </c>
      <c r="BI194" t="s">
        <v>9</v>
      </c>
      <c r="BJ194">
        <v>0</v>
      </c>
      <c r="BK194">
        <v>-7.7300000000000005E-6</v>
      </c>
      <c r="BL194">
        <v>0</v>
      </c>
      <c r="BM194" s="2">
        <f t="shared" ref="BM194:BM257" si="3">AS194*10^(-5)*6.0221408*10^(23)</f>
        <v>3.4029439169716222E-9</v>
      </c>
    </row>
    <row r="195" spans="1:65" x14ac:dyDescent="0.35">
      <c r="A195">
        <v>0</v>
      </c>
      <c r="B195" t="s">
        <v>3</v>
      </c>
      <c r="C195" t="s">
        <v>4</v>
      </c>
      <c r="D195">
        <v>0</v>
      </c>
      <c r="E195" t="s">
        <v>3</v>
      </c>
      <c r="F195" t="s">
        <v>5</v>
      </c>
      <c r="G195">
        <v>4112.8391929999998</v>
      </c>
      <c r="H195" t="s">
        <v>4</v>
      </c>
      <c r="I195">
        <v>990.16341899999998</v>
      </c>
      <c r="J195">
        <v>3122.6757739999998</v>
      </c>
      <c r="K195" t="s">
        <v>6</v>
      </c>
      <c r="L195" t="s">
        <v>7</v>
      </c>
      <c r="M195" t="s">
        <v>8</v>
      </c>
      <c r="N195" t="s">
        <v>6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7</v>
      </c>
      <c r="U195">
        <v>1</v>
      </c>
      <c r="V195">
        <v>0</v>
      </c>
      <c r="W195">
        <v>0</v>
      </c>
      <c r="X195">
        <v>1</v>
      </c>
      <c r="Y195">
        <v>1</v>
      </c>
      <c r="Z195" t="s">
        <v>21</v>
      </c>
      <c r="AA195" t="s">
        <v>4</v>
      </c>
      <c r="AB195" t="s">
        <v>6</v>
      </c>
      <c r="AC195" t="s">
        <v>7</v>
      </c>
      <c r="AD195" t="s">
        <v>8</v>
      </c>
      <c r="AE195" t="s">
        <v>6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7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9</v>
      </c>
      <c r="AR195" s="1">
        <v>1.6701849999999999E-4</v>
      </c>
      <c r="AS195" s="1">
        <v>2.34030301E-25</v>
      </c>
      <c r="AT195">
        <v>10</v>
      </c>
      <c r="AU195" t="s">
        <v>10</v>
      </c>
      <c r="AV195">
        <v>1</v>
      </c>
      <c r="AW195">
        <v>0</v>
      </c>
      <c r="AX195">
        <v>0</v>
      </c>
      <c r="AY195">
        <v>1</v>
      </c>
      <c r="AZ195">
        <v>1</v>
      </c>
      <c r="BA195" t="s">
        <v>21</v>
      </c>
      <c r="BB195" t="s">
        <v>4</v>
      </c>
      <c r="BC195" t="s">
        <v>10</v>
      </c>
      <c r="BD195">
        <v>0</v>
      </c>
      <c r="BE195">
        <v>0</v>
      </c>
      <c r="BF195">
        <v>0</v>
      </c>
      <c r="BG195">
        <v>0</v>
      </c>
      <c r="BH195">
        <v>0</v>
      </c>
      <c r="BI195" t="s">
        <v>9</v>
      </c>
      <c r="BJ195">
        <v>-1.4940999999999999E-4</v>
      </c>
      <c r="BK195">
        <v>0</v>
      </c>
      <c r="BL195">
        <v>-7.4649999999999998E-5</v>
      </c>
      <c r="BM195" s="2">
        <f t="shared" si="3"/>
        <v>1.4093634240883808E-6</v>
      </c>
    </row>
    <row r="196" spans="1:65" x14ac:dyDescent="0.35">
      <c r="A196">
        <v>0</v>
      </c>
      <c r="B196" t="s">
        <v>3</v>
      </c>
      <c r="C196" t="s">
        <v>4</v>
      </c>
      <c r="D196">
        <v>0</v>
      </c>
      <c r="E196" t="s">
        <v>3</v>
      </c>
      <c r="F196" t="s">
        <v>5</v>
      </c>
      <c r="G196">
        <v>4950.1565810000002</v>
      </c>
      <c r="H196" t="s">
        <v>4</v>
      </c>
      <c r="I196">
        <v>990.16341899999998</v>
      </c>
      <c r="J196">
        <v>3959.9931620000002</v>
      </c>
      <c r="K196" t="s">
        <v>6</v>
      </c>
      <c r="L196" t="s">
        <v>7</v>
      </c>
      <c r="M196" t="s">
        <v>8</v>
      </c>
      <c r="N196" t="s">
        <v>6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7</v>
      </c>
      <c r="U196">
        <v>0</v>
      </c>
      <c r="V196">
        <v>1</v>
      </c>
      <c r="W196">
        <v>0</v>
      </c>
      <c r="X196">
        <v>5</v>
      </c>
      <c r="Y196">
        <v>1</v>
      </c>
      <c r="Z196" t="s">
        <v>9</v>
      </c>
      <c r="AA196" t="s">
        <v>4</v>
      </c>
      <c r="AB196" t="s">
        <v>6</v>
      </c>
      <c r="AC196" t="s">
        <v>7</v>
      </c>
      <c r="AD196" t="s">
        <v>8</v>
      </c>
      <c r="AE196" t="s">
        <v>6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t="s">
        <v>7</v>
      </c>
      <c r="AL196">
        <v>0</v>
      </c>
      <c r="AM196">
        <v>0</v>
      </c>
      <c r="AN196">
        <v>0</v>
      </c>
      <c r="AO196">
        <v>0</v>
      </c>
      <c r="AP196">
        <v>0</v>
      </c>
      <c r="AQ196" t="s">
        <v>9</v>
      </c>
      <c r="AR196" s="1">
        <v>8.5832001700000005E-5</v>
      </c>
      <c r="AS196" s="1">
        <v>7.8380689399999994E-26</v>
      </c>
      <c r="AT196">
        <v>9</v>
      </c>
      <c r="AU196" t="s">
        <v>10</v>
      </c>
      <c r="AV196">
        <v>0</v>
      </c>
      <c r="AW196">
        <v>1</v>
      </c>
      <c r="AX196">
        <v>0</v>
      </c>
      <c r="AY196">
        <v>5</v>
      </c>
      <c r="AZ196">
        <v>1</v>
      </c>
      <c r="BA196" t="s">
        <v>9</v>
      </c>
      <c r="BB196" t="s">
        <v>4</v>
      </c>
      <c r="BC196" t="s">
        <v>10</v>
      </c>
      <c r="BD196">
        <v>0</v>
      </c>
      <c r="BE196">
        <v>0</v>
      </c>
      <c r="BF196">
        <v>0</v>
      </c>
      <c r="BG196">
        <v>0</v>
      </c>
      <c r="BH196">
        <v>0</v>
      </c>
      <c r="BI196" t="s">
        <v>9</v>
      </c>
      <c r="BJ196">
        <v>4.7889999999999997E-5</v>
      </c>
      <c r="BK196">
        <v>0</v>
      </c>
      <c r="BL196">
        <v>-7.1229999999999994E-5</v>
      </c>
      <c r="BM196" s="2">
        <f t="shared" si="3"/>
        <v>4.7201954756786747E-7</v>
      </c>
    </row>
    <row r="197" spans="1:65" x14ac:dyDescent="0.35">
      <c r="A197">
        <v>0</v>
      </c>
      <c r="B197" t="s">
        <v>3</v>
      </c>
      <c r="C197" t="s">
        <v>4</v>
      </c>
      <c r="D197">
        <v>0</v>
      </c>
      <c r="E197" t="s">
        <v>3</v>
      </c>
      <c r="F197" t="s">
        <v>5</v>
      </c>
      <c r="G197">
        <v>4594.0978089999999</v>
      </c>
      <c r="H197" t="s">
        <v>4</v>
      </c>
      <c r="I197">
        <v>990.16341899999998</v>
      </c>
      <c r="J197">
        <v>3603.9343899999999</v>
      </c>
      <c r="K197" t="s">
        <v>6</v>
      </c>
      <c r="L197" t="s">
        <v>7</v>
      </c>
      <c r="M197" t="s">
        <v>8</v>
      </c>
      <c r="N197" t="s">
        <v>6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7</v>
      </c>
      <c r="U197">
        <v>0</v>
      </c>
      <c r="V197">
        <v>0</v>
      </c>
      <c r="W197">
        <v>0</v>
      </c>
      <c r="X197">
        <v>4</v>
      </c>
      <c r="Y197">
        <v>1</v>
      </c>
      <c r="Z197" t="s">
        <v>21</v>
      </c>
      <c r="AA197" t="s">
        <v>4</v>
      </c>
      <c r="AB197" t="s">
        <v>6</v>
      </c>
      <c r="AC197" t="s">
        <v>7</v>
      </c>
      <c r="AD197" t="s">
        <v>8</v>
      </c>
      <c r="AE197" t="s">
        <v>6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7</v>
      </c>
      <c r="AL197">
        <v>0</v>
      </c>
      <c r="AM197">
        <v>0</v>
      </c>
      <c r="AN197">
        <v>0</v>
      </c>
      <c r="AO197">
        <v>0</v>
      </c>
      <c r="AP197">
        <v>0</v>
      </c>
      <c r="AQ197" t="s">
        <v>9</v>
      </c>
      <c r="AR197" s="1">
        <v>1.24508429E-4</v>
      </c>
      <c r="AS197" s="1">
        <v>1.5010340099999999E-25</v>
      </c>
      <c r="AT197">
        <v>10</v>
      </c>
      <c r="AU197" t="s">
        <v>10</v>
      </c>
      <c r="AV197">
        <v>0</v>
      </c>
      <c r="AW197">
        <v>0</v>
      </c>
      <c r="AX197">
        <v>0</v>
      </c>
      <c r="AY197">
        <v>4</v>
      </c>
      <c r="AZ197">
        <v>1</v>
      </c>
      <c r="BA197" t="s">
        <v>21</v>
      </c>
      <c r="BB197" t="s">
        <v>4</v>
      </c>
      <c r="BC197" t="s">
        <v>10</v>
      </c>
      <c r="BD197">
        <v>0</v>
      </c>
      <c r="BE197">
        <v>0</v>
      </c>
      <c r="BF197">
        <v>0</v>
      </c>
      <c r="BG197">
        <v>0</v>
      </c>
      <c r="BH197">
        <v>0</v>
      </c>
      <c r="BI197" t="s">
        <v>9</v>
      </c>
      <c r="BJ197">
        <v>1.0302E-4</v>
      </c>
      <c r="BK197">
        <v>0</v>
      </c>
      <c r="BL197">
        <v>-6.9919999999999995E-5</v>
      </c>
      <c r="BM197" s="2">
        <f t="shared" si="3"/>
        <v>9.039438153808608E-7</v>
      </c>
    </row>
    <row r="198" spans="1:65" x14ac:dyDescent="0.35">
      <c r="A198">
        <v>0</v>
      </c>
      <c r="B198" t="s">
        <v>11</v>
      </c>
      <c r="C198" t="s">
        <v>4</v>
      </c>
      <c r="D198">
        <v>0</v>
      </c>
      <c r="E198" t="s">
        <v>3</v>
      </c>
      <c r="F198" t="s">
        <v>5</v>
      </c>
      <c r="G198">
        <v>4889.1668659999996</v>
      </c>
      <c r="H198" t="s">
        <v>4</v>
      </c>
      <c r="I198">
        <v>990.16341899999998</v>
      </c>
      <c r="J198">
        <v>3899.0034470000001</v>
      </c>
      <c r="K198" t="s">
        <v>6</v>
      </c>
      <c r="L198" t="s">
        <v>7</v>
      </c>
      <c r="M198" t="s">
        <v>8</v>
      </c>
      <c r="N198" t="s">
        <v>6</v>
      </c>
      <c r="O198" t="s">
        <v>3</v>
      </c>
      <c r="P198" t="s">
        <v>3</v>
      </c>
      <c r="Q198" t="s">
        <v>3</v>
      </c>
      <c r="R198" t="s">
        <v>3</v>
      </c>
      <c r="S198" t="s">
        <v>11</v>
      </c>
      <c r="T198" t="s">
        <v>7</v>
      </c>
      <c r="U198">
        <v>3</v>
      </c>
      <c r="V198">
        <v>0</v>
      </c>
      <c r="W198">
        <v>0</v>
      </c>
      <c r="X198">
        <v>0</v>
      </c>
      <c r="Y198">
        <v>1</v>
      </c>
      <c r="Z198" t="s">
        <v>14</v>
      </c>
      <c r="AA198" t="s">
        <v>4</v>
      </c>
      <c r="AB198" t="s">
        <v>6</v>
      </c>
      <c r="AC198" t="s">
        <v>7</v>
      </c>
      <c r="AD198" t="s">
        <v>8</v>
      </c>
      <c r="AE198" t="s">
        <v>6</v>
      </c>
      <c r="AF198" t="s">
        <v>3</v>
      </c>
      <c r="AG198" t="s">
        <v>3</v>
      </c>
      <c r="AH198" t="s">
        <v>3</v>
      </c>
      <c r="AI198" t="s">
        <v>3</v>
      </c>
      <c r="AJ198" t="s">
        <v>3</v>
      </c>
      <c r="AK198" t="s">
        <v>7</v>
      </c>
      <c r="AL198">
        <v>0</v>
      </c>
      <c r="AM198">
        <v>0</v>
      </c>
      <c r="AN198">
        <v>0</v>
      </c>
      <c r="AO198">
        <v>0</v>
      </c>
      <c r="AP198">
        <v>0</v>
      </c>
      <c r="AQ198" t="s">
        <v>9</v>
      </c>
      <c r="AR198" s="1">
        <v>2.8485846700000001E-5</v>
      </c>
      <c r="AS198" s="1">
        <v>8.5001784899999994E-27</v>
      </c>
      <c r="AT198">
        <v>9</v>
      </c>
      <c r="AU198" t="s">
        <v>10</v>
      </c>
      <c r="AV198">
        <v>3</v>
      </c>
      <c r="AW198">
        <v>0</v>
      </c>
      <c r="AX198">
        <v>0</v>
      </c>
      <c r="AY198">
        <v>0</v>
      </c>
      <c r="AZ198">
        <v>1</v>
      </c>
      <c r="BA198" t="s">
        <v>14</v>
      </c>
      <c r="BB198" t="s">
        <v>4</v>
      </c>
      <c r="BC198" t="s">
        <v>10</v>
      </c>
      <c r="BD198">
        <v>0</v>
      </c>
      <c r="BE198">
        <v>0</v>
      </c>
      <c r="BF198">
        <v>0</v>
      </c>
      <c r="BG198">
        <v>0</v>
      </c>
      <c r="BH198">
        <v>0</v>
      </c>
      <c r="BI198" t="s">
        <v>9</v>
      </c>
      <c r="BJ198">
        <v>0</v>
      </c>
      <c r="BK198">
        <v>-2.849E-5</v>
      </c>
      <c r="BL198">
        <v>0</v>
      </c>
      <c r="BM198" s="2">
        <f t="shared" si="3"/>
        <v>5.1189271691911383E-8</v>
      </c>
    </row>
    <row r="199" spans="1:65" x14ac:dyDescent="0.35">
      <c r="A199">
        <v>0</v>
      </c>
      <c r="B199" t="s">
        <v>11</v>
      </c>
      <c r="C199" t="s">
        <v>4</v>
      </c>
      <c r="D199">
        <v>0</v>
      </c>
      <c r="E199" t="s">
        <v>3</v>
      </c>
      <c r="F199" t="s">
        <v>5</v>
      </c>
      <c r="G199">
        <v>3385.96299</v>
      </c>
      <c r="H199" t="s">
        <v>4</v>
      </c>
      <c r="I199">
        <v>990.16341899999998</v>
      </c>
      <c r="J199">
        <v>2395.799571</v>
      </c>
      <c r="K199" t="s">
        <v>6</v>
      </c>
      <c r="L199" t="s">
        <v>7</v>
      </c>
      <c r="M199" t="s">
        <v>8</v>
      </c>
      <c r="N199" t="s">
        <v>6</v>
      </c>
      <c r="O199" t="s">
        <v>3</v>
      </c>
      <c r="P199" t="s">
        <v>3</v>
      </c>
      <c r="Q199" t="s">
        <v>3</v>
      </c>
      <c r="R199" t="s">
        <v>3</v>
      </c>
      <c r="S199" t="s">
        <v>11</v>
      </c>
      <c r="T199" t="s">
        <v>7</v>
      </c>
      <c r="U199">
        <v>1</v>
      </c>
      <c r="V199">
        <v>0</v>
      </c>
      <c r="W199">
        <v>0</v>
      </c>
      <c r="X199">
        <v>3</v>
      </c>
      <c r="Y199">
        <v>1</v>
      </c>
      <c r="Z199" t="s">
        <v>18</v>
      </c>
      <c r="AA199" t="s">
        <v>4</v>
      </c>
      <c r="AB199" t="s">
        <v>6</v>
      </c>
      <c r="AC199" t="s">
        <v>7</v>
      </c>
      <c r="AD199" t="s">
        <v>8</v>
      </c>
      <c r="AE199" t="s">
        <v>6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7</v>
      </c>
      <c r="AL199">
        <v>0</v>
      </c>
      <c r="AM199">
        <v>0</v>
      </c>
      <c r="AN199">
        <v>0</v>
      </c>
      <c r="AO199">
        <v>0</v>
      </c>
      <c r="AP199">
        <v>0</v>
      </c>
      <c r="AQ199" t="s">
        <v>9</v>
      </c>
      <c r="AR199" s="1">
        <v>2.0000300799999998E-5</v>
      </c>
      <c r="AS199" s="1">
        <v>2.5747530899999999E-27</v>
      </c>
      <c r="AT199">
        <v>10</v>
      </c>
      <c r="AU199" t="s">
        <v>10</v>
      </c>
      <c r="AV199">
        <v>1</v>
      </c>
      <c r="AW199">
        <v>0</v>
      </c>
      <c r="AX199">
        <v>0</v>
      </c>
      <c r="AY199">
        <v>3</v>
      </c>
      <c r="AZ199">
        <v>1</v>
      </c>
      <c r="BA199" t="s">
        <v>18</v>
      </c>
      <c r="BB199" t="s">
        <v>4</v>
      </c>
      <c r="BC199" t="s">
        <v>10</v>
      </c>
      <c r="BD199">
        <v>0</v>
      </c>
      <c r="BE199">
        <v>0</v>
      </c>
      <c r="BF199">
        <v>0</v>
      </c>
      <c r="BG199">
        <v>0</v>
      </c>
      <c r="BH199">
        <v>0</v>
      </c>
      <c r="BI199" t="s">
        <v>9</v>
      </c>
      <c r="BJ199">
        <v>0</v>
      </c>
      <c r="BK199">
        <v>2.0000000000000002E-5</v>
      </c>
      <c r="BL199">
        <v>0</v>
      </c>
      <c r="BM199" s="2">
        <f t="shared" si="3"/>
        <v>1.5505525633215071E-8</v>
      </c>
    </row>
    <row r="200" spans="1:65" x14ac:dyDescent="0.35">
      <c r="A200">
        <v>0</v>
      </c>
      <c r="B200" t="s">
        <v>3</v>
      </c>
      <c r="C200" t="s">
        <v>4</v>
      </c>
      <c r="D200">
        <v>0</v>
      </c>
      <c r="E200" t="s">
        <v>3</v>
      </c>
      <c r="F200" t="s">
        <v>5</v>
      </c>
      <c r="G200">
        <v>3146.751812</v>
      </c>
      <c r="H200" t="s">
        <v>4</v>
      </c>
      <c r="I200">
        <v>990.16341899999998</v>
      </c>
      <c r="J200">
        <v>2156.588393</v>
      </c>
      <c r="K200" t="s">
        <v>6</v>
      </c>
      <c r="L200" t="s">
        <v>7</v>
      </c>
      <c r="M200" t="s">
        <v>8</v>
      </c>
      <c r="N200" t="s">
        <v>6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7</v>
      </c>
      <c r="U200">
        <v>0</v>
      </c>
      <c r="V200">
        <v>0</v>
      </c>
      <c r="W200">
        <v>0</v>
      </c>
      <c r="X200">
        <v>1</v>
      </c>
      <c r="Y200">
        <v>2</v>
      </c>
      <c r="Z200" t="s">
        <v>9</v>
      </c>
      <c r="AA200" t="s">
        <v>4</v>
      </c>
      <c r="AB200" t="s">
        <v>6</v>
      </c>
      <c r="AC200" t="s">
        <v>7</v>
      </c>
      <c r="AD200" t="s">
        <v>8</v>
      </c>
      <c r="AE200" t="s">
        <v>6</v>
      </c>
      <c r="AF200" t="s">
        <v>3</v>
      </c>
      <c r="AG200" t="s">
        <v>3</v>
      </c>
      <c r="AH200" t="s">
        <v>3</v>
      </c>
      <c r="AI200" t="s">
        <v>3</v>
      </c>
      <c r="AJ200" t="s">
        <v>3</v>
      </c>
      <c r="AK200" t="s">
        <v>7</v>
      </c>
      <c r="AL200">
        <v>0</v>
      </c>
      <c r="AM200">
        <v>0</v>
      </c>
      <c r="AN200">
        <v>0</v>
      </c>
      <c r="AO200">
        <v>0</v>
      </c>
      <c r="AP200">
        <v>0</v>
      </c>
      <c r="AQ200" t="s">
        <v>9</v>
      </c>
      <c r="AR200" s="1">
        <v>8.2410537100000003E-4</v>
      </c>
      <c r="AS200" s="1">
        <v>3.9349195700000003E-24</v>
      </c>
      <c r="AT200">
        <v>10</v>
      </c>
      <c r="AU200" t="s">
        <v>10</v>
      </c>
      <c r="AV200">
        <v>0</v>
      </c>
      <c r="AW200">
        <v>0</v>
      </c>
      <c r="AX200">
        <v>0</v>
      </c>
      <c r="AY200">
        <v>1</v>
      </c>
      <c r="AZ200">
        <v>2</v>
      </c>
      <c r="BA200" t="s">
        <v>9</v>
      </c>
      <c r="BB200" t="s">
        <v>4</v>
      </c>
      <c r="BC200" t="s">
        <v>10</v>
      </c>
      <c r="BD200">
        <v>0</v>
      </c>
      <c r="BE200">
        <v>0</v>
      </c>
      <c r="BF200">
        <v>0</v>
      </c>
      <c r="BG200">
        <v>0</v>
      </c>
      <c r="BH200">
        <v>0</v>
      </c>
      <c r="BI200" t="s">
        <v>9</v>
      </c>
      <c r="BJ200">
        <v>8.2100999999999995E-4</v>
      </c>
      <c r="BK200">
        <v>0</v>
      </c>
      <c r="BL200">
        <v>7.135E-5</v>
      </c>
      <c r="BM200" s="2">
        <f t="shared" si="3"/>
        <v>2.3696639687215458E-5</v>
      </c>
    </row>
    <row r="201" spans="1:65" x14ac:dyDescent="0.35">
      <c r="A201">
        <v>0</v>
      </c>
      <c r="B201" t="s">
        <v>3</v>
      </c>
      <c r="C201" t="s">
        <v>4</v>
      </c>
      <c r="D201">
        <v>0</v>
      </c>
      <c r="E201" t="s">
        <v>3</v>
      </c>
      <c r="F201" t="s">
        <v>5</v>
      </c>
      <c r="G201">
        <v>4660.8497349999998</v>
      </c>
      <c r="H201" t="s">
        <v>4</v>
      </c>
      <c r="I201">
        <v>990.16341899999998</v>
      </c>
      <c r="J201">
        <v>3670.6863159999998</v>
      </c>
      <c r="K201" t="s">
        <v>6</v>
      </c>
      <c r="L201" t="s">
        <v>7</v>
      </c>
      <c r="M201" t="s">
        <v>8</v>
      </c>
      <c r="N201" t="s">
        <v>6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7</v>
      </c>
      <c r="U201">
        <v>1</v>
      </c>
      <c r="V201">
        <v>1</v>
      </c>
      <c r="W201">
        <v>0</v>
      </c>
      <c r="X201">
        <v>0</v>
      </c>
      <c r="Y201">
        <v>0</v>
      </c>
      <c r="Z201" t="s">
        <v>29</v>
      </c>
      <c r="AA201" t="s">
        <v>4</v>
      </c>
      <c r="AB201" t="s">
        <v>6</v>
      </c>
      <c r="AC201" t="s">
        <v>7</v>
      </c>
      <c r="AD201" t="s">
        <v>8</v>
      </c>
      <c r="AE201" t="s">
        <v>6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t="s">
        <v>7</v>
      </c>
      <c r="AL201">
        <v>0</v>
      </c>
      <c r="AM201">
        <v>0</v>
      </c>
      <c r="AN201">
        <v>0</v>
      </c>
      <c r="AO201">
        <v>0</v>
      </c>
      <c r="AP201">
        <v>0</v>
      </c>
      <c r="AQ201" t="s">
        <v>9</v>
      </c>
      <c r="AR201" s="1">
        <v>4.7942267900000002E-4</v>
      </c>
      <c r="AS201" s="1">
        <v>2.2667340899999999E-24</v>
      </c>
      <c r="AT201">
        <v>9</v>
      </c>
      <c r="AU201" t="s">
        <v>10</v>
      </c>
      <c r="AV201">
        <v>1</v>
      </c>
      <c r="AW201">
        <v>1</v>
      </c>
      <c r="AX201">
        <v>0</v>
      </c>
      <c r="AY201">
        <v>0</v>
      </c>
      <c r="AZ201">
        <v>0</v>
      </c>
      <c r="BA201" t="s">
        <v>29</v>
      </c>
      <c r="BB201" t="s">
        <v>4</v>
      </c>
      <c r="BC201" t="s">
        <v>10</v>
      </c>
      <c r="BD201">
        <v>0</v>
      </c>
      <c r="BE201">
        <v>0</v>
      </c>
      <c r="BF201">
        <v>0</v>
      </c>
      <c r="BG201">
        <v>0</v>
      </c>
      <c r="BH201">
        <v>0</v>
      </c>
      <c r="BI201" t="s">
        <v>9</v>
      </c>
      <c r="BJ201">
        <v>3.4796000000000002E-4</v>
      </c>
      <c r="BK201">
        <v>0</v>
      </c>
      <c r="BL201">
        <v>-3.2980999999999999E-4</v>
      </c>
      <c r="BM201" s="2">
        <f t="shared" si="3"/>
        <v>1.3650591846139869E-5</v>
      </c>
    </row>
    <row r="202" spans="1:65" x14ac:dyDescent="0.35">
      <c r="A202">
        <v>0</v>
      </c>
      <c r="B202" t="s">
        <v>11</v>
      </c>
      <c r="C202" t="s">
        <v>4</v>
      </c>
      <c r="D202">
        <v>0</v>
      </c>
      <c r="E202" t="s">
        <v>3</v>
      </c>
      <c r="F202" t="s">
        <v>5</v>
      </c>
      <c r="G202">
        <v>4297.5657650000003</v>
      </c>
      <c r="H202" t="s">
        <v>4</v>
      </c>
      <c r="I202">
        <v>990.16341899999998</v>
      </c>
      <c r="J202">
        <v>3307.4023459999999</v>
      </c>
      <c r="K202" t="s">
        <v>6</v>
      </c>
      <c r="L202" t="s">
        <v>7</v>
      </c>
      <c r="M202" t="s">
        <v>8</v>
      </c>
      <c r="N202" t="s">
        <v>6</v>
      </c>
      <c r="O202" t="s">
        <v>3</v>
      </c>
      <c r="P202" t="s">
        <v>3</v>
      </c>
      <c r="Q202" t="s">
        <v>3</v>
      </c>
      <c r="R202" t="s">
        <v>3</v>
      </c>
      <c r="S202" t="s">
        <v>11</v>
      </c>
      <c r="T202" t="s">
        <v>7</v>
      </c>
      <c r="U202">
        <v>2</v>
      </c>
      <c r="V202">
        <v>0</v>
      </c>
      <c r="W202">
        <v>0</v>
      </c>
      <c r="X202">
        <v>5</v>
      </c>
      <c r="Y202">
        <v>0</v>
      </c>
      <c r="Z202" t="s">
        <v>18</v>
      </c>
      <c r="AA202" t="s">
        <v>4</v>
      </c>
      <c r="AB202" t="s">
        <v>6</v>
      </c>
      <c r="AC202" t="s">
        <v>7</v>
      </c>
      <c r="AD202" t="s">
        <v>8</v>
      </c>
      <c r="AE202" t="s">
        <v>6</v>
      </c>
      <c r="AF202" t="s">
        <v>3</v>
      </c>
      <c r="AG202" t="s">
        <v>3</v>
      </c>
      <c r="AH202" t="s">
        <v>3</v>
      </c>
      <c r="AI202" t="s">
        <v>3</v>
      </c>
      <c r="AJ202" t="s">
        <v>3</v>
      </c>
      <c r="AK202" t="s">
        <v>7</v>
      </c>
      <c r="AL202">
        <v>0</v>
      </c>
      <c r="AM202">
        <v>0</v>
      </c>
      <c r="AN202">
        <v>0</v>
      </c>
      <c r="AO202">
        <v>0</v>
      </c>
      <c r="AP202">
        <v>0</v>
      </c>
      <c r="AQ202" t="s">
        <v>9</v>
      </c>
      <c r="AR202" s="1">
        <v>3.5999337800000001E-7</v>
      </c>
      <c r="AS202" s="1">
        <v>1.1515748400000001E-30</v>
      </c>
      <c r="AT202">
        <v>9</v>
      </c>
      <c r="AU202" t="s">
        <v>10</v>
      </c>
      <c r="AV202">
        <v>2</v>
      </c>
      <c r="AW202">
        <v>0</v>
      </c>
      <c r="AX202">
        <v>0</v>
      </c>
      <c r="AY202">
        <v>5</v>
      </c>
      <c r="AZ202">
        <v>0</v>
      </c>
      <c r="BA202" t="s">
        <v>18</v>
      </c>
      <c r="BB202" t="s">
        <v>4</v>
      </c>
      <c r="BC202" t="s">
        <v>10</v>
      </c>
      <c r="BD202">
        <v>0</v>
      </c>
      <c r="BE202">
        <v>0</v>
      </c>
      <c r="BF202">
        <v>0</v>
      </c>
      <c r="BG202">
        <v>0</v>
      </c>
      <c r="BH202">
        <v>0</v>
      </c>
      <c r="BI202" t="s">
        <v>9</v>
      </c>
      <c r="BJ202">
        <v>0</v>
      </c>
      <c r="BK202">
        <v>-3.5999999999999999E-7</v>
      </c>
      <c r="BL202">
        <v>0</v>
      </c>
      <c r="BM202" s="2">
        <f t="shared" si="3"/>
        <v>6.9349458282174725E-12</v>
      </c>
    </row>
    <row r="203" spans="1:65" x14ac:dyDescent="0.35">
      <c r="A203">
        <v>0</v>
      </c>
      <c r="B203" t="s">
        <v>3</v>
      </c>
      <c r="C203" t="s">
        <v>4</v>
      </c>
      <c r="D203">
        <v>0</v>
      </c>
      <c r="E203" t="s">
        <v>3</v>
      </c>
      <c r="F203" t="s">
        <v>5</v>
      </c>
      <c r="G203">
        <v>4215.328923</v>
      </c>
      <c r="H203" t="s">
        <v>4</v>
      </c>
      <c r="I203">
        <v>990.16341899999998</v>
      </c>
      <c r="J203">
        <v>3225.1655040000001</v>
      </c>
      <c r="K203" t="s">
        <v>6</v>
      </c>
      <c r="L203" t="s">
        <v>7</v>
      </c>
      <c r="M203" t="s">
        <v>8</v>
      </c>
      <c r="N203" t="s">
        <v>6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 t="s">
        <v>7</v>
      </c>
      <c r="U203">
        <v>1</v>
      </c>
      <c r="V203">
        <v>0</v>
      </c>
      <c r="W203">
        <v>0</v>
      </c>
      <c r="X203">
        <v>0</v>
      </c>
      <c r="Y203">
        <v>1</v>
      </c>
      <c r="Z203" t="s">
        <v>29</v>
      </c>
      <c r="AA203" t="s">
        <v>4</v>
      </c>
      <c r="AB203" t="s">
        <v>6</v>
      </c>
      <c r="AC203" t="s">
        <v>7</v>
      </c>
      <c r="AD203" t="s">
        <v>8</v>
      </c>
      <c r="AE203" t="s">
        <v>6</v>
      </c>
      <c r="AF203" t="s">
        <v>3</v>
      </c>
      <c r="AG203" t="s">
        <v>3</v>
      </c>
      <c r="AH203" t="s">
        <v>3</v>
      </c>
      <c r="AI203" t="s">
        <v>3</v>
      </c>
      <c r="AJ203" t="s">
        <v>3</v>
      </c>
      <c r="AK203" t="s">
        <v>7</v>
      </c>
      <c r="AL203">
        <v>0</v>
      </c>
      <c r="AM203">
        <v>0</v>
      </c>
      <c r="AN203">
        <v>0</v>
      </c>
      <c r="AO203">
        <v>0</v>
      </c>
      <c r="AP203">
        <v>0</v>
      </c>
      <c r="AQ203" t="s">
        <v>9</v>
      </c>
      <c r="AR203" s="1">
        <v>6.4378940900000002E-5</v>
      </c>
      <c r="AS203" s="1">
        <v>3.5913336100000001E-26</v>
      </c>
      <c r="AT203">
        <v>9</v>
      </c>
      <c r="AU203" t="s">
        <v>10</v>
      </c>
      <c r="AV203">
        <v>1</v>
      </c>
      <c r="AW203">
        <v>0</v>
      </c>
      <c r="AX203">
        <v>0</v>
      </c>
      <c r="AY203">
        <v>0</v>
      </c>
      <c r="AZ203">
        <v>1</v>
      </c>
      <c r="BA203" t="s">
        <v>29</v>
      </c>
      <c r="BB203" t="s">
        <v>4</v>
      </c>
      <c r="BC203" t="s">
        <v>10</v>
      </c>
      <c r="BD203">
        <v>0</v>
      </c>
      <c r="BE203">
        <v>0</v>
      </c>
      <c r="BF203">
        <v>0</v>
      </c>
      <c r="BG203">
        <v>0</v>
      </c>
      <c r="BH203">
        <v>0</v>
      </c>
      <c r="BI203" t="s">
        <v>9</v>
      </c>
      <c r="BJ203">
        <v>-2.179E-5</v>
      </c>
      <c r="BK203">
        <v>0</v>
      </c>
      <c r="BL203">
        <v>-6.0579999999999999E-5</v>
      </c>
      <c r="BM203" s="2">
        <f t="shared" si="3"/>
        <v>2.1627516659192287E-7</v>
      </c>
    </row>
    <row r="204" spans="1:65" x14ac:dyDescent="0.35">
      <c r="A204">
        <v>0</v>
      </c>
      <c r="B204" t="s">
        <v>11</v>
      </c>
      <c r="C204" t="s">
        <v>4</v>
      </c>
      <c r="D204">
        <v>0</v>
      </c>
      <c r="E204" t="s">
        <v>3</v>
      </c>
      <c r="F204" t="s">
        <v>5</v>
      </c>
      <c r="G204">
        <v>1442.1038570000001</v>
      </c>
      <c r="H204" t="s">
        <v>4</v>
      </c>
      <c r="I204">
        <v>990.16341899999998</v>
      </c>
      <c r="J204">
        <v>451.94043799999997</v>
      </c>
      <c r="K204" t="s">
        <v>6</v>
      </c>
      <c r="L204" t="s">
        <v>7</v>
      </c>
      <c r="M204" t="s">
        <v>8</v>
      </c>
      <c r="N204" t="s">
        <v>6</v>
      </c>
      <c r="O204" t="s">
        <v>3</v>
      </c>
      <c r="P204" t="s">
        <v>3</v>
      </c>
      <c r="Q204" t="s">
        <v>3</v>
      </c>
      <c r="R204" t="s">
        <v>3</v>
      </c>
      <c r="S204" t="s">
        <v>11</v>
      </c>
      <c r="T204" t="s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 t="s">
        <v>14</v>
      </c>
      <c r="AA204" t="s">
        <v>4</v>
      </c>
      <c r="AB204" t="s">
        <v>6</v>
      </c>
      <c r="AC204" t="s">
        <v>7</v>
      </c>
      <c r="AD204" t="s">
        <v>8</v>
      </c>
      <c r="AE204" t="s">
        <v>6</v>
      </c>
      <c r="AF204" t="s">
        <v>3</v>
      </c>
      <c r="AG204" t="s">
        <v>3</v>
      </c>
      <c r="AH204" t="s">
        <v>3</v>
      </c>
      <c r="AI204" t="s">
        <v>3</v>
      </c>
      <c r="AJ204" t="s">
        <v>3</v>
      </c>
      <c r="AK204" t="s">
        <v>7</v>
      </c>
      <c r="AL204">
        <v>0</v>
      </c>
      <c r="AM204">
        <v>0</v>
      </c>
      <c r="AN204">
        <v>0</v>
      </c>
      <c r="AO204">
        <v>0</v>
      </c>
      <c r="AP204">
        <v>0</v>
      </c>
      <c r="AQ204" t="s">
        <v>9</v>
      </c>
      <c r="AR204" s="1">
        <v>0.30456263300000003</v>
      </c>
      <c r="AS204" s="1">
        <v>9.9922815600000001E-20</v>
      </c>
      <c r="AT204">
        <v>11</v>
      </c>
      <c r="AU204" t="s">
        <v>10</v>
      </c>
      <c r="AV204">
        <v>0</v>
      </c>
      <c r="AW204">
        <v>0</v>
      </c>
      <c r="AX204">
        <v>0</v>
      </c>
      <c r="AY204">
        <v>0</v>
      </c>
      <c r="AZ204">
        <v>0</v>
      </c>
      <c r="BA204" t="s">
        <v>14</v>
      </c>
      <c r="BB204" t="s">
        <v>4</v>
      </c>
      <c r="BC204" t="s">
        <v>10</v>
      </c>
      <c r="BD204">
        <v>0</v>
      </c>
      <c r="BE204">
        <v>0</v>
      </c>
      <c r="BF204">
        <v>0</v>
      </c>
      <c r="BG204">
        <v>0</v>
      </c>
      <c r="BH204">
        <v>0</v>
      </c>
      <c r="BI204" t="s">
        <v>9</v>
      </c>
      <c r="BJ204">
        <v>0</v>
      </c>
      <c r="BK204">
        <v>0.30456263</v>
      </c>
      <c r="BL204">
        <v>0</v>
      </c>
      <c r="BM204" s="2">
        <f t="shared" si="3"/>
        <v>0.60174926467563639</v>
      </c>
    </row>
    <row r="205" spans="1:65" x14ac:dyDescent="0.35">
      <c r="A205">
        <v>0</v>
      </c>
      <c r="B205" t="s">
        <v>3</v>
      </c>
      <c r="C205" t="s">
        <v>4</v>
      </c>
      <c r="D205">
        <v>0</v>
      </c>
      <c r="E205" t="s">
        <v>3</v>
      </c>
      <c r="F205" t="s">
        <v>5</v>
      </c>
      <c r="G205">
        <v>4726.2964810000003</v>
      </c>
      <c r="H205" t="s">
        <v>4</v>
      </c>
      <c r="I205">
        <v>990.16341899999998</v>
      </c>
      <c r="J205">
        <v>3736.1330619999999</v>
      </c>
      <c r="K205" t="s">
        <v>6</v>
      </c>
      <c r="L205" t="s">
        <v>7</v>
      </c>
      <c r="M205" t="s">
        <v>8</v>
      </c>
      <c r="N205" t="s">
        <v>6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 t="s">
        <v>7</v>
      </c>
      <c r="U205">
        <v>4</v>
      </c>
      <c r="V205">
        <v>0</v>
      </c>
      <c r="W205">
        <v>0</v>
      </c>
      <c r="X205">
        <v>1</v>
      </c>
      <c r="Y205">
        <v>0</v>
      </c>
      <c r="Z205" t="s">
        <v>9</v>
      </c>
      <c r="AA205" t="s">
        <v>4</v>
      </c>
      <c r="AB205" t="s">
        <v>6</v>
      </c>
      <c r="AC205" t="s">
        <v>7</v>
      </c>
      <c r="AD205" t="s">
        <v>8</v>
      </c>
      <c r="AE205" t="s">
        <v>6</v>
      </c>
      <c r="AF205" t="s">
        <v>3</v>
      </c>
      <c r="AG205" t="s">
        <v>3</v>
      </c>
      <c r="AH205" t="s">
        <v>3</v>
      </c>
      <c r="AI205" t="s">
        <v>3</v>
      </c>
      <c r="AJ205" t="s">
        <v>3</v>
      </c>
      <c r="AK205" t="s">
        <v>7</v>
      </c>
      <c r="AL205">
        <v>0</v>
      </c>
      <c r="AM205">
        <v>0</v>
      </c>
      <c r="AN205">
        <v>0</v>
      </c>
      <c r="AO205">
        <v>0</v>
      </c>
      <c r="AP205">
        <v>0</v>
      </c>
      <c r="AQ205" t="s">
        <v>9</v>
      </c>
      <c r="AR205" s="1">
        <v>6.9689274599999995E-5</v>
      </c>
      <c r="AS205" s="1">
        <v>4.8749524099999999E-26</v>
      </c>
      <c r="AT205">
        <v>9</v>
      </c>
      <c r="AU205" t="s">
        <v>10</v>
      </c>
      <c r="AV205">
        <v>4</v>
      </c>
      <c r="AW205">
        <v>0</v>
      </c>
      <c r="AX205">
        <v>0</v>
      </c>
      <c r="AY205">
        <v>1</v>
      </c>
      <c r="AZ205">
        <v>0</v>
      </c>
      <c r="BA205" t="s">
        <v>9</v>
      </c>
      <c r="BB205" t="s">
        <v>4</v>
      </c>
      <c r="BC205" t="s">
        <v>10</v>
      </c>
      <c r="BD205">
        <v>0</v>
      </c>
      <c r="BE205">
        <v>0</v>
      </c>
      <c r="BF205">
        <v>0</v>
      </c>
      <c r="BG205">
        <v>0</v>
      </c>
      <c r="BH205">
        <v>0</v>
      </c>
      <c r="BI205" t="s">
        <v>9</v>
      </c>
      <c r="BJ205">
        <v>4.9410000000000003E-5</v>
      </c>
      <c r="BK205">
        <v>0</v>
      </c>
      <c r="BL205">
        <v>-4.9150000000000002E-5</v>
      </c>
      <c r="BM205" s="2">
        <f t="shared" si="3"/>
        <v>2.9357649806319322E-7</v>
      </c>
    </row>
    <row r="206" spans="1:65" x14ac:dyDescent="0.35">
      <c r="A206">
        <v>0</v>
      </c>
      <c r="B206" t="s">
        <v>11</v>
      </c>
      <c r="C206" t="s">
        <v>4</v>
      </c>
      <c r="D206">
        <v>0</v>
      </c>
      <c r="E206" t="s">
        <v>3</v>
      </c>
      <c r="F206" t="s">
        <v>5</v>
      </c>
      <c r="G206">
        <v>4833.641388</v>
      </c>
      <c r="H206" t="s">
        <v>4</v>
      </c>
      <c r="I206">
        <v>990.16341899999998</v>
      </c>
      <c r="J206">
        <v>3843.477969</v>
      </c>
      <c r="K206" t="s">
        <v>6</v>
      </c>
      <c r="L206" t="s">
        <v>7</v>
      </c>
      <c r="M206" t="s">
        <v>8</v>
      </c>
      <c r="N206" t="s">
        <v>6</v>
      </c>
      <c r="O206" t="s">
        <v>3</v>
      </c>
      <c r="P206" t="s">
        <v>3</v>
      </c>
      <c r="Q206" t="s">
        <v>3</v>
      </c>
      <c r="R206" t="s">
        <v>3</v>
      </c>
      <c r="S206" t="s">
        <v>11</v>
      </c>
      <c r="T206" t="s">
        <v>7</v>
      </c>
      <c r="U206">
        <v>1</v>
      </c>
      <c r="V206">
        <v>2</v>
      </c>
      <c r="W206">
        <v>0</v>
      </c>
      <c r="X206">
        <v>0</v>
      </c>
      <c r="Y206">
        <v>0</v>
      </c>
      <c r="Z206" t="s">
        <v>14</v>
      </c>
      <c r="AA206" t="s">
        <v>4</v>
      </c>
      <c r="AB206" t="s">
        <v>6</v>
      </c>
      <c r="AC206" t="s">
        <v>7</v>
      </c>
      <c r="AD206" t="s">
        <v>8</v>
      </c>
      <c r="AE206" t="s">
        <v>6</v>
      </c>
      <c r="AF206" t="s">
        <v>3</v>
      </c>
      <c r="AG206" t="s">
        <v>3</v>
      </c>
      <c r="AH206" t="s">
        <v>3</v>
      </c>
      <c r="AI206" t="s">
        <v>3</v>
      </c>
      <c r="AJ206" t="s">
        <v>3</v>
      </c>
      <c r="AK206" t="s">
        <v>7</v>
      </c>
      <c r="AL206">
        <v>0</v>
      </c>
      <c r="AM206">
        <v>0</v>
      </c>
      <c r="AN206">
        <v>0</v>
      </c>
      <c r="AO206">
        <v>0</v>
      </c>
      <c r="AP206">
        <v>0</v>
      </c>
      <c r="AQ206" t="s">
        <v>9</v>
      </c>
      <c r="AR206" s="1">
        <v>5.9166498200000001E-6</v>
      </c>
      <c r="AS206" s="1">
        <v>3.6148667000000001E-28</v>
      </c>
      <c r="AT206">
        <v>9</v>
      </c>
      <c r="AU206" t="s">
        <v>10</v>
      </c>
      <c r="AV206">
        <v>1</v>
      </c>
      <c r="AW206">
        <v>2</v>
      </c>
      <c r="AX206">
        <v>0</v>
      </c>
      <c r="AY206">
        <v>0</v>
      </c>
      <c r="AZ206">
        <v>0</v>
      </c>
      <c r="BA206" t="s">
        <v>14</v>
      </c>
      <c r="BB206" t="s">
        <v>4</v>
      </c>
      <c r="BC206" t="s">
        <v>10</v>
      </c>
      <c r="BD206">
        <v>0</v>
      </c>
      <c r="BE206">
        <v>0</v>
      </c>
      <c r="BF206">
        <v>0</v>
      </c>
      <c r="BG206">
        <v>0</v>
      </c>
      <c r="BH206">
        <v>0</v>
      </c>
      <c r="BI206" t="s">
        <v>9</v>
      </c>
      <c r="BJ206">
        <v>0</v>
      </c>
      <c r="BK206">
        <v>-5.9200000000000001E-6</v>
      </c>
      <c r="BL206">
        <v>0</v>
      </c>
      <c r="BM206" s="2">
        <f t="shared" si="3"/>
        <v>2.1769236240631359E-9</v>
      </c>
    </row>
    <row r="207" spans="1:65" x14ac:dyDescent="0.35">
      <c r="A207">
        <v>0</v>
      </c>
      <c r="B207" t="s">
        <v>3</v>
      </c>
      <c r="C207" t="s">
        <v>4</v>
      </c>
      <c r="D207">
        <v>0</v>
      </c>
      <c r="E207" t="s">
        <v>3</v>
      </c>
      <c r="F207" t="s">
        <v>5</v>
      </c>
      <c r="G207">
        <v>4367.1729720000003</v>
      </c>
      <c r="H207" t="s">
        <v>4</v>
      </c>
      <c r="I207">
        <v>990.16341899999998</v>
      </c>
      <c r="J207">
        <v>3377.0095529999999</v>
      </c>
      <c r="K207" t="s">
        <v>6</v>
      </c>
      <c r="L207" t="s">
        <v>7</v>
      </c>
      <c r="M207" t="s">
        <v>8</v>
      </c>
      <c r="N207" t="s">
        <v>6</v>
      </c>
      <c r="O207" t="s">
        <v>3</v>
      </c>
      <c r="P207" t="s">
        <v>3</v>
      </c>
      <c r="Q207" t="s">
        <v>3</v>
      </c>
      <c r="R207" t="s">
        <v>3</v>
      </c>
      <c r="S207" t="s">
        <v>3</v>
      </c>
      <c r="T207" t="s">
        <v>7</v>
      </c>
      <c r="U207">
        <v>0</v>
      </c>
      <c r="V207">
        <v>2</v>
      </c>
      <c r="W207">
        <v>0</v>
      </c>
      <c r="X207">
        <v>2</v>
      </c>
      <c r="Y207">
        <v>0</v>
      </c>
      <c r="Z207" t="s">
        <v>15</v>
      </c>
      <c r="AA207" t="s">
        <v>4</v>
      </c>
      <c r="AB207" t="s">
        <v>6</v>
      </c>
      <c r="AC207" t="s">
        <v>7</v>
      </c>
      <c r="AD207" t="s">
        <v>8</v>
      </c>
      <c r="AE207" t="s">
        <v>6</v>
      </c>
      <c r="AF207" t="s">
        <v>3</v>
      </c>
      <c r="AG207" t="s">
        <v>3</v>
      </c>
      <c r="AH207" t="s">
        <v>3</v>
      </c>
      <c r="AI207" t="s">
        <v>3</v>
      </c>
      <c r="AJ207" t="s">
        <v>3</v>
      </c>
      <c r="AK207" t="s">
        <v>7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9</v>
      </c>
      <c r="AR207" s="1">
        <v>6.4498256900000003E-5</v>
      </c>
      <c r="AS207" s="1">
        <v>3.7743691299999999E-26</v>
      </c>
      <c r="AT207">
        <v>9</v>
      </c>
      <c r="AU207" t="s">
        <v>10</v>
      </c>
      <c r="AV207">
        <v>0</v>
      </c>
      <c r="AW207">
        <v>2</v>
      </c>
      <c r="AX207">
        <v>0</v>
      </c>
      <c r="AY207">
        <v>2</v>
      </c>
      <c r="AZ207">
        <v>0</v>
      </c>
      <c r="BA207" t="s">
        <v>15</v>
      </c>
      <c r="BB207" t="s">
        <v>4</v>
      </c>
      <c r="BC207" t="s">
        <v>10</v>
      </c>
      <c r="BD207">
        <v>0</v>
      </c>
      <c r="BE207">
        <v>0</v>
      </c>
      <c r="BF207">
        <v>0</v>
      </c>
      <c r="BG207">
        <v>0</v>
      </c>
      <c r="BH207">
        <v>0</v>
      </c>
      <c r="BI207" t="s">
        <v>9</v>
      </c>
      <c r="BJ207">
        <v>-6.4200000000000002E-5</v>
      </c>
      <c r="BK207">
        <v>0</v>
      </c>
      <c r="BL207">
        <v>6.1500000000000004E-6</v>
      </c>
      <c r="BM207" s="2">
        <f t="shared" si="3"/>
        <v>2.2729782332033502E-7</v>
      </c>
    </row>
    <row r="208" spans="1:65" x14ac:dyDescent="0.35">
      <c r="A208">
        <v>0</v>
      </c>
      <c r="B208" t="s">
        <v>3</v>
      </c>
      <c r="C208" t="s">
        <v>4</v>
      </c>
      <c r="D208">
        <v>0</v>
      </c>
      <c r="E208" t="s">
        <v>3</v>
      </c>
      <c r="F208" t="s">
        <v>5</v>
      </c>
      <c r="G208">
        <v>3804.8045630000001</v>
      </c>
      <c r="H208" t="s">
        <v>4</v>
      </c>
      <c r="I208">
        <v>990.16341899999998</v>
      </c>
      <c r="J208">
        <v>2814.6411440000002</v>
      </c>
      <c r="K208" t="s">
        <v>6</v>
      </c>
      <c r="L208" t="s">
        <v>7</v>
      </c>
      <c r="M208" t="s">
        <v>8</v>
      </c>
      <c r="N208" t="s">
        <v>6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 t="s">
        <v>7</v>
      </c>
      <c r="U208">
        <v>1</v>
      </c>
      <c r="V208">
        <v>0</v>
      </c>
      <c r="W208">
        <v>0</v>
      </c>
      <c r="X208">
        <v>6</v>
      </c>
      <c r="Y208">
        <v>0</v>
      </c>
      <c r="Z208" t="s">
        <v>8</v>
      </c>
      <c r="AA208" t="s">
        <v>4</v>
      </c>
      <c r="AB208" t="s">
        <v>6</v>
      </c>
      <c r="AC208" t="s">
        <v>7</v>
      </c>
      <c r="AD208" t="s">
        <v>8</v>
      </c>
      <c r="AE208" t="s">
        <v>6</v>
      </c>
      <c r="AF208" t="s">
        <v>3</v>
      </c>
      <c r="AG208" t="s">
        <v>3</v>
      </c>
      <c r="AH208" t="s">
        <v>3</v>
      </c>
      <c r="AI208" t="s">
        <v>3</v>
      </c>
      <c r="AJ208" t="s">
        <v>3</v>
      </c>
      <c r="AK208" t="s">
        <v>7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9</v>
      </c>
      <c r="AR208" s="1">
        <v>2.18613419E-5</v>
      </c>
      <c r="AS208" s="1">
        <v>3.6140343900000003E-27</v>
      </c>
      <c r="AT208">
        <v>9</v>
      </c>
      <c r="AU208" t="s">
        <v>10</v>
      </c>
      <c r="AV208">
        <v>1</v>
      </c>
      <c r="AW208">
        <v>0</v>
      </c>
      <c r="AX208">
        <v>0</v>
      </c>
      <c r="AY208">
        <v>6</v>
      </c>
      <c r="AZ208">
        <v>0</v>
      </c>
      <c r="BA208" t="s">
        <v>8</v>
      </c>
      <c r="BB208" t="s">
        <v>4</v>
      </c>
      <c r="BC208" t="s">
        <v>10</v>
      </c>
      <c r="BD208">
        <v>0</v>
      </c>
      <c r="BE208">
        <v>0</v>
      </c>
      <c r="BF208">
        <v>0</v>
      </c>
      <c r="BG208">
        <v>0</v>
      </c>
      <c r="BH208">
        <v>0</v>
      </c>
      <c r="BI208" t="s">
        <v>9</v>
      </c>
      <c r="BJ208">
        <v>2.1590000000000002E-5</v>
      </c>
      <c r="BK208">
        <v>0</v>
      </c>
      <c r="BL208">
        <v>3.45E-6</v>
      </c>
      <c r="BM208" s="2">
        <f t="shared" si="3"/>
        <v>2.1764223952622113E-8</v>
      </c>
    </row>
    <row r="209" spans="1:65" x14ac:dyDescent="0.35">
      <c r="A209">
        <v>0</v>
      </c>
      <c r="B209" t="s">
        <v>3</v>
      </c>
      <c r="C209" t="s">
        <v>4</v>
      </c>
      <c r="D209">
        <v>0</v>
      </c>
      <c r="E209" t="s">
        <v>3</v>
      </c>
      <c r="F209" t="s">
        <v>5</v>
      </c>
      <c r="G209">
        <v>3997.2318909999999</v>
      </c>
      <c r="H209" t="s">
        <v>4</v>
      </c>
      <c r="I209">
        <v>990.16341899999998</v>
      </c>
      <c r="J209">
        <v>3007.0684719999999</v>
      </c>
      <c r="K209" t="s">
        <v>6</v>
      </c>
      <c r="L209" t="s">
        <v>7</v>
      </c>
      <c r="M209" t="s">
        <v>8</v>
      </c>
      <c r="N209" t="s">
        <v>6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 t="s">
        <v>7</v>
      </c>
      <c r="U209">
        <v>0</v>
      </c>
      <c r="V209">
        <v>0</v>
      </c>
      <c r="W209">
        <v>0</v>
      </c>
      <c r="X209">
        <v>3</v>
      </c>
      <c r="Y209">
        <v>2</v>
      </c>
      <c r="Z209" t="s">
        <v>9</v>
      </c>
      <c r="AA209" t="s">
        <v>4</v>
      </c>
      <c r="AB209" t="s">
        <v>6</v>
      </c>
      <c r="AC209" t="s">
        <v>7</v>
      </c>
      <c r="AD209" t="s">
        <v>8</v>
      </c>
      <c r="AE209" t="s">
        <v>6</v>
      </c>
      <c r="AF209" t="s">
        <v>3</v>
      </c>
      <c r="AG209" t="s">
        <v>3</v>
      </c>
      <c r="AH209" t="s">
        <v>3</v>
      </c>
      <c r="AI209" t="s">
        <v>3</v>
      </c>
      <c r="AJ209" t="s">
        <v>3</v>
      </c>
      <c r="AK209" t="s">
        <v>7</v>
      </c>
      <c r="AL209">
        <v>0</v>
      </c>
      <c r="AM209">
        <v>0</v>
      </c>
      <c r="AN209">
        <v>0</v>
      </c>
      <c r="AO209">
        <v>0</v>
      </c>
      <c r="AP209">
        <v>0</v>
      </c>
      <c r="AQ209" t="s">
        <v>9</v>
      </c>
      <c r="AR209" s="1">
        <v>3.6155978900000002E-5</v>
      </c>
      <c r="AS209" s="1">
        <v>1.05613519E-26</v>
      </c>
      <c r="AT209">
        <v>9</v>
      </c>
      <c r="AU209" t="s">
        <v>10</v>
      </c>
      <c r="AV209">
        <v>0</v>
      </c>
      <c r="AW209">
        <v>0</v>
      </c>
      <c r="AX209">
        <v>0</v>
      </c>
      <c r="AY209">
        <v>3</v>
      </c>
      <c r="AZ209">
        <v>2</v>
      </c>
      <c r="BA209" t="s">
        <v>9</v>
      </c>
      <c r="BB209" t="s">
        <v>4</v>
      </c>
      <c r="BC209" t="s">
        <v>10</v>
      </c>
      <c r="BD209">
        <v>0</v>
      </c>
      <c r="BE209">
        <v>0</v>
      </c>
      <c r="BF209">
        <v>0</v>
      </c>
      <c r="BG209">
        <v>0</v>
      </c>
      <c r="BH209">
        <v>0</v>
      </c>
      <c r="BI209" t="s">
        <v>9</v>
      </c>
      <c r="BJ209">
        <v>-3.6069999999999999E-5</v>
      </c>
      <c r="BK209">
        <v>0</v>
      </c>
      <c r="BL209">
        <v>2.5399999999999998E-6</v>
      </c>
      <c r="BM209" s="2">
        <f t="shared" si="3"/>
        <v>6.3601948180147522E-8</v>
      </c>
    </row>
    <row r="210" spans="1:65" x14ac:dyDescent="0.35">
      <c r="A210">
        <v>0</v>
      </c>
      <c r="B210" t="s">
        <v>11</v>
      </c>
      <c r="C210" t="s">
        <v>4</v>
      </c>
      <c r="D210">
        <v>0</v>
      </c>
      <c r="E210" t="s">
        <v>3</v>
      </c>
      <c r="F210" t="s">
        <v>5</v>
      </c>
      <c r="G210">
        <v>3672.9070109999998</v>
      </c>
      <c r="H210" t="s">
        <v>4</v>
      </c>
      <c r="I210">
        <v>990.16341899999998</v>
      </c>
      <c r="J210">
        <v>2682.7435919999998</v>
      </c>
      <c r="K210" t="s">
        <v>6</v>
      </c>
      <c r="L210" t="s">
        <v>7</v>
      </c>
      <c r="M210" t="s">
        <v>8</v>
      </c>
      <c r="N210" t="s">
        <v>6</v>
      </c>
      <c r="O210" t="s">
        <v>3</v>
      </c>
      <c r="P210" t="s">
        <v>3</v>
      </c>
      <c r="Q210" t="s">
        <v>3</v>
      </c>
      <c r="R210" t="s">
        <v>3</v>
      </c>
      <c r="S210" t="s">
        <v>11</v>
      </c>
      <c r="T210" t="s">
        <v>7</v>
      </c>
      <c r="U210">
        <v>0</v>
      </c>
      <c r="V210">
        <v>1</v>
      </c>
      <c r="W210">
        <v>0</v>
      </c>
      <c r="X210">
        <v>0</v>
      </c>
      <c r="Y210">
        <v>1</v>
      </c>
      <c r="Z210" t="s">
        <v>14</v>
      </c>
      <c r="AA210" t="s">
        <v>4</v>
      </c>
      <c r="AB210" t="s">
        <v>6</v>
      </c>
      <c r="AC210" t="s">
        <v>7</v>
      </c>
      <c r="AD210" t="s">
        <v>8</v>
      </c>
      <c r="AE210" t="s">
        <v>6</v>
      </c>
      <c r="AF210" t="s">
        <v>3</v>
      </c>
      <c r="AG210" t="s">
        <v>3</v>
      </c>
      <c r="AH210" t="s">
        <v>3</v>
      </c>
      <c r="AI210" t="s">
        <v>3</v>
      </c>
      <c r="AJ210" t="s">
        <v>3</v>
      </c>
      <c r="AK210" t="s">
        <v>7</v>
      </c>
      <c r="AL210">
        <v>0</v>
      </c>
      <c r="AM210">
        <v>0</v>
      </c>
      <c r="AN210">
        <v>0</v>
      </c>
      <c r="AO210">
        <v>0</v>
      </c>
      <c r="AP210">
        <v>0</v>
      </c>
      <c r="AQ210" t="s">
        <v>9</v>
      </c>
      <c r="AR210" s="1">
        <v>1.28114747E-4</v>
      </c>
      <c r="AS210" s="1">
        <v>1.18302125E-25</v>
      </c>
      <c r="AT210">
        <v>11</v>
      </c>
      <c r="AU210" t="s">
        <v>10</v>
      </c>
      <c r="AV210">
        <v>0</v>
      </c>
      <c r="AW210">
        <v>1</v>
      </c>
      <c r="AX210">
        <v>0</v>
      </c>
      <c r="AY210">
        <v>0</v>
      </c>
      <c r="AZ210">
        <v>1</v>
      </c>
      <c r="BA210" t="s">
        <v>14</v>
      </c>
      <c r="BB210" t="s">
        <v>4</v>
      </c>
      <c r="BC210" t="s">
        <v>10</v>
      </c>
      <c r="BD210">
        <v>0</v>
      </c>
      <c r="BE210">
        <v>0</v>
      </c>
      <c r="BF210">
        <v>0</v>
      </c>
      <c r="BG210">
        <v>0</v>
      </c>
      <c r="BH210">
        <v>0</v>
      </c>
      <c r="BI210" t="s">
        <v>9</v>
      </c>
      <c r="BJ210">
        <v>0</v>
      </c>
      <c r="BK210">
        <v>1.2810999999999999E-4</v>
      </c>
      <c r="BL210">
        <v>0</v>
      </c>
      <c r="BM210" s="2">
        <f t="shared" si="3"/>
        <v>7.1243205368920007E-7</v>
      </c>
    </row>
    <row r="211" spans="1:65" x14ac:dyDescent="0.35">
      <c r="A211">
        <v>0</v>
      </c>
      <c r="B211" t="s">
        <v>3</v>
      </c>
      <c r="C211" t="s">
        <v>4</v>
      </c>
      <c r="D211">
        <v>0</v>
      </c>
      <c r="E211" t="s">
        <v>3</v>
      </c>
      <c r="F211" t="s">
        <v>5</v>
      </c>
      <c r="G211">
        <v>3526.206357</v>
      </c>
      <c r="H211" t="s">
        <v>4</v>
      </c>
      <c r="I211">
        <v>990.16341899999998</v>
      </c>
      <c r="J211">
        <v>2536.042938</v>
      </c>
      <c r="K211" t="s">
        <v>6</v>
      </c>
      <c r="L211" t="s">
        <v>7</v>
      </c>
      <c r="M211" t="s">
        <v>8</v>
      </c>
      <c r="N211" t="s">
        <v>6</v>
      </c>
      <c r="O211" t="s">
        <v>3</v>
      </c>
      <c r="P211" t="s">
        <v>3</v>
      </c>
      <c r="Q211" t="s">
        <v>3</v>
      </c>
      <c r="R211" t="s">
        <v>3</v>
      </c>
      <c r="S211" t="s">
        <v>3</v>
      </c>
      <c r="T211" t="s">
        <v>7</v>
      </c>
      <c r="U211">
        <v>1</v>
      </c>
      <c r="V211">
        <v>1</v>
      </c>
      <c r="W211">
        <v>0</v>
      </c>
      <c r="X211">
        <v>1</v>
      </c>
      <c r="Y211">
        <v>0</v>
      </c>
      <c r="Z211" t="s">
        <v>9</v>
      </c>
      <c r="AA211" t="s">
        <v>4</v>
      </c>
      <c r="AB211" t="s">
        <v>6</v>
      </c>
      <c r="AC211" t="s">
        <v>7</v>
      </c>
      <c r="AD211" t="s">
        <v>8</v>
      </c>
      <c r="AE211" t="s">
        <v>6</v>
      </c>
      <c r="AF211" t="s">
        <v>3</v>
      </c>
      <c r="AG211" t="s">
        <v>3</v>
      </c>
      <c r="AH211" t="s">
        <v>3</v>
      </c>
      <c r="AI211" t="s">
        <v>3</v>
      </c>
      <c r="AJ211" t="s">
        <v>3</v>
      </c>
      <c r="AK211" t="s">
        <v>7</v>
      </c>
      <c r="AL211">
        <v>0</v>
      </c>
      <c r="AM211">
        <v>0</v>
      </c>
      <c r="AN211">
        <v>0</v>
      </c>
      <c r="AO211">
        <v>0</v>
      </c>
      <c r="AP211">
        <v>0</v>
      </c>
      <c r="AQ211" t="s">
        <v>9</v>
      </c>
      <c r="AR211" s="1">
        <v>4.6853899299999996E-3</v>
      </c>
      <c r="AS211" s="1">
        <v>1.4957608199999999E-22</v>
      </c>
      <c r="AT211">
        <v>9</v>
      </c>
      <c r="AU211" t="s">
        <v>10</v>
      </c>
      <c r="AV211">
        <v>1</v>
      </c>
      <c r="AW211">
        <v>1</v>
      </c>
      <c r="AX211">
        <v>0</v>
      </c>
      <c r="AY211">
        <v>1</v>
      </c>
      <c r="AZ211">
        <v>0</v>
      </c>
      <c r="BA211" t="s">
        <v>9</v>
      </c>
      <c r="BB211" t="s">
        <v>4</v>
      </c>
      <c r="BC211" t="s">
        <v>10</v>
      </c>
      <c r="BD211">
        <v>0</v>
      </c>
      <c r="BE211">
        <v>0</v>
      </c>
      <c r="BF211">
        <v>0</v>
      </c>
      <c r="BG211">
        <v>0</v>
      </c>
      <c r="BH211">
        <v>0</v>
      </c>
      <c r="BI211" t="s">
        <v>9</v>
      </c>
      <c r="BJ211">
        <v>-3.60335E-3</v>
      </c>
      <c r="BK211">
        <v>0</v>
      </c>
      <c r="BL211">
        <v>2.9947900000000002E-3</v>
      </c>
      <c r="BM211" s="2">
        <f t="shared" si="3"/>
        <v>9.0076822611634552E-4</v>
      </c>
    </row>
    <row r="212" spans="1:65" x14ac:dyDescent="0.35">
      <c r="A212">
        <v>0</v>
      </c>
      <c r="B212" t="s">
        <v>3</v>
      </c>
      <c r="C212" t="s">
        <v>4</v>
      </c>
      <c r="D212">
        <v>0</v>
      </c>
      <c r="E212" t="s">
        <v>3</v>
      </c>
      <c r="F212" t="s">
        <v>5</v>
      </c>
      <c r="G212">
        <v>2242.0764819999999</v>
      </c>
      <c r="H212" t="s">
        <v>4</v>
      </c>
      <c r="I212">
        <v>990.16341899999998</v>
      </c>
      <c r="J212">
        <v>1251.913063</v>
      </c>
      <c r="K212" t="s">
        <v>6</v>
      </c>
      <c r="L212" t="s">
        <v>7</v>
      </c>
      <c r="M212" t="s">
        <v>8</v>
      </c>
      <c r="N212" t="s">
        <v>6</v>
      </c>
      <c r="O212" t="s">
        <v>3</v>
      </c>
      <c r="P212" t="s">
        <v>3</v>
      </c>
      <c r="Q212" t="s">
        <v>3</v>
      </c>
      <c r="R212" t="s">
        <v>3</v>
      </c>
      <c r="S212" t="s">
        <v>3</v>
      </c>
      <c r="T212" t="s">
        <v>7</v>
      </c>
      <c r="U212">
        <v>1</v>
      </c>
      <c r="V212">
        <v>0</v>
      </c>
      <c r="W212">
        <v>0</v>
      </c>
      <c r="X212">
        <v>1</v>
      </c>
      <c r="Y212">
        <v>0</v>
      </c>
      <c r="Z212" t="s">
        <v>9</v>
      </c>
      <c r="AA212" t="s">
        <v>4</v>
      </c>
      <c r="AB212" t="s">
        <v>6</v>
      </c>
      <c r="AC212" t="s">
        <v>7</v>
      </c>
      <c r="AD212" t="s">
        <v>8</v>
      </c>
      <c r="AE212" t="s">
        <v>6</v>
      </c>
      <c r="AF212" t="s">
        <v>3</v>
      </c>
      <c r="AG212" t="s">
        <v>3</v>
      </c>
      <c r="AH212" t="s">
        <v>3</v>
      </c>
      <c r="AI212" t="s">
        <v>3</v>
      </c>
      <c r="AJ212" t="s">
        <v>3</v>
      </c>
      <c r="AK212" t="s">
        <v>7</v>
      </c>
      <c r="AL212">
        <v>0</v>
      </c>
      <c r="AM212">
        <v>0</v>
      </c>
      <c r="AN212">
        <v>0</v>
      </c>
      <c r="AO212">
        <v>0</v>
      </c>
      <c r="AP212">
        <v>0</v>
      </c>
      <c r="AQ212" t="s">
        <v>9</v>
      </c>
      <c r="AR212" s="1">
        <v>3.4570908300000001E-2</v>
      </c>
      <c r="AS212" s="1">
        <v>4.0103369699999998E-21</v>
      </c>
      <c r="AT212">
        <v>9</v>
      </c>
      <c r="AU212" t="s">
        <v>10</v>
      </c>
      <c r="AV212">
        <v>1</v>
      </c>
      <c r="AW212">
        <v>0</v>
      </c>
      <c r="AX212">
        <v>0</v>
      </c>
      <c r="AY212">
        <v>1</v>
      </c>
      <c r="AZ212">
        <v>0</v>
      </c>
      <c r="BA212" t="s">
        <v>9</v>
      </c>
      <c r="BB212" t="s">
        <v>4</v>
      </c>
      <c r="BC212" t="s">
        <v>10</v>
      </c>
      <c r="BD212">
        <v>0</v>
      </c>
      <c r="BE212">
        <v>0</v>
      </c>
      <c r="BF212">
        <v>0</v>
      </c>
      <c r="BG212">
        <v>0</v>
      </c>
      <c r="BH212">
        <v>0</v>
      </c>
      <c r="BI212" t="s">
        <v>9</v>
      </c>
      <c r="BJ212">
        <v>3.207484E-2</v>
      </c>
      <c r="BK212">
        <v>0</v>
      </c>
      <c r="BL212">
        <v>-1.2897759999999999E-2</v>
      </c>
      <c r="BM212" s="2">
        <f t="shared" si="3"/>
        <v>2.4150813888785372E-2</v>
      </c>
    </row>
    <row r="213" spans="1:65" x14ac:dyDescent="0.35">
      <c r="A213">
        <v>0</v>
      </c>
      <c r="B213" t="s">
        <v>11</v>
      </c>
      <c r="C213" t="s">
        <v>4</v>
      </c>
      <c r="D213">
        <v>0</v>
      </c>
      <c r="E213" t="s">
        <v>3</v>
      </c>
      <c r="F213" t="s">
        <v>5</v>
      </c>
      <c r="G213">
        <v>4783.8891489999996</v>
      </c>
      <c r="H213" t="s">
        <v>4</v>
      </c>
      <c r="I213">
        <v>990.16341899999998</v>
      </c>
      <c r="J213">
        <v>3793.7257300000001</v>
      </c>
      <c r="K213" t="s">
        <v>6</v>
      </c>
      <c r="L213" t="s">
        <v>7</v>
      </c>
      <c r="M213" t="s">
        <v>8</v>
      </c>
      <c r="N213" t="s">
        <v>6</v>
      </c>
      <c r="O213" t="s">
        <v>3</v>
      </c>
      <c r="P213" t="s">
        <v>3</v>
      </c>
      <c r="Q213" t="s">
        <v>3</v>
      </c>
      <c r="R213" t="s">
        <v>3</v>
      </c>
      <c r="S213" t="s">
        <v>11</v>
      </c>
      <c r="T213" t="s">
        <v>7</v>
      </c>
      <c r="U213">
        <v>1</v>
      </c>
      <c r="V213">
        <v>1</v>
      </c>
      <c r="W213">
        <v>0</v>
      </c>
      <c r="X213">
        <v>1</v>
      </c>
      <c r="Y213">
        <v>0</v>
      </c>
      <c r="Z213" t="s">
        <v>19</v>
      </c>
      <c r="AA213" t="s">
        <v>4</v>
      </c>
      <c r="AB213" t="s">
        <v>6</v>
      </c>
      <c r="AC213" t="s">
        <v>7</v>
      </c>
      <c r="AD213" t="s">
        <v>8</v>
      </c>
      <c r="AE213" t="s">
        <v>6</v>
      </c>
      <c r="AF213" t="s">
        <v>3</v>
      </c>
      <c r="AG213" t="s">
        <v>3</v>
      </c>
      <c r="AH213" t="s">
        <v>3</v>
      </c>
      <c r="AI213" t="s">
        <v>3</v>
      </c>
      <c r="AJ213" t="s">
        <v>3</v>
      </c>
      <c r="AK213" t="s">
        <v>7</v>
      </c>
      <c r="AL213">
        <v>0</v>
      </c>
      <c r="AM213">
        <v>0</v>
      </c>
      <c r="AN213">
        <v>0</v>
      </c>
      <c r="AO213">
        <v>0</v>
      </c>
      <c r="AP213">
        <v>0</v>
      </c>
      <c r="AQ213" t="s">
        <v>9</v>
      </c>
      <c r="AR213" s="1">
        <v>4.21434429E-6</v>
      </c>
      <c r="AS213" s="1">
        <v>1.8102648200000001E-28</v>
      </c>
      <c r="AT213">
        <v>10</v>
      </c>
      <c r="AU213" t="s">
        <v>10</v>
      </c>
      <c r="AV213">
        <v>1</v>
      </c>
      <c r="AW213">
        <v>1</v>
      </c>
      <c r="AX213">
        <v>0</v>
      </c>
      <c r="AY213">
        <v>1</v>
      </c>
      <c r="AZ213">
        <v>0</v>
      </c>
      <c r="BA213" t="s">
        <v>19</v>
      </c>
      <c r="BB213" t="s">
        <v>4</v>
      </c>
      <c r="BC213" t="s">
        <v>10</v>
      </c>
      <c r="BD213">
        <v>0</v>
      </c>
      <c r="BE213">
        <v>0</v>
      </c>
      <c r="BF213">
        <v>0</v>
      </c>
      <c r="BG213">
        <v>0</v>
      </c>
      <c r="BH213">
        <v>0</v>
      </c>
      <c r="BI213" t="s">
        <v>9</v>
      </c>
      <c r="BJ213">
        <v>0</v>
      </c>
      <c r="BK213">
        <v>4.2100000000000003E-6</v>
      </c>
      <c r="BL213">
        <v>0</v>
      </c>
      <c r="BM213" s="2">
        <f t="shared" si="3"/>
        <v>1.0901669631326656E-9</v>
      </c>
    </row>
    <row r="214" spans="1:65" x14ac:dyDescent="0.35">
      <c r="A214">
        <v>0</v>
      </c>
      <c r="B214" t="s">
        <v>3</v>
      </c>
      <c r="C214" t="s">
        <v>4</v>
      </c>
      <c r="D214">
        <v>0</v>
      </c>
      <c r="E214" t="s">
        <v>3</v>
      </c>
      <c r="F214" t="s">
        <v>5</v>
      </c>
      <c r="G214">
        <v>3912.9212280000002</v>
      </c>
      <c r="H214" t="s">
        <v>4</v>
      </c>
      <c r="I214">
        <v>990.16341899999998</v>
      </c>
      <c r="J214">
        <v>2922.7578090000002</v>
      </c>
      <c r="K214" t="s">
        <v>6</v>
      </c>
      <c r="L214" t="s">
        <v>7</v>
      </c>
      <c r="M214" t="s">
        <v>8</v>
      </c>
      <c r="N214" t="s">
        <v>6</v>
      </c>
      <c r="O214" t="s">
        <v>3</v>
      </c>
      <c r="P214" t="s">
        <v>3</v>
      </c>
      <c r="Q214" t="s">
        <v>3</v>
      </c>
      <c r="R214" t="s">
        <v>3</v>
      </c>
      <c r="S214" t="s">
        <v>3</v>
      </c>
      <c r="T214" t="s">
        <v>7</v>
      </c>
      <c r="U214">
        <v>0</v>
      </c>
      <c r="V214">
        <v>1</v>
      </c>
      <c r="W214">
        <v>0</v>
      </c>
      <c r="X214">
        <v>0</v>
      </c>
      <c r="Y214">
        <v>3</v>
      </c>
      <c r="Z214" t="s">
        <v>8</v>
      </c>
      <c r="AA214" t="s">
        <v>4</v>
      </c>
      <c r="AB214" t="s">
        <v>6</v>
      </c>
      <c r="AC214" t="s">
        <v>7</v>
      </c>
      <c r="AD214" t="s">
        <v>8</v>
      </c>
      <c r="AE214" t="s">
        <v>6</v>
      </c>
      <c r="AF214" t="s">
        <v>3</v>
      </c>
      <c r="AG214" t="s">
        <v>3</v>
      </c>
      <c r="AH214" t="s">
        <v>3</v>
      </c>
      <c r="AI214" t="s">
        <v>3</v>
      </c>
      <c r="AJ214" t="s">
        <v>3</v>
      </c>
      <c r="AK214" t="s">
        <v>7</v>
      </c>
      <c r="AL214">
        <v>0</v>
      </c>
      <c r="AM214">
        <v>0</v>
      </c>
      <c r="AN214">
        <v>0</v>
      </c>
      <c r="AO214">
        <v>0</v>
      </c>
      <c r="AP214">
        <v>0</v>
      </c>
      <c r="AQ214" t="s">
        <v>9</v>
      </c>
      <c r="AR214" s="1">
        <v>2.1441728899999999E-4</v>
      </c>
      <c r="AS214" s="1">
        <v>3.6101751200000002E-25</v>
      </c>
      <c r="AT214">
        <v>9</v>
      </c>
      <c r="AU214" t="s">
        <v>10</v>
      </c>
      <c r="AV214">
        <v>0</v>
      </c>
      <c r="AW214">
        <v>1</v>
      </c>
      <c r="AX214">
        <v>0</v>
      </c>
      <c r="AY214">
        <v>0</v>
      </c>
      <c r="AZ214">
        <v>3</v>
      </c>
      <c r="BA214" t="s">
        <v>8</v>
      </c>
      <c r="BB214" t="s">
        <v>4</v>
      </c>
      <c r="BC214" t="s">
        <v>10</v>
      </c>
      <c r="BD214">
        <v>0</v>
      </c>
      <c r="BE214">
        <v>0</v>
      </c>
      <c r="BF214">
        <v>0</v>
      </c>
      <c r="BG214">
        <v>0</v>
      </c>
      <c r="BH214">
        <v>0</v>
      </c>
      <c r="BI214" t="s">
        <v>9</v>
      </c>
      <c r="BJ214">
        <v>2.1413000000000001E-4</v>
      </c>
      <c r="BK214">
        <v>0</v>
      </c>
      <c r="BL214">
        <v>1.101E-5</v>
      </c>
      <c r="BM214" s="2">
        <f t="shared" si="3"/>
        <v>2.1740982885296897E-6</v>
      </c>
    </row>
    <row r="215" spans="1:65" x14ac:dyDescent="0.35">
      <c r="A215">
        <v>0</v>
      </c>
      <c r="B215" t="s">
        <v>3</v>
      </c>
      <c r="C215" t="s">
        <v>4</v>
      </c>
      <c r="D215">
        <v>0</v>
      </c>
      <c r="E215" t="s">
        <v>3</v>
      </c>
      <c r="F215" t="s">
        <v>5</v>
      </c>
      <c r="G215">
        <v>4114.1238579999999</v>
      </c>
      <c r="H215" t="s">
        <v>4</v>
      </c>
      <c r="I215">
        <v>990.16341899999998</v>
      </c>
      <c r="J215">
        <v>3123.960439</v>
      </c>
      <c r="K215" t="s">
        <v>6</v>
      </c>
      <c r="L215" t="s">
        <v>7</v>
      </c>
      <c r="M215" t="s">
        <v>8</v>
      </c>
      <c r="N215" t="s">
        <v>6</v>
      </c>
      <c r="O215" t="s">
        <v>3</v>
      </c>
      <c r="P215" t="s">
        <v>3</v>
      </c>
      <c r="Q215" t="s">
        <v>3</v>
      </c>
      <c r="R215" t="s">
        <v>3</v>
      </c>
      <c r="S215" t="s">
        <v>3</v>
      </c>
      <c r="T215" t="s">
        <v>7</v>
      </c>
      <c r="U215">
        <v>1</v>
      </c>
      <c r="V215">
        <v>0</v>
      </c>
      <c r="W215">
        <v>0</v>
      </c>
      <c r="X215">
        <v>3</v>
      </c>
      <c r="Y215">
        <v>0</v>
      </c>
      <c r="Z215" t="s">
        <v>24</v>
      </c>
      <c r="AA215" t="s">
        <v>4</v>
      </c>
      <c r="AB215" t="s">
        <v>6</v>
      </c>
      <c r="AC215" t="s">
        <v>7</v>
      </c>
      <c r="AD215" t="s">
        <v>8</v>
      </c>
      <c r="AE215" t="s">
        <v>6</v>
      </c>
      <c r="AF215" t="s">
        <v>3</v>
      </c>
      <c r="AG215" t="s">
        <v>3</v>
      </c>
      <c r="AH215" t="s">
        <v>3</v>
      </c>
      <c r="AI215" t="s">
        <v>3</v>
      </c>
      <c r="AJ215" t="s">
        <v>3</v>
      </c>
      <c r="AK215" t="s">
        <v>7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9</v>
      </c>
      <c r="AR215" s="1">
        <v>8.7169637299999996E-5</v>
      </c>
      <c r="AS215" s="1">
        <v>6.3775231600000005E-26</v>
      </c>
      <c r="AT215">
        <v>11</v>
      </c>
      <c r="AU215" t="s">
        <v>10</v>
      </c>
      <c r="AV215">
        <v>1</v>
      </c>
      <c r="AW215">
        <v>0</v>
      </c>
      <c r="AX215">
        <v>0</v>
      </c>
      <c r="AY215">
        <v>3</v>
      </c>
      <c r="AZ215">
        <v>0</v>
      </c>
      <c r="BA215" t="s">
        <v>24</v>
      </c>
      <c r="BB215" t="s">
        <v>4</v>
      </c>
      <c r="BC215" t="s">
        <v>10</v>
      </c>
      <c r="BD215">
        <v>0</v>
      </c>
      <c r="BE215">
        <v>0</v>
      </c>
      <c r="BF215">
        <v>0</v>
      </c>
      <c r="BG215">
        <v>0</v>
      </c>
      <c r="BH215">
        <v>0</v>
      </c>
      <c r="BI215" t="s">
        <v>9</v>
      </c>
      <c r="BJ215">
        <v>-8.7130000000000001E-5</v>
      </c>
      <c r="BK215">
        <v>0</v>
      </c>
      <c r="BL215">
        <v>-2.6199999999999999E-6</v>
      </c>
      <c r="BM215" s="2">
        <f t="shared" si="3"/>
        <v>3.8406342424780933E-7</v>
      </c>
    </row>
    <row r="216" spans="1:65" x14ac:dyDescent="0.35">
      <c r="A216">
        <v>0</v>
      </c>
      <c r="B216" t="s">
        <v>3</v>
      </c>
      <c r="C216" t="s">
        <v>4</v>
      </c>
      <c r="D216">
        <v>0</v>
      </c>
      <c r="E216" t="s">
        <v>3</v>
      </c>
      <c r="F216" t="s">
        <v>5</v>
      </c>
      <c r="G216">
        <v>2975.670177</v>
      </c>
      <c r="H216" t="s">
        <v>4</v>
      </c>
      <c r="I216">
        <v>990.16341899999998</v>
      </c>
      <c r="J216">
        <v>1985.506758</v>
      </c>
      <c r="K216" t="s">
        <v>6</v>
      </c>
      <c r="L216" t="s">
        <v>7</v>
      </c>
      <c r="M216" t="s">
        <v>8</v>
      </c>
      <c r="N216" t="s">
        <v>6</v>
      </c>
      <c r="O216" t="s">
        <v>3</v>
      </c>
      <c r="P216" t="s">
        <v>3</v>
      </c>
      <c r="Q216" t="s">
        <v>3</v>
      </c>
      <c r="R216" t="s">
        <v>3</v>
      </c>
      <c r="S216" t="s">
        <v>3</v>
      </c>
      <c r="T216" t="s">
        <v>7</v>
      </c>
      <c r="U216">
        <v>0</v>
      </c>
      <c r="V216">
        <v>0</v>
      </c>
      <c r="W216">
        <v>0</v>
      </c>
      <c r="X216">
        <v>1</v>
      </c>
      <c r="Y216">
        <v>0</v>
      </c>
      <c r="Z216" t="s">
        <v>29</v>
      </c>
      <c r="AA216" t="s">
        <v>4</v>
      </c>
      <c r="AB216" t="s">
        <v>6</v>
      </c>
      <c r="AC216" t="s">
        <v>7</v>
      </c>
      <c r="AD216" t="s">
        <v>8</v>
      </c>
      <c r="AE216" t="s">
        <v>6</v>
      </c>
      <c r="AF216" t="s">
        <v>3</v>
      </c>
      <c r="AG216" t="s">
        <v>3</v>
      </c>
      <c r="AH216" t="s">
        <v>3</v>
      </c>
      <c r="AI216" t="s">
        <v>3</v>
      </c>
      <c r="AJ216" t="s">
        <v>3</v>
      </c>
      <c r="AK216" t="s">
        <v>7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9</v>
      </c>
      <c r="AR216" s="1">
        <v>3.3764696499999998E-4</v>
      </c>
      <c r="AS216" s="1">
        <v>6.0811177100000004E-25</v>
      </c>
      <c r="AT216">
        <v>10</v>
      </c>
      <c r="AU216" t="s">
        <v>10</v>
      </c>
      <c r="AV216">
        <v>0</v>
      </c>
      <c r="AW216">
        <v>0</v>
      </c>
      <c r="AX216">
        <v>0</v>
      </c>
      <c r="AY216">
        <v>1</v>
      </c>
      <c r="AZ216">
        <v>0</v>
      </c>
      <c r="BA216" t="s">
        <v>29</v>
      </c>
      <c r="BB216" t="s">
        <v>4</v>
      </c>
      <c r="BC216" t="s">
        <v>10</v>
      </c>
      <c r="BD216">
        <v>0</v>
      </c>
      <c r="BE216">
        <v>0</v>
      </c>
      <c r="BF216">
        <v>0</v>
      </c>
      <c r="BG216">
        <v>0</v>
      </c>
      <c r="BH216">
        <v>0</v>
      </c>
      <c r="BI216" t="s">
        <v>9</v>
      </c>
      <c r="BJ216">
        <v>3.1397E-4</v>
      </c>
      <c r="BK216">
        <v>0</v>
      </c>
      <c r="BL216">
        <v>1.2420000000000001E-4</v>
      </c>
      <c r="BM216" s="2">
        <f t="shared" si="3"/>
        <v>3.6621347070993568E-6</v>
      </c>
    </row>
    <row r="217" spans="1:65" x14ac:dyDescent="0.35">
      <c r="A217">
        <v>0</v>
      </c>
      <c r="B217" t="s">
        <v>3</v>
      </c>
      <c r="C217" t="s">
        <v>4</v>
      </c>
      <c r="D217">
        <v>0</v>
      </c>
      <c r="E217" t="s">
        <v>3</v>
      </c>
      <c r="F217" t="s">
        <v>5</v>
      </c>
      <c r="G217">
        <v>2662.675463</v>
      </c>
      <c r="H217" t="s">
        <v>4</v>
      </c>
      <c r="I217">
        <v>990.16341899999998</v>
      </c>
      <c r="J217">
        <v>1672.5120440000001</v>
      </c>
      <c r="K217" t="s">
        <v>6</v>
      </c>
      <c r="L217" t="s">
        <v>7</v>
      </c>
      <c r="M217" t="s">
        <v>8</v>
      </c>
      <c r="N217" t="s">
        <v>6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 t="s">
        <v>7</v>
      </c>
      <c r="U217">
        <v>2</v>
      </c>
      <c r="V217">
        <v>0</v>
      </c>
      <c r="W217">
        <v>0</v>
      </c>
      <c r="X217">
        <v>0</v>
      </c>
      <c r="Y217">
        <v>0</v>
      </c>
      <c r="Z217" t="s">
        <v>9</v>
      </c>
      <c r="AA217" t="s">
        <v>4</v>
      </c>
      <c r="AB217" t="s">
        <v>6</v>
      </c>
      <c r="AC217" t="s">
        <v>7</v>
      </c>
      <c r="AD217" t="s">
        <v>8</v>
      </c>
      <c r="AE217" t="s">
        <v>6</v>
      </c>
      <c r="AF217" t="s">
        <v>3</v>
      </c>
      <c r="AG217" t="s">
        <v>3</v>
      </c>
      <c r="AH217" t="s">
        <v>3</v>
      </c>
      <c r="AI217" t="s">
        <v>3</v>
      </c>
      <c r="AJ217" t="s">
        <v>3</v>
      </c>
      <c r="AK217" t="s">
        <v>7</v>
      </c>
      <c r="AL217">
        <v>0</v>
      </c>
      <c r="AM217">
        <v>0</v>
      </c>
      <c r="AN217">
        <v>0</v>
      </c>
      <c r="AO217">
        <v>0</v>
      </c>
      <c r="AP217">
        <v>0</v>
      </c>
      <c r="AQ217" t="s">
        <v>9</v>
      </c>
      <c r="AR217" s="1">
        <v>1.07455967E-2</v>
      </c>
      <c r="AS217" s="1">
        <v>5.18694097E-22</v>
      </c>
      <c r="AT217">
        <v>9</v>
      </c>
      <c r="AU217" t="s">
        <v>10</v>
      </c>
      <c r="AV217">
        <v>2</v>
      </c>
      <c r="AW217">
        <v>0</v>
      </c>
      <c r="AX217">
        <v>0</v>
      </c>
      <c r="AY217">
        <v>0</v>
      </c>
      <c r="AZ217">
        <v>0</v>
      </c>
      <c r="BA217" t="s">
        <v>9</v>
      </c>
      <c r="BB217" t="s">
        <v>4</v>
      </c>
      <c r="BC217" t="s">
        <v>10</v>
      </c>
      <c r="BD217">
        <v>0</v>
      </c>
      <c r="BE217">
        <v>0</v>
      </c>
      <c r="BF217">
        <v>0</v>
      </c>
      <c r="BG217">
        <v>0</v>
      </c>
      <c r="BH217">
        <v>0</v>
      </c>
      <c r="BI217" t="s">
        <v>9</v>
      </c>
      <c r="BJ217">
        <v>3.5128999999999998E-3</v>
      </c>
      <c r="BK217">
        <v>0</v>
      </c>
      <c r="BL217">
        <v>-1.015516E-2</v>
      </c>
      <c r="BM217" s="2">
        <f t="shared" si="3"/>
        <v>3.1236488842628575E-3</v>
      </c>
    </row>
    <row r="218" spans="1:65" x14ac:dyDescent="0.35">
      <c r="A218">
        <v>0</v>
      </c>
      <c r="B218" t="s">
        <v>3</v>
      </c>
      <c r="C218" t="s">
        <v>4</v>
      </c>
      <c r="D218">
        <v>0</v>
      </c>
      <c r="E218" t="s">
        <v>3</v>
      </c>
      <c r="F218" t="s">
        <v>5</v>
      </c>
      <c r="G218">
        <v>4595.3200429999997</v>
      </c>
      <c r="H218" t="s">
        <v>4</v>
      </c>
      <c r="I218">
        <v>990.16341899999998</v>
      </c>
      <c r="J218">
        <v>3605.1566240000002</v>
      </c>
      <c r="K218" t="s">
        <v>6</v>
      </c>
      <c r="L218" t="s">
        <v>7</v>
      </c>
      <c r="M218" t="s">
        <v>8</v>
      </c>
      <c r="N218" t="s">
        <v>6</v>
      </c>
      <c r="O218" t="s">
        <v>3</v>
      </c>
      <c r="P218" t="s">
        <v>3</v>
      </c>
      <c r="Q218" t="s">
        <v>3</v>
      </c>
      <c r="R218" t="s">
        <v>3</v>
      </c>
      <c r="S218" t="s">
        <v>3</v>
      </c>
      <c r="T218" t="s">
        <v>7</v>
      </c>
      <c r="U218">
        <v>0</v>
      </c>
      <c r="V218">
        <v>0</v>
      </c>
      <c r="W218">
        <v>0</v>
      </c>
      <c r="X218">
        <v>4</v>
      </c>
      <c r="Y218">
        <v>1</v>
      </c>
      <c r="Z218" t="s">
        <v>21</v>
      </c>
      <c r="AA218" t="s">
        <v>4</v>
      </c>
      <c r="AB218" t="s">
        <v>6</v>
      </c>
      <c r="AC218" t="s">
        <v>7</v>
      </c>
      <c r="AD218" t="s">
        <v>8</v>
      </c>
      <c r="AE218" t="s">
        <v>6</v>
      </c>
      <c r="AF218" t="s">
        <v>3</v>
      </c>
      <c r="AG218" t="s">
        <v>3</v>
      </c>
      <c r="AH218" t="s">
        <v>3</v>
      </c>
      <c r="AI218" t="s">
        <v>3</v>
      </c>
      <c r="AJ218" t="s">
        <v>3</v>
      </c>
      <c r="AK218" t="s">
        <v>7</v>
      </c>
      <c r="AL218">
        <v>0</v>
      </c>
      <c r="AM218">
        <v>0</v>
      </c>
      <c r="AN218">
        <v>0</v>
      </c>
      <c r="AO218">
        <v>0</v>
      </c>
      <c r="AP218">
        <v>0</v>
      </c>
      <c r="AQ218" t="s">
        <v>9</v>
      </c>
      <c r="AR218" s="1">
        <v>1.13090818E-4</v>
      </c>
      <c r="AS218" s="1">
        <v>1.23878226E-25</v>
      </c>
      <c r="AT218">
        <v>11</v>
      </c>
      <c r="AU218" t="s">
        <v>10</v>
      </c>
      <c r="AV218">
        <v>0</v>
      </c>
      <c r="AW218">
        <v>0</v>
      </c>
      <c r="AX218">
        <v>0</v>
      </c>
      <c r="AY218">
        <v>4</v>
      </c>
      <c r="AZ218">
        <v>1</v>
      </c>
      <c r="BA218" t="s">
        <v>21</v>
      </c>
      <c r="BB218" t="s">
        <v>4</v>
      </c>
      <c r="BC218" t="s">
        <v>10</v>
      </c>
      <c r="BD218">
        <v>0</v>
      </c>
      <c r="BE218">
        <v>0</v>
      </c>
      <c r="BF218">
        <v>0</v>
      </c>
      <c r="BG218">
        <v>0</v>
      </c>
      <c r="BH218">
        <v>0</v>
      </c>
      <c r="BI218" t="s">
        <v>9</v>
      </c>
      <c r="BJ218">
        <v>9.9510000000000001E-5</v>
      </c>
      <c r="BK218">
        <v>0</v>
      </c>
      <c r="BL218">
        <v>-5.3730000000000002E-5</v>
      </c>
      <c r="BM218" s="2">
        <f t="shared" si="3"/>
        <v>7.4601211902622081E-7</v>
      </c>
    </row>
    <row r="219" spans="1:65" x14ac:dyDescent="0.35">
      <c r="A219">
        <v>0</v>
      </c>
      <c r="B219" t="s">
        <v>11</v>
      </c>
      <c r="C219" t="s">
        <v>4</v>
      </c>
      <c r="D219">
        <v>0</v>
      </c>
      <c r="E219" t="s">
        <v>3</v>
      </c>
      <c r="F219" t="s">
        <v>5</v>
      </c>
      <c r="G219">
        <v>4950.4338479999997</v>
      </c>
      <c r="H219" t="s">
        <v>4</v>
      </c>
      <c r="I219">
        <v>990.16341899999998</v>
      </c>
      <c r="J219">
        <v>3960.2704290000001</v>
      </c>
      <c r="K219" t="s">
        <v>6</v>
      </c>
      <c r="L219" t="s">
        <v>7</v>
      </c>
      <c r="M219" t="s">
        <v>8</v>
      </c>
      <c r="N219" t="s">
        <v>6</v>
      </c>
      <c r="O219" t="s">
        <v>3</v>
      </c>
      <c r="P219" t="s">
        <v>3</v>
      </c>
      <c r="Q219" t="s">
        <v>3</v>
      </c>
      <c r="R219" t="s">
        <v>3</v>
      </c>
      <c r="S219" t="s">
        <v>11</v>
      </c>
      <c r="T219" t="s">
        <v>7</v>
      </c>
      <c r="U219">
        <v>1</v>
      </c>
      <c r="V219">
        <v>2</v>
      </c>
      <c r="W219">
        <v>0</v>
      </c>
      <c r="X219">
        <v>0</v>
      </c>
      <c r="Y219">
        <v>0</v>
      </c>
      <c r="Z219" t="s">
        <v>13</v>
      </c>
      <c r="AA219" t="s">
        <v>4</v>
      </c>
      <c r="AB219" t="s">
        <v>6</v>
      </c>
      <c r="AC219" t="s">
        <v>7</v>
      </c>
      <c r="AD219" t="s">
        <v>8</v>
      </c>
      <c r="AE219" t="s">
        <v>6</v>
      </c>
      <c r="AF219" t="s">
        <v>3</v>
      </c>
      <c r="AG219" t="s">
        <v>3</v>
      </c>
      <c r="AH219" t="s">
        <v>3</v>
      </c>
      <c r="AI219" t="s">
        <v>3</v>
      </c>
      <c r="AJ219" t="s">
        <v>3</v>
      </c>
      <c r="AK219" t="s">
        <v>7</v>
      </c>
      <c r="AL219">
        <v>0</v>
      </c>
      <c r="AM219">
        <v>0</v>
      </c>
      <c r="AN219">
        <v>0</v>
      </c>
      <c r="AO219">
        <v>0</v>
      </c>
      <c r="AP219">
        <v>0</v>
      </c>
      <c r="AQ219" t="s">
        <v>9</v>
      </c>
      <c r="AR219" s="1">
        <v>9.2453591999999996E-7</v>
      </c>
      <c r="AS219" s="1">
        <v>9.0947042799999999E-30</v>
      </c>
      <c r="AT219">
        <v>10</v>
      </c>
      <c r="AU219" t="s">
        <v>10</v>
      </c>
      <c r="AV219">
        <v>1</v>
      </c>
      <c r="AW219">
        <v>2</v>
      </c>
      <c r="AX219">
        <v>0</v>
      </c>
      <c r="AY219">
        <v>0</v>
      </c>
      <c r="AZ219">
        <v>0</v>
      </c>
      <c r="BA219" t="s">
        <v>13</v>
      </c>
      <c r="BB219" t="s">
        <v>4</v>
      </c>
      <c r="BC219" t="s">
        <v>10</v>
      </c>
      <c r="BD219">
        <v>0</v>
      </c>
      <c r="BE219">
        <v>0</v>
      </c>
      <c r="BF219">
        <v>0</v>
      </c>
      <c r="BG219">
        <v>0</v>
      </c>
      <c r="BH219">
        <v>0</v>
      </c>
      <c r="BI219" t="s">
        <v>9</v>
      </c>
      <c r="BJ219">
        <v>0</v>
      </c>
      <c r="BK219">
        <v>-9.1999999999999998E-7</v>
      </c>
      <c r="BL219">
        <v>0</v>
      </c>
      <c r="BM219" s="2">
        <f t="shared" si="3"/>
        <v>5.4769589708522624E-11</v>
      </c>
    </row>
    <row r="220" spans="1:65" x14ac:dyDescent="0.35">
      <c r="A220">
        <v>0</v>
      </c>
      <c r="B220" t="s">
        <v>3</v>
      </c>
      <c r="C220" t="s">
        <v>4</v>
      </c>
      <c r="D220">
        <v>0</v>
      </c>
      <c r="E220" t="s">
        <v>3</v>
      </c>
      <c r="F220" t="s">
        <v>5</v>
      </c>
      <c r="G220">
        <v>4511.9447639999999</v>
      </c>
      <c r="H220" t="s">
        <v>4</v>
      </c>
      <c r="I220">
        <v>990.16341899999998</v>
      </c>
      <c r="J220">
        <v>3521.7813449999999</v>
      </c>
      <c r="K220" t="s">
        <v>6</v>
      </c>
      <c r="L220" t="s">
        <v>7</v>
      </c>
      <c r="M220" t="s">
        <v>8</v>
      </c>
      <c r="N220" t="s">
        <v>6</v>
      </c>
      <c r="O220" t="s">
        <v>3</v>
      </c>
      <c r="P220" t="s">
        <v>3</v>
      </c>
      <c r="Q220" t="s">
        <v>3</v>
      </c>
      <c r="R220" t="s">
        <v>3</v>
      </c>
      <c r="S220" t="s">
        <v>3</v>
      </c>
      <c r="T220" t="s">
        <v>7</v>
      </c>
      <c r="U220">
        <v>3</v>
      </c>
      <c r="V220">
        <v>0</v>
      </c>
      <c r="W220">
        <v>0</v>
      </c>
      <c r="X220">
        <v>0</v>
      </c>
      <c r="Y220">
        <v>0</v>
      </c>
      <c r="Z220" t="s">
        <v>24</v>
      </c>
      <c r="AA220" t="s">
        <v>4</v>
      </c>
      <c r="AB220" t="s">
        <v>6</v>
      </c>
      <c r="AC220" t="s">
        <v>7</v>
      </c>
      <c r="AD220" t="s">
        <v>8</v>
      </c>
      <c r="AE220" t="s">
        <v>6</v>
      </c>
      <c r="AF220" t="s">
        <v>3</v>
      </c>
      <c r="AG220" t="s">
        <v>3</v>
      </c>
      <c r="AH220" t="s">
        <v>3</v>
      </c>
      <c r="AI220" t="s">
        <v>3</v>
      </c>
      <c r="AJ220" t="s">
        <v>3</v>
      </c>
      <c r="AK220" t="s">
        <v>7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9</v>
      </c>
      <c r="AR220" s="1">
        <v>1.40840261E-4</v>
      </c>
      <c r="AS220" s="1">
        <v>1.8768612899999999E-25</v>
      </c>
      <c r="AT220">
        <v>9</v>
      </c>
      <c r="AU220" t="s">
        <v>10</v>
      </c>
      <c r="AV220">
        <v>3</v>
      </c>
      <c r="AW220">
        <v>0</v>
      </c>
      <c r="AX220">
        <v>0</v>
      </c>
      <c r="AY220">
        <v>0</v>
      </c>
      <c r="AZ220">
        <v>0</v>
      </c>
      <c r="BA220" t="s">
        <v>24</v>
      </c>
      <c r="BB220" t="s">
        <v>4</v>
      </c>
      <c r="BC220" t="s">
        <v>10</v>
      </c>
      <c r="BD220">
        <v>0</v>
      </c>
      <c r="BE220">
        <v>0</v>
      </c>
      <c r="BF220">
        <v>0</v>
      </c>
      <c r="BG220">
        <v>0</v>
      </c>
      <c r="BH220">
        <v>0</v>
      </c>
      <c r="BI220" t="s">
        <v>9</v>
      </c>
      <c r="BJ220">
        <v>1.0682E-4</v>
      </c>
      <c r="BK220">
        <v>0</v>
      </c>
      <c r="BL220">
        <v>-9.179E-5</v>
      </c>
      <c r="BM220" s="2">
        <f t="shared" si="3"/>
        <v>1.130272295044963E-6</v>
      </c>
    </row>
    <row r="221" spans="1:65" x14ac:dyDescent="0.35">
      <c r="A221">
        <v>0</v>
      </c>
      <c r="B221" t="s">
        <v>3</v>
      </c>
      <c r="C221" t="s">
        <v>4</v>
      </c>
      <c r="D221">
        <v>0</v>
      </c>
      <c r="E221" t="s">
        <v>3</v>
      </c>
      <c r="F221" t="s">
        <v>5</v>
      </c>
      <c r="G221">
        <v>3390.3795789999999</v>
      </c>
      <c r="H221" t="s">
        <v>4</v>
      </c>
      <c r="I221">
        <v>990.16341899999998</v>
      </c>
      <c r="J221">
        <v>2400.2161599999999</v>
      </c>
      <c r="K221" t="s">
        <v>6</v>
      </c>
      <c r="L221" t="s">
        <v>7</v>
      </c>
      <c r="M221" t="s">
        <v>8</v>
      </c>
      <c r="N221" t="s">
        <v>6</v>
      </c>
      <c r="O221" t="s">
        <v>3</v>
      </c>
      <c r="P221" t="s">
        <v>3</v>
      </c>
      <c r="Q221" t="s">
        <v>3</v>
      </c>
      <c r="R221" t="s">
        <v>3</v>
      </c>
      <c r="S221" t="s">
        <v>3</v>
      </c>
      <c r="T221" t="s">
        <v>7</v>
      </c>
      <c r="U221">
        <v>1</v>
      </c>
      <c r="V221">
        <v>0</v>
      </c>
      <c r="W221">
        <v>0</v>
      </c>
      <c r="X221">
        <v>0</v>
      </c>
      <c r="Y221">
        <v>0</v>
      </c>
      <c r="Z221" t="s">
        <v>29</v>
      </c>
      <c r="AA221" t="s">
        <v>4</v>
      </c>
      <c r="AB221" t="s">
        <v>6</v>
      </c>
      <c r="AC221" t="s">
        <v>7</v>
      </c>
      <c r="AD221" t="s">
        <v>8</v>
      </c>
      <c r="AE221" t="s">
        <v>6</v>
      </c>
      <c r="AF221" t="s">
        <v>3</v>
      </c>
      <c r="AG221" t="s">
        <v>3</v>
      </c>
      <c r="AH221" t="s">
        <v>3</v>
      </c>
      <c r="AI221" t="s">
        <v>3</v>
      </c>
      <c r="AJ221" t="s">
        <v>3</v>
      </c>
      <c r="AK221" t="s">
        <v>7</v>
      </c>
      <c r="AL221">
        <v>0</v>
      </c>
      <c r="AM221">
        <v>0</v>
      </c>
      <c r="AN221">
        <v>0</v>
      </c>
      <c r="AO221">
        <v>0</v>
      </c>
      <c r="AP221">
        <v>0</v>
      </c>
      <c r="AQ221" t="s">
        <v>9</v>
      </c>
      <c r="AR221" s="1">
        <v>1.37938139E-3</v>
      </c>
      <c r="AS221" s="1">
        <v>1.2269623000000001E-23</v>
      </c>
      <c r="AT221">
        <v>11</v>
      </c>
      <c r="AU221" t="s">
        <v>10</v>
      </c>
      <c r="AV221">
        <v>1</v>
      </c>
      <c r="AW221">
        <v>0</v>
      </c>
      <c r="AX221">
        <v>0</v>
      </c>
      <c r="AY221">
        <v>0</v>
      </c>
      <c r="AZ221">
        <v>0</v>
      </c>
      <c r="BA221" t="s">
        <v>29</v>
      </c>
      <c r="BB221" t="s">
        <v>4</v>
      </c>
      <c r="BC221" t="s">
        <v>10</v>
      </c>
      <c r="BD221">
        <v>0</v>
      </c>
      <c r="BE221">
        <v>0</v>
      </c>
      <c r="BF221">
        <v>0</v>
      </c>
      <c r="BG221">
        <v>0</v>
      </c>
      <c r="BH221">
        <v>0</v>
      </c>
      <c r="BI221" t="s">
        <v>9</v>
      </c>
      <c r="BJ221">
        <v>1.3752899999999999E-3</v>
      </c>
      <c r="BK221">
        <v>0</v>
      </c>
      <c r="BL221">
        <v>-1.0620000000000001E-4</v>
      </c>
      <c r="BM221" s="2">
        <f t="shared" si="3"/>
        <v>7.3889397268918401E-5</v>
      </c>
    </row>
    <row r="222" spans="1:65" x14ac:dyDescent="0.35">
      <c r="A222">
        <v>0</v>
      </c>
      <c r="B222" t="s">
        <v>11</v>
      </c>
      <c r="C222" t="s">
        <v>4</v>
      </c>
      <c r="D222">
        <v>0</v>
      </c>
      <c r="E222" t="s">
        <v>3</v>
      </c>
      <c r="F222" t="s">
        <v>5</v>
      </c>
      <c r="G222">
        <v>4889.7606130000004</v>
      </c>
      <c r="H222" t="s">
        <v>4</v>
      </c>
      <c r="I222">
        <v>990.16341899999998</v>
      </c>
      <c r="J222">
        <v>3899.5971939999999</v>
      </c>
      <c r="K222" t="s">
        <v>6</v>
      </c>
      <c r="L222" t="s">
        <v>7</v>
      </c>
      <c r="M222" t="s">
        <v>8</v>
      </c>
      <c r="N222" t="s">
        <v>6</v>
      </c>
      <c r="O222" t="s">
        <v>3</v>
      </c>
      <c r="P222" t="s">
        <v>3</v>
      </c>
      <c r="Q222" t="s">
        <v>3</v>
      </c>
      <c r="R222" t="s">
        <v>3</v>
      </c>
      <c r="S222" t="s">
        <v>11</v>
      </c>
      <c r="T222" t="s">
        <v>7</v>
      </c>
      <c r="U222">
        <v>0</v>
      </c>
      <c r="V222">
        <v>0</v>
      </c>
      <c r="W222">
        <v>1</v>
      </c>
      <c r="X222">
        <v>2</v>
      </c>
      <c r="Y222">
        <v>0</v>
      </c>
      <c r="Z222" t="s">
        <v>18</v>
      </c>
      <c r="AA222" t="s">
        <v>4</v>
      </c>
      <c r="AB222" t="s">
        <v>6</v>
      </c>
      <c r="AC222" t="s">
        <v>7</v>
      </c>
      <c r="AD222" t="s">
        <v>8</v>
      </c>
      <c r="AE222" t="s">
        <v>6</v>
      </c>
      <c r="AF222" t="s">
        <v>3</v>
      </c>
      <c r="AG222" t="s">
        <v>3</v>
      </c>
      <c r="AH222" t="s">
        <v>3</v>
      </c>
      <c r="AI222" t="s">
        <v>3</v>
      </c>
      <c r="AJ222" t="s">
        <v>3</v>
      </c>
      <c r="AK222" t="s">
        <v>7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9</v>
      </c>
      <c r="AR222" s="1">
        <v>8.5786438900000001E-6</v>
      </c>
      <c r="AS222" s="1">
        <v>7.7103339599999997E-28</v>
      </c>
      <c r="AT222">
        <v>10</v>
      </c>
      <c r="AU222" t="s">
        <v>10</v>
      </c>
      <c r="AV222">
        <v>0</v>
      </c>
      <c r="AW222">
        <v>0</v>
      </c>
      <c r="AX222">
        <v>1</v>
      </c>
      <c r="AY222">
        <v>2</v>
      </c>
      <c r="AZ222">
        <v>0</v>
      </c>
      <c r="BA222" t="s">
        <v>18</v>
      </c>
      <c r="BB222" t="s">
        <v>4</v>
      </c>
      <c r="BC222" t="s">
        <v>10</v>
      </c>
      <c r="BD222">
        <v>0</v>
      </c>
      <c r="BE222">
        <v>0</v>
      </c>
      <c r="BF222">
        <v>0</v>
      </c>
      <c r="BG222">
        <v>0</v>
      </c>
      <c r="BH222">
        <v>0</v>
      </c>
      <c r="BI222" t="s">
        <v>9</v>
      </c>
      <c r="BJ222">
        <v>0</v>
      </c>
      <c r="BK222">
        <v>-8.5799999999999992E-6</v>
      </c>
      <c r="BL222">
        <v>0</v>
      </c>
      <c r="BM222" s="2">
        <f t="shared" si="3"/>
        <v>4.6432716722141566E-9</v>
      </c>
    </row>
    <row r="223" spans="1:65" x14ac:dyDescent="0.35">
      <c r="A223">
        <v>0</v>
      </c>
      <c r="B223" t="s">
        <v>3</v>
      </c>
      <c r="C223" t="s">
        <v>4</v>
      </c>
      <c r="D223">
        <v>0</v>
      </c>
      <c r="E223" t="s">
        <v>3</v>
      </c>
      <c r="F223" t="s">
        <v>5</v>
      </c>
      <c r="G223">
        <v>3153.7988740000001</v>
      </c>
      <c r="H223" t="s">
        <v>4</v>
      </c>
      <c r="I223">
        <v>990.16341899999998</v>
      </c>
      <c r="J223">
        <v>2163.6354550000001</v>
      </c>
      <c r="K223" t="s">
        <v>6</v>
      </c>
      <c r="L223" t="s">
        <v>7</v>
      </c>
      <c r="M223" t="s">
        <v>8</v>
      </c>
      <c r="N223" t="s">
        <v>6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 t="s">
        <v>7</v>
      </c>
      <c r="U223">
        <v>2</v>
      </c>
      <c r="V223">
        <v>0</v>
      </c>
      <c r="W223">
        <v>0</v>
      </c>
      <c r="X223">
        <v>1</v>
      </c>
      <c r="Y223">
        <v>0</v>
      </c>
      <c r="Z223" t="s">
        <v>15</v>
      </c>
      <c r="AA223" t="s">
        <v>4</v>
      </c>
      <c r="AB223" t="s">
        <v>6</v>
      </c>
      <c r="AC223" t="s">
        <v>7</v>
      </c>
      <c r="AD223" t="s">
        <v>8</v>
      </c>
      <c r="AE223" t="s">
        <v>6</v>
      </c>
      <c r="AF223" t="s">
        <v>3</v>
      </c>
      <c r="AG223" t="s">
        <v>3</v>
      </c>
      <c r="AH223" t="s">
        <v>3</v>
      </c>
      <c r="AI223" t="s">
        <v>3</v>
      </c>
      <c r="AJ223" t="s">
        <v>3</v>
      </c>
      <c r="AK223" t="s">
        <v>7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9</v>
      </c>
      <c r="AR223" s="1">
        <v>1.0235898099999999E-4</v>
      </c>
      <c r="AS223" s="1">
        <v>6.0903119400000005E-26</v>
      </c>
      <c r="AT223">
        <v>11</v>
      </c>
      <c r="AU223" t="s">
        <v>10</v>
      </c>
      <c r="AV223">
        <v>2</v>
      </c>
      <c r="AW223">
        <v>0</v>
      </c>
      <c r="AX223">
        <v>0</v>
      </c>
      <c r="AY223">
        <v>1</v>
      </c>
      <c r="AZ223">
        <v>0</v>
      </c>
      <c r="BA223" t="s">
        <v>15</v>
      </c>
      <c r="BB223" t="s">
        <v>4</v>
      </c>
      <c r="BC223" t="s">
        <v>10</v>
      </c>
      <c r="BD223">
        <v>0</v>
      </c>
      <c r="BE223">
        <v>0</v>
      </c>
      <c r="BF223">
        <v>0</v>
      </c>
      <c r="BG223">
        <v>0</v>
      </c>
      <c r="BH223">
        <v>0</v>
      </c>
      <c r="BI223" t="s">
        <v>9</v>
      </c>
      <c r="BJ223">
        <v>-9.9030000000000006E-5</v>
      </c>
      <c r="BK223">
        <v>0</v>
      </c>
      <c r="BL223">
        <v>2.588E-5</v>
      </c>
      <c r="BM223" s="2">
        <f t="shared" si="3"/>
        <v>3.6676716018601152E-7</v>
      </c>
    </row>
    <row r="224" spans="1:65" x14ac:dyDescent="0.35">
      <c r="A224">
        <v>0</v>
      </c>
      <c r="B224" t="s">
        <v>11</v>
      </c>
      <c r="C224" t="s">
        <v>4</v>
      </c>
      <c r="D224">
        <v>0</v>
      </c>
      <c r="E224" t="s">
        <v>3</v>
      </c>
      <c r="F224" t="s">
        <v>5</v>
      </c>
      <c r="G224">
        <v>4662.0184360000003</v>
      </c>
      <c r="H224" t="s">
        <v>4</v>
      </c>
      <c r="I224">
        <v>990.16341899999998</v>
      </c>
      <c r="J224">
        <v>3671.8550169999999</v>
      </c>
      <c r="K224" t="s">
        <v>6</v>
      </c>
      <c r="L224" t="s">
        <v>7</v>
      </c>
      <c r="M224" t="s">
        <v>8</v>
      </c>
      <c r="N224" t="s">
        <v>6</v>
      </c>
      <c r="O224" t="s">
        <v>3</v>
      </c>
      <c r="P224" t="s">
        <v>3</v>
      </c>
      <c r="Q224" t="s">
        <v>3</v>
      </c>
      <c r="R224" t="s">
        <v>3</v>
      </c>
      <c r="S224" t="s">
        <v>11</v>
      </c>
      <c r="T224" t="s">
        <v>7</v>
      </c>
      <c r="U224">
        <v>2</v>
      </c>
      <c r="V224">
        <v>0</v>
      </c>
      <c r="W224">
        <v>0</v>
      </c>
      <c r="X224">
        <v>1</v>
      </c>
      <c r="Y224">
        <v>1</v>
      </c>
      <c r="Z224" t="s">
        <v>13</v>
      </c>
      <c r="AA224" t="s">
        <v>4</v>
      </c>
      <c r="AB224" t="s">
        <v>6</v>
      </c>
      <c r="AC224" t="s">
        <v>7</v>
      </c>
      <c r="AD224" t="s">
        <v>8</v>
      </c>
      <c r="AE224" t="s">
        <v>6</v>
      </c>
      <c r="AF224" t="s">
        <v>3</v>
      </c>
      <c r="AG224" t="s">
        <v>3</v>
      </c>
      <c r="AH224" t="s">
        <v>3</v>
      </c>
      <c r="AI224" t="s">
        <v>3</v>
      </c>
      <c r="AJ224" t="s">
        <v>3</v>
      </c>
      <c r="AK224" t="s">
        <v>7</v>
      </c>
      <c r="AL224">
        <v>0</v>
      </c>
      <c r="AM224">
        <v>0</v>
      </c>
      <c r="AN224">
        <v>0</v>
      </c>
      <c r="AO224">
        <v>0</v>
      </c>
      <c r="AP224">
        <v>0</v>
      </c>
      <c r="AQ224" t="s">
        <v>9</v>
      </c>
      <c r="AR224" s="1">
        <v>6.2295616900000002E-6</v>
      </c>
      <c r="AS224" s="1">
        <v>3.8283943000000002E-28</v>
      </c>
      <c r="AT224">
        <v>10</v>
      </c>
      <c r="AU224" t="s">
        <v>10</v>
      </c>
      <c r="AV224">
        <v>2</v>
      </c>
      <c r="AW224">
        <v>0</v>
      </c>
      <c r="AX224">
        <v>0</v>
      </c>
      <c r="AY224">
        <v>1</v>
      </c>
      <c r="AZ224">
        <v>1</v>
      </c>
      <c r="BA224" t="s">
        <v>13</v>
      </c>
      <c r="BB224" t="s">
        <v>4</v>
      </c>
      <c r="BC224" t="s">
        <v>10</v>
      </c>
      <c r="BD224">
        <v>0</v>
      </c>
      <c r="BE224">
        <v>0</v>
      </c>
      <c r="BF224">
        <v>0</v>
      </c>
      <c r="BG224">
        <v>0</v>
      </c>
      <c r="BH224">
        <v>0</v>
      </c>
      <c r="BI224" t="s">
        <v>9</v>
      </c>
      <c r="BJ224">
        <v>0</v>
      </c>
      <c r="BK224">
        <v>6.2299999999999996E-6</v>
      </c>
      <c r="BL224">
        <v>0</v>
      </c>
      <c r="BM224" s="2">
        <f t="shared" si="3"/>
        <v>2.3055129512517442E-9</v>
      </c>
    </row>
    <row r="225" spans="1:65" x14ac:dyDescent="0.35">
      <c r="A225">
        <v>0</v>
      </c>
      <c r="B225" t="s">
        <v>11</v>
      </c>
      <c r="C225" t="s">
        <v>4</v>
      </c>
      <c r="D225">
        <v>0</v>
      </c>
      <c r="E225" t="s">
        <v>3</v>
      </c>
      <c r="F225" t="s">
        <v>5</v>
      </c>
      <c r="G225">
        <v>4302.981734</v>
      </c>
      <c r="H225" t="s">
        <v>4</v>
      </c>
      <c r="I225">
        <v>990.16341899999998</v>
      </c>
      <c r="J225">
        <v>3312.818315</v>
      </c>
      <c r="K225" t="s">
        <v>6</v>
      </c>
      <c r="L225" t="s">
        <v>7</v>
      </c>
      <c r="M225" t="s">
        <v>8</v>
      </c>
      <c r="N225" t="s">
        <v>6</v>
      </c>
      <c r="O225" t="s">
        <v>3</v>
      </c>
      <c r="P225" t="s">
        <v>3</v>
      </c>
      <c r="Q225" t="s">
        <v>3</v>
      </c>
      <c r="R225" t="s">
        <v>3</v>
      </c>
      <c r="S225" t="s">
        <v>11</v>
      </c>
      <c r="T225" t="s">
        <v>7</v>
      </c>
      <c r="U225">
        <v>2</v>
      </c>
      <c r="V225">
        <v>0</v>
      </c>
      <c r="W225">
        <v>0</v>
      </c>
      <c r="X225">
        <v>1</v>
      </c>
      <c r="Y225">
        <v>0</v>
      </c>
      <c r="Z225" t="s">
        <v>19</v>
      </c>
      <c r="AA225" t="s">
        <v>4</v>
      </c>
      <c r="AB225" t="s">
        <v>6</v>
      </c>
      <c r="AC225" t="s">
        <v>7</v>
      </c>
      <c r="AD225" t="s">
        <v>8</v>
      </c>
      <c r="AE225" t="s">
        <v>6</v>
      </c>
      <c r="AF225" t="s">
        <v>3</v>
      </c>
      <c r="AG225" t="s">
        <v>3</v>
      </c>
      <c r="AH225" t="s">
        <v>3</v>
      </c>
      <c r="AI225" t="s">
        <v>3</v>
      </c>
      <c r="AJ225" t="s">
        <v>3</v>
      </c>
      <c r="AK225" t="s">
        <v>7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9</v>
      </c>
      <c r="AR225" s="1">
        <v>3.3414485000000001E-6</v>
      </c>
      <c r="AS225" s="1">
        <v>9.9376403900000005E-29</v>
      </c>
      <c r="AT225">
        <v>10</v>
      </c>
      <c r="AU225" t="s">
        <v>10</v>
      </c>
      <c r="AV225">
        <v>2</v>
      </c>
      <c r="AW225">
        <v>0</v>
      </c>
      <c r="AX225">
        <v>0</v>
      </c>
      <c r="AY225">
        <v>1</v>
      </c>
      <c r="AZ225">
        <v>0</v>
      </c>
      <c r="BA225" t="s">
        <v>19</v>
      </c>
      <c r="BB225" t="s">
        <v>4</v>
      </c>
      <c r="BC225" t="s">
        <v>10</v>
      </c>
      <c r="BD225">
        <v>0</v>
      </c>
      <c r="BE225">
        <v>0</v>
      </c>
      <c r="BF225">
        <v>0</v>
      </c>
      <c r="BG225">
        <v>0</v>
      </c>
      <c r="BH225">
        <v>0</v>
      </c>
      <c r="BI225" t="s">
        <v>9</v>
      </c>
      <c r="BJ225">
        <v>0</v>
      </c>
      <c r="BK225">
        <v>3.3400000000000002E-6</v>
      </c>
      <c r="BL225">
        <v>0</v>
      </c>
      <c r="BM225" s="2">
        <f t="shared" si="3"/>
        <v>5.9845869648346912E-10</v>
      </c>
    </row>
    <row r="226" spans="1:65" x14ac:dyDescent="0.35">
      <c r="A226">
        <v>0</v>
      </c>
      <c r="B226" t="s">
        <v>3</v>
      </c>
      <c r="C226" t="s">
        <v>4</v>
      </c>
      <c r="D226">
        <v>0</v>
      </c>
      <c r="E226" t="s">
        <v>3</v>
      </c>
      <c r="F226" t="s">
        <v>5</v>
      </c>
      <c r="G226">
        <v>1450.605139</v>
      </c>
      <c r="H226" t="s">
        <v>4</v>
      </c>
      <c r="I226">
        <v>990.16341899999998</v>
      </c>
      <c r="J226">
        <v>460.44171999999998</v>
      </c>
      <c r="K226" t="s">
        <v>6</v>
      </c>
      <c r="L226" t="s">
        <v>7</v>
      </c>
      <c r="M226" t="s">
        <v>8</v>
      </c>
      <c r="N226" t="s">
        <v>6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 t="s">
        <v>7</v>
      </c>
      <c r="U226">
        <v>0</v>
      </c>
      <c r="V226">
        <v>0</v>
      </c>
      <c r="W226">
        <v>0</v>
      </c>
      <c r="X226">
        <v>1</v>
      </c>
      <c r="Y226">
        <v>0</v>
      </c>
      <c r="Z226" t="s">
        <v>15</v>
      </c>
      <c r="AA226" t="s">
        <v>4</v>
      </c>
      <c r="AB226" t="s">
        <v>6</v>
      </c>
      <c r="AC226" t="s">
        <v>7</v>
      </c>
      <c r="AD226" t="s">
        <v>8</v>
      </c>
      <c r="AE226" t="s">
        <v>6</v>
      </c>
      <c r="AF226" t="s">
        <v>3</v>
      </c>
      <c r="AG226" t="s">
        <v>3</v>
      </c>
      <c r="AH226" t="s">
        <v>3</v>
      </c>
      <c r="AI226" t="s">
        <v>3</v>
      </c>
      <c r="AJ226" t="s">
        <v>3</v>
      </c>
      <c r="AK226" t="s">
        <v>7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9</v>
      </c>
      <c r="AR226" s="1">
        <v>1.05306976E-5</v>
      </c>
      <c r="AS226" s="1">
        <v>1.2233038600000001E-28</v>
      </c>
      <c r="AT226">
        <v>12</v>
      </c>
      <c r="AU226" t="s">
        <v>10</v>
      </c>
      <c r="AV226">
        <v>0</v>
      </c>
      <c r="AW226">
        <v>0</v>
      </c>
      <c r="AX226">
        <v>0</v>
      </c>
      <c r="AY226">
        <v>1</v>
      </c>
      <c r="AZ226">
        <v>0</v>
      </c>
      <c r="BA226" t="s">
        <v>15</v>
      </c>
      <c r="BB226" t="s">
        <v>4</v>
      </c>
      <c r="BC226" t="s">
        <v>10</v>
      </c>
      <c r="BD226">
        <v>0</v>
      </c>
      <c r="BE226">
        <v>0</v>
      </c>
      <c r="BF226">
        <v>0</v>
      </c>
      <c r="BG226">
        <v>0</v>
      </c>
      <c r="BH226">
        <v>0</v>
      </c>
      <c r="BI226" t="s">
        <v>9</v>
      </c>
      <c r="BJ226">
        <v>-9.1099999999999992E-6</v>
      </c>
      <c r="BK226">
        <v>0</v>
      </c>
      <c r="BL226">
        <v>-5.2800000000000003E-6</v>
      </c>
      <c r="BM226" s="2">
        <f t="shared" si="3"/>
        <v>7.3669080861034883E-10</v>
      </c>
    </row>
    <row r="227" spans="1:65" x14ac:dyDescent="0.35">
      <c r="A227">
        <v>0</v>
      </c>
      <c r="B227" t="s">
        <v>3</v>
      </c>
      <c r="C227" t="s">
        <v>4</v>
      </c>
      <c r="D227">
        <v>0</v>
      </c>
      <c r="E227" t="s">
        <v>3</v>
      </c>
      <c r="F227" t="s">
        <v>5</v>
      </c>
      <c r="G227">
        <v>4216.6550429999998</v>
      </c>
      <c r="H227" t="s">
        <v>4</v>
      </c>
      <c r="I227">
        <v>990.16341899999998</v>
      </c>
      <c r="J227">
        <v>3226.4916239999998</v>
      </c>
      <c r="K227" t="s">
        <v>6</v>
      </c>
      <c r="L227" t="s">
        <v>7</v>
      </c>
      <c r="M227" t="s">
        <v>8</v>
      </c>
      <c r="N227" t="s">
        <v>6</v>
      </c>
      <c r="O227" t="s">
        <v>3</v>
      </c>
      <c r="P227" t="s">
        <v>3</v>
      </c>
      <c r="Q227" t="s">
        <v>3</v>
      </c>
      <c r="R227" t="s">
        <v>3</v>
      </c>
      <c r="S227" t="s">
        <v>3</v>
      </c>
      <c r="T227" t="s">
        <v>7</v>
      </c>
      <c r="U227">
        <v>0</v>
      </c>
      <c r="V227">
        <v>1</v>
      </c>
      <c r="W227">
        <v>0</v>
      </c>
      <c r="X227">
        <v>7</v>
      </c>
      <c r="Y227">
        <v>0</v>
      </c>
      <c r="Z227" t="s">
        <v>8</v>
      </c>
      <c r="AA227" t="s">
        <v>4</v>
      </c>
      <c r="AB227" t="s">
        <v>6</v>
      </c>
      <c r="AC227" t="s">
        <v>7</v>
      </c>
      <c r="AD227" t="s">
        <v>8</v>
      </c>
      <c r="AE227" t="s">
        <v>6</v>
      </c>
      <c r="AF227" t="s">
        <v>3</v>
      </c>
      <c r="AG227" t="s">
        <v>3</v>
      </c>
      <c r="AH227" t="s">
        <v>3</v>
      </c>
      <c r="AI227" t="s">
        <v>3</v>
      </c>
      <c r="AJ227" t="s">
        <v>3</v>
      </c>
      <c r="AK227" t="s">
        <v>7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9</v>
      </c>
      <c r="AR227" s="1">
        <v>4.0827529599999997E-5</v>
      </c>
      <c r="AS227" s="1">
        <v>1.44495006E-26</v>
      </c>
      <c r="AT227">
        <v>10</v>
      </c>
      <c r="AU227" t="s">
        <v>10</v>
      </c>
      <c r="AV227">
        <v>0</v>
      </c>
      <c r="AW227">
        <v>1</v>
      </c>
      <c r="AX227">
        <v>0</v>
      </c>
      <c r="AY227">
        <v>7</v>
      </c>
      <c r="AZ227">
        <v>0</v>
      </c>
      <c r="BA227" t="s">
        <v>8</v>
      </c>
      <c r="BB227" t="s">
        <v>4</v>
      </c>
      <c r="BC227" t="s">
        <v>10</v>
      </c>
      <c r="BD227">
        <v>0</v>
      </c>
      <c r="BE227">
        <v>0</v>
      </c>
      <c r="BF227">
        <v>0</v>
      </c>
      <c r="BG227">
        <v>0</v>
      </c>
      <c r="BH227">
        <v>0</v>
      </c>
      <c r="BI227" t="s">
        <v>9</v>
      </c>
      <c r="BJ227">
        <v>-3.799E-5</v>
      </c>
      <c r="BK227">
        <v>0</v>
      </c>
      <c r="BL227">
        <v>-1.4949999999999999E-5</v>
      </c>
      <c r="BM227" s="2">
        <f t="shared" si="3"/>
        <v>8.7016927102884464E-8</v>
      </c>
    </row>
    <row r="228" spans="1:65" x14ac:dyDescent="0.35">
      <c r="A228">
        <v>0</v>
      </c>
      <c r="B228" t="s">
        <v>11</v>
      </c>
      <c r="C228" t="s">
        <v>4</v>
      </c>
      <c r="D228">
        <v>0</v>
      </c>
      <c r="E228" t="s">
        <v>3</v>
      </c>
      <c r="F228" t="s">
        <v>5</v>
      </c>
      <c r="G228">
        <v>4727.0198979999996</v>
      </c>
      <c r="H228" t="s">
        <v>4</v>
      </c>
      <c r="I228">
        <v>990.16341899999998</v>
      </c>
      <c r="J228">
        <v>3736.856479</v>
      </c>
      <c r="K228" t="s">
        <v>6</v>
      </c>
      <c r="L228" t="s">
        <v>7</v>
      </c>
      <c r="M228" t="s">
        <v>8</v>
      </c>
      <c r="N228" t="s">
        <v>6</v>
      </c>
      <c r="O228" t="s">
        <v>3</v>
      </c>
      <c r="P228" t="s">
        <v>3</v>
      </c>
      <c r="Q228" t="s">
        <v>3</v>
      </c>
      <c r="R228" t="s">
        <v>3</v>
      </c>
      <c r="S228" t="s">
        <v>11</v>
      </c>
      <c r="T228" t="s">
        <v>7</v>
      </c>
      <c r="U228">
        <v>0</v>
      </c>
      <c r="V228">
        <v>0</v>
      </c>
      <c r="W228">
        <v>0</v>
      </c>
      <c r="X228">
        <v>3</v>
      </c>
      <c r="Y228">
        <v>0</v>
      </c>
      <c r="Z228" t="s">
        <v>25</v>
      </c>
      <c r="AA228" t="s">
        <v>4</v>
      </c>
      <c r="AB228" t="s">
        <v>6</v>
      </c>
      <c r="AC228" t="s">
        <v>7</v>
      </c>
      <c r="AD228" t="s">
        <v>8</v>
      </c>
      <c r="AE228" t="s">
        <v>6</v>
      </c>
      <c r="AF228" t="s">
        <v>3</v>
      </c>
      <c r="AG228" t="s">
        <v>3</v>
      </c>
      <c r="AH228" t="s">
        <v>3</v>
      </c>
      <c r="AI228" t="s">
        <v>3</v>
      </c>
      <c r="AJ228" t="s">
        <v>3</v>
      </c>
      <c r="AK228" t="s">
        <v>7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9</v>
      </c>
      <c r="AR228" s="1">
        <v>5.1431361099999998E-6</v>
      </c>
      <c r="AS228" s="1">
        <v>2.6556975400000001E-28</v>
      </c>
      <c r="AT228">
        <v>10</v>
      </c>
      <c r="AU228" t="s">
        <v>10</v>
      </c>
      <c r="AV228">
        <v>0</v>
      </c>
      <c r="AW228">
        <v>0</v>
      </c>
      <c r="AX228">
        <v>0</v>
      </c>
      <c r="AY228">
        <v>3</v>
      </c>
      <c r="AZ228">
        <v>0</v>
      </c>
      <c r="BA228" t="s">
        <v>25</v>
      </c>
      <c r="BB228" t="s">
        <v>4</v>
      </c>
      <c r="BC228" t="s">
        <v>10</v>
      </c>
      <c r="BD228">
        <v>0</v>
      </c>
      <c r="BE228">
        <v>0</v>
      </c>
      <c r="BF228">
        <v>0</v>
      </c>
      <c r="BG228">
        <v>0</v>
      </c>
      <c r="BH228">
        <v>0</v>
      </c>
      <c r="BI228" t="s">
        <v>9</v>
      </c>
      <c r="BJ228">
        <v>0</v>
      </c>
      <c r="BK228">
        <v>-5.1399999999999999E-6</v>
      </c>
      <c r="BL228">
        <v>0</v>
      </c>
      <c r="BM228" s="2">
        <f t="shared" si="3"/>
        <v>1.5992984508093633E-9</v>
      </c>
    </row>
    <row r="229" spans="1:65" x14ac:dyDescent="0.35">
      <c r="A229">
        <v>0</v>
      </c>
      <c r="B229" t="s">
        <v>3</v>
      </c>
      <c r="C229" t="s">
        <v>4</v>
      </c>
      <c r="D229">
        <v>0</v>
      </c>
      <c r="E229" t="s">
        <v>3</v>
      </c>
      <c r="F229" t="s">
        <v>5</v>
      </c>
      <c r="G229">
        <v>4833.9540969999998</v>
      </c>
      <c r="H229" t="s">
        <v>4</v>
      </c>
      <c r="I229">
        <v>990.16341899999998</v>
      </c>
      <c r="J229">
        <v>3843.7906779999998</v>
      </c>
      <c r="K229" t="s">
        <v>6</v>
      </c>
      <c r="L229" t="s">
        <v>7</v>
      </c>
      <c r="M229" t="s">
        <v>8</v>
      </c>
      <c r="N229" t="s">
        <v>6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 t="s">
        <v>7</v>
      </c>
      <c r="U229">
        <v>0</v>
      </c>
      <c r="V229">
        <v>1</v>
      </c>
      <c r="W229">
        <v>1</v>
      </c>
      <c r="X229">
        <v>0</v>
      </c>
      <c r="Y229">
        <v>0</v>
      </c>
      <c r="Z229" t="s">
        <v>8</v>
      </c>
      <c r="AA229" t="s">
        <v>4</v>
      </c>
      <c r="AB229" t="s">
        <v>6</v>
      </c>
      <c r="AC229" t="s">
        <v>7</v>
      </c>
      <c r="AD229" t="s">
        <v>8</v>
      </c>
      <c r="AE229" t="s">
        <v>6</v>
      </c>
      <c r="AF229" t="s">
        <v>3</v>
      </c>
      <c r="AG229" t="s">
        <v>3</v>
      </c>
      <c r="AH229" t="s">
        <v>3</v>
      </c>
      <c r="AI229" t="s">
        <v>3</v>
      </c>
      <c r="AJ229" t="s">
        <v>3</v>
      </c>
      <c r="AK229" t="s">
        <v>7</v>
      </c>
      <c r="AL229">
        <v>0</v>
      </c>
      <c r="AM229">
        <v>0</v>
      </c>
      <c r="AN229">
        <v>0</v>
      </c>
      <c r="AO229">
        <v>0</v>
      </c>
      <c r="AP229">
        <v>0</v>
      </c>
      <c r="AQ229" t="s">
        <v>9</v>
      </c>
      <c r="AR229" s="1">
        <v>1.09727214E-5</v>
      </c>
      <c r="AS229" s="1">
        <v>1.24338206E-27</v>
      </c>
      <c r="AT229">
        <v>10</v>
      </c>
      <c r="AU229" t="s">
        <v>10</v>
      </c>
      <c r="AV229">
        <v>0</v>
      </c>
      <c r="AW229">
        <v>1</v>
      </c>
      <c r="AX229">
        <v>1</v>
      </c>
      <c r="AY229">
        <v>0</v>
      </c>
      <c r="AZ229">
        <v>0</v>
      </c>
      <c r="BA229" t="s">
        <v>8</v>
      </c>
      <c r="BB229" t="s">
        <v>4</v>
      </c>
      <c r="BC229" t="s">
        <v>10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9</v>
      </c>
      <c r="BJ229">
        <v>6.4300000000000003E-6</v>
      </c>
      <c r="BK229">
        <v>0</v>
      </c>
      <c r="BL229">
        <v>-8.8899999999999996E-6</v>
      </c>
      <c r="BM229" s="2">
        <f t="shared" si="3"/>
        <v>7.4878218335140481E-9</v>
      </c>
    </row>
    <row r="230" spans="1:65" x14ac:dyDescent="0.35">
      <c r="A230">
        <v>0</v>
      </c>
      <c r="B230" t="s">
        <v>11</v>
      </c>
      <c r="C230" t="s">
        <v>4</v>
      </c>
      <c r="D230">
        <v>0</v>
      </c>
      <c r="E230" t="s">
        <v>3</v>
      </c>
      <c r="F230" t="s">
        <v>5</v>
      </c>
      <c r="G230">
        <v>4368.4827560000003</v>
      </c>
      <c r="H230" t="s">
        <v>4</v>
      </c>
      <c r="I230">
        <v>990.16341899999998</v>
      </c>
      <c r="J230">
        <v>3378.3193369999999</v>
      </c>
      <c r="K230" t="s">
        <v>6</v>
      </c>
      <c r="L230" t="s">
        <v>7</v>
      </c>
      <c r="M230" t="s">
        <v>8</v>
      </c>
      <c r="N230" t="s">
        <v>6</v>
      </c>
      <c r="O230" t="s">
        <v>3</v>
      </c>
      <c r="P230" t="s">
        <v>3</v>
      </c>
      <c r="Q230" t="s">
        <v>3</v>
      </c>
      <c r="R230" t="s">
        <v>3</v>
      </c>
      <c r="S230" t="s">
        <v>11</v>
      </c>
      <c r="T230" t="s">
        <v>7</v>
      </c>
      <c r="U230">
        <v>3</v>
      </c>
      <c r="V230">
        <v>0</v>
      </c>
      <c r="W230">
        <v>0</v>
      </c>
      <c r="X230">
        <v>1</v>
      </c>
      <c r="Y230">
        <v>0</v>
      </c>
      <c r="Z230" t="s">
        <v>14</v>
      </c>
      <c r="AA230" t="s">
        <v>4</v>
      </c>
      <c r="AB230" t="s">
        <v>6</v>
      </c>
      <c r="AC230" t="s">
        <v>7</v>
      </c>
      <c r="AD230" t="s">
        <v>8</v>
      </c>
      <c r="AE230" t="s">
        <v>6</v>
      </c>
      <c r="AF230" t="s">
        <v>3</v>
      </c>
      <c r="AG230" t="s">
        <v>3</v>
      </c>
      <c r="AH230" t="s">
        <v>3</v>
      </c>
      <c r="AI230" t="s">
        <v>3</v>
      </c>
      <c r="AJ230" t="s">
        <v>3</v>
      </c>
      <c r="AK230" t="s">
        <v>7</v>
      </c>
      <c r="AL230">
        <v>0</v>
      </c>
      <c r="AM230">
        <v>0</v>
      </c>
      <c r="AN230">
        <v>0</v>
      </c>
      <c r="AO230">
        <v>0</v>
      </c>
      <c r="AP230">
        <v>0</v>
      </c>
      <c r="AQ230" t="s">
        <v>9</v>
      </c>
      <c r="AR230" s="1">
        <v>6.9942433800000001E-6</v>
      </c>
      <c r="AS230" s="1">
        <v>4.4401568000000002E-28</v>
      </c>
      <c r="AT230">
        <v>10</v>
      </c>
      <c r="AU230" t="s">
        <v>10</v>
      </c>
      <c r="AV230">
        <v>3</v>
      </c>
      <c r="AW230">
        <v>0</v>
      </c>
      <c r="AX230">
        <v>0</v>
      </c>
      <c r="AY230">
        <v>1</v>
      </c>
      <c r="AZ230">
        <v>0</v>
      </c>
      <c r="BA230" t="s">
        <v>14</v>
      </c>
      <c r="BB230" t="s">
        <v>4</v>
      </c>
      <c r="BC230" t="s">
        <v>10</v>
      </c>
      <c r="BD230">
        <v>0</v>
      </c>
      <c r="BE230">
        <v>0</v>
      </c>
      <c r="BF230">
        <v>0</v>
      </c>
      <c r="BG230">
        <v>0</v>
      </c>
      <c r="BH230">
        <v>0</v>
      </c>
      <c r="BI230" t="s">
        <v>9</v>
      </c>
      <c r="BJ230">
        <v>0</v>
      </c>
      <c r="BK230">
        <v>-6.99E-6</v>
      </c>
      <c r="BL230">
        <v>0</v>
      </c>
      <c r="BM230" s="2">
        <f t="shared" si="3"/>
        <v>2.673924942367744E-9</v>
      </c>
    </row>
    <row r="231" spans="1:65" x14ac:dyDescent="0.35">
      <c r="A231">
        <v>0</v>
      </c>
      <c r="B231" t="s">
        <v>3</v>
      </c>
      <c r="C231" t="s">
        <v>4</v>
      </c>
      <c r="D231">
        <v>0</v>
      </c>
      <c r="E231" t="s">
        <v>3</v>
      </c>
      <c r="F231" t="s">
        <v>5</v>
      </c>
      <c r="G231">
        <v>3674.282886</v>
      </c>
      <c r="H231" t="s">
        <v>4</v>
      </c>
      <c r="I231">
        <v>990.16341899999998</v>
      </c>
      <c r="J231">
        <v>2684.119467</v>
      </c>
      <c r="K231" t="s">
        <v>6</v>
      </c>
      <c r="L231" t="s">
        <v>7</v>
      </c>
      <c r="M231" t="s">
        <v>8</v>
      </c>
      <c r="N231" t="s">
        <v>6</v>
      </c>
      <c r="O231" t="s">
        <v>3</v>
      </c>
      <c r="P231" t="s">
        <v>3</v>
      </c>
      <c r="Q231" t="s">
        <v>3</v>
      </c>
      <c r="R231" t="s">
        <v>3</v>
      </c>
      <c r="S231" t="s">
        <v>3</v>
      </c>
      <c r="T231" t="s">
        <v>7</v>
      </c>
      <c r="U231">
        <v>0</v>
      </c>
      <c r="V231">
        <v>0</v>
      </c>
      <c r="W231">
        <v>0</v>
      </c>
      <c r="X231">
        <v>4</v>
      </c>
      <c r="Y231">
        <v>0</v>
      </c>
      <c r="Z231" t="s">
        <v>24</v>
      </c>
      <c r="AA231" t="s">
        <v>4</v>
      </c>
      <c r="AB231" t="s">
        <v>6</v>
      </c>
      <c r="AC231" t="s">
        <v>7</v>
      </c>
      <c r="AD231" t="s">
        <v>8</v>
      </c>
      <c r="AE231" t="s">
        <v>6</v>
      </c>
      <c r="AF231" t="s">
        <v>3</v>
      </c>
      <c r="AG231" t="s">
        <v>3</v>
      </c>
      <c r="AH231" t="s">
        <v>3</v>
      </c>
      <c r="AI231" t="s">
        <v>3</v>
      </c>
      <c r="AJ231" t="s">
        <v>3</v>
      </c>
      <c r="AK231" t="s">
        <v>7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9</v>
      </c>
      <c r="AR231" s="1">
        <v>8.6826045599999998E-5</v>
      </c>
      <c r="AS231" s="1">
        <v>5.4364703800000002E-26</v>
      </c>
      <c r="AT231">
        <v>12</v>
      </c>
      <c r="AU231" t="s">
        <v>10</v>
      </c>
      <c r="AV231">
        <v>0</v>
      </c>
      <c r="AW231">
        <v>0</v>
      </c>
      <c r="AX231">
        <v>0</v>
      </c>
      <c r="AY231">
        <v>4</v>
      </c>
      <c r="AZ231">
        <v>0</v>
      </c>
      <c r="BA231" t="s">
        <v>24</v>
      </c>
      <c r="BB231" t="s">
        <v>4</v>
      </c>
      <c r="BC231" t="s">
        <v>10</v>
      </c>
      <c r="BD231">
        <v>0</v>
      </c>
      <c r="BE231">
        <v>0</v>
      </c>
      <c r="BF231">
        <v>0</v>
      </c>
      <c r="BG231">
        <v>0</v>
      </c>
      <c r="BH231">
        <v>0</v>
      </c>
      <c r="BI231" t="s">
        <v>9</v>
      </c>
      <c r="BJ231">
        <v>7.8129999999999999E-5</v>
      </c>
      <c r="BK231">
        <v>0</v>
      </c>
      <c r="BL231">
        <v>3.7870000000000002E-5</v>
      </c>
      <c r="BM231" s="2">
        <f t="shared" si="3"/>
        <v>3.2739190083389507E-7</v>
      </c>
    </row>
    <row r="232" spans="1:65" x14ac:dyDescent="0.35">
      <c r="A232">
        <v>0</v>
      </c>
      <c r="B232" t="s">
        <v>11</v>
      </c>
      <c r="C232" t="s">
        <v>4</v>
      </c>
      <c r="D232">
        <v>0</v>
      </c>
      <c r="E232" t="s">
        <v>3</v>
      </c>
      <c r="F232" t="s">
        <v>5</v>
      </c>
      <c r="G232">
        <v>3806.6779099999999</v>
      </c>
      <c r="H232" t="s">
        <v>4</v>
      </c>
      <c r="I232">
        <v>990.16341899999998</v>
      </c>
      <c r="J232">
        <v>2816.5144909999999</v>
      </c>
      <c r="K232" t="s">
        <v>6</v>
      </c>
      <c r="L232" t="s">
        <v>7</v>
      </c>
      <c r="M232" t="s">
        <v>8</v>
      </c>
      <c r="N232" t="s">
        <v>6</v>
      </c>
      <c r="O232" t="s">
        <v>3</v>
      </c>
      <c r="P232" t="s">
        <v>3</v>
      </c>
      <c r="Q232" t="s">
        <v>3</v>
      </c>
      <c r="R232" t="s">
        <v>3</v>
      </c>
      <c r="S232" t="s">
        <v>11</v>
      </c>
      <c r="T232" t="s">
        <v>7</v>
      </c>
      <c r="U232">
        <v>1</v>
      </c>
      <c r="V232">
        <v>1</v>
      </c>
      <c r="W232">
        <v>0</v>
      </c>
      <c r="X232">
        <v>3</v>
      </c>
      <c r="Y232">
        <v>0</v>
      </c>
      <c r="Z232" t="s">
        <v>18</v>
      </c>
      <c r="AA232" t="s">
        <v>4</v>
      </c>
      <c r="AB232" t="s">
        <v>6</v>
      </c>
      <c r="AC232" t="s">
        <v>7</v>
      </c>
      <c r="AD232" t="s">
        <v>8</v>
      </c>
      <c r="AE232" t="s">
        <v>6</v>
      </c>
      <c r="AF232" t="s">
        <v>3</v>
      </c>
      <c r="AG232" t="s">
        <v>3</v>
      </c>
      <c r="AH232" t="s">
        <v>3</v>
      </c>
      <c r="AI232" t="s">
        <v>3</v>
      </c>
      <c r="AJ232" t="s">
        <v>3</v>
      </c>
      <c r="AK232" t="s">
        <v>7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9</v>
      </c>
      <c r="AR232" s="1">
        <v>1.8688433799999999E-5</v>
      </c>
      <c r="AS232" s="1">
        <v>2.6428555599999999E-27</v>
      </c>
      <c r="AT232">
        <v>10</v>
      </c>
      <c r="AU232" t="s">
        <v>10</v>
      </c>
      <c r="AV232">
        <v>1</v>
      </c>
      <c r="AW232">
        <v>1</v>
      </c>
      <c r="AX232">
        <v>0</v>
      </c>
      <c r="AY232">
        <v>3</v>
      </c>
      <c r="AZ232">
        <v>0</v>
      </c>
      <c r="BA232" t="s">
        <v>18</v>
      </c>
      <c r="BB232" t="s">
        <v>4</v>
      </c>
      <c r="BC232" t="s">
        <v>10</v>
      </c>
      <c r="BD232">
        <v>0</v>
      </c>
      <c r="BE232">
        <v>0</v>
      </c>
      <c r="BF232">
        <v>0</v>
      </c>
      <c r="BG232">
        <v>0</v>
      </c>
      <c r="BH232">
        <v>0</v>
      </c>
      <c r="BI232" t="s">
        <v>9</v>
      </c>
      <c r="BJ232">
        <v>0</v>
      </c>
      <c r="BK232">
        <v>-1.8689999999999999E-5</v>
      </c>
      <c r="BL232">
        <v>0</v>
      </c>
      <c r="BM232" s="2">
        <f t="shared" si="3"/>
        <v>1.5915648296382849E-8</v>
      </c>
    </row>
    <row r="233" spans="1:65" x14ac:dyDescent="0.35">
      <c r="A233">
        <v>0</v>
      </c>
      <c r="B233" t="s">
        <v>3</v>
      </c>
      <c r="C233" t="s">
        <v>4</v>
      </c>
      <c r="D233">
        <v>0</v>
      </c>
      <c r="E233" t="s">
        <v>3</v>
      </c>
      <c r="F233" t="s">
        <v>5</v>
      </c>
      <c r="G233">
        <v>3998.5917939999999</v>
      </c>
      <c r="H233" t="s">
        <v>4</v>
      </c>
      <c r="I233">
        <v>990.16341899999998</v>
      </c>
      <c r="J233">
        <v>3008.428375</v>
      </c>
      <c r="K233" t="s">
        <v>6</v>
      </c>
      <c r="L233" t="s">
        <v>7</v>
      </c>
      <c r="M233" t="s">
        <v>8</v>
      </c>
      <c r="N233" t="s">
        <v>6</v>
      </c>
      <c r="O233" t="s">
        <v>3</v>
      </c>
      <c r="P233" t="s">
        <v>3</v>
      </c>
      <c r="Q233" t="s">
        <v>3</v>
      </c>
      <c r="R233" t="s">
        <v>3</v>
      </c>
      <c r="S233" t="s">
        <v>3</v>
      </c>
      <c r="T233" t="s">
        <v>7</v>
      </c>
      <c r="U233">
        <v>2</v>
      </c>
      <c r="V233">
        <v>1</v>
      </c>
      <c r="W233">
        <v>0</v>
      </c>
      <c r="X233">
        <v>0</v>
      </c>
      <c r="Y233">
        <v>0</v>
      </c>
      <c r="Z233" t="s">
        <v>15</v>
      </c>
      <c r="AA233" t="s">
        <v>4</v>
      </c>
      <c r="AB233" t="s">
        <v>6</v>
      </c>
      <c r="AC233" t="s">
        <v>7</v>
      </c>
      <c r="AD233" t="s">
        <v>8</v>
      </c>
      <c r="AE233" t="s">
        <v>6</v>
      </c>
      <c r="AF233" t="s">
        <v>3</v>
      </c>
      <c r="AG233" t="s">
        <v>3</v>
      </c>
      <c r="AH233" t="s">
        <v>3</v>
      </c>
      <c r="AI233" t="s">
        <v>3</v>
      </c>
      <c r="AJ233" t="s">
        <v>3</v>
      </c>
      <c r="AK233" t="s">
        <v>7</v>
      </c>
      <c r="AL233">
        <v>0</v>
      </c>
      <c r="AM233">
        <v>0</v>
      </c>
      <c r="AN233">
        <v>0</v>
      </c>
      <c r="AO233">
        <v>0</v>
      </c>
      <c r="AP233">
        <v>0</v>
      </c>
      <c r="AQ233" t="s">
        <v>9</v>
      </c>
      <c r="AR233" s="1">
        <v>1.00125137E-4</v>
      </c>
      <c r="AS233" s="1">
        <v>8.1029260600000002E-26</v>
      </c>
      <c r="AT233">
        <v>10</v>
      </c>
      <c r="AU233" t="s">
        <v>10</v>
      </c>
      <c r="AV233">
        <v>2</v>
      </c>
      <c r="AW233">
        <v>1</v>
      </c>
      <c r="AX233">
        <v>0</v>
      </c>
      <c r="AY233">
        <v>0</v>
      </c>
      <c r="AZ233">
        <v>0</v>
      </c>
      <c r="BA233" t="s">
        <v>15</v>
      </c>
      <c r="BB233" t="s">
        <v>4</v>
      </c>
      <c r="BC233" t="s">
        <v>10</v>
      </c>
      <c r="BD233">
        <v>0</v>
      </c>
      <c r="BE233">
        <v>0</v>
      </c>
      <c r="BF233">
        <v>0</v>
      </c>
      <c r="BG233">
        <v>0</v>
      </c>
      <c r="BH233">
        <v>0</v>
      </c>
      <c r="BI233" t="s">
        <v>9</v>
      </c>
      <c r="BJ233">
        <v>-8.4909999999999998E-5</v>
      </c>
      <c r="BK233">
        <v>0</v>
      </c>
      <c r="BL233">
        <v>-5.3069999999999998E-5</v>
      </c>
      <c r="BM233" s="2">
        <f t="shared" si="3"/>
        <v>4.8796961625309242E-7</v>
      </c>
    </row>
    <row r="234" spans="1:65" x14ac:dyDescent="0.35">
      <c r="A234">
        <v>0</v>
      </c>
      <c r="B234" t="s">
        <v>3</v>
      </c>
      <c r="C234" t="s">
        <v>4</v>
      </c>
      <c r="D234">
        <v>0</v>
      </c>
      <c r="E234" t="s">
        <v>3</v>
      </c>
      <c r="F234" t="s">
        <v>5</v>
      </c>
      <c r="G234">
        <v>3528.9765849999999</v>
      </c>
      <c r="H234" t="s">
        <v>4</v>
      </c>
      <c r="I234">
        <v>990.16341899999998</v>
      </c>
      <c r="J234">
        <v>2538.8131659999999</v>
      </c>
      <c r="K234" t="s">
        <v>6</v>
      </c>
      <c r="L234" t="s">
        <v>7</v>
      </c>
      <c r="M234" t="s">
        <v>8</v>
      </c>
      <c r="N234" t="s">
        <v>6</v>
      </c>
      <c r="O234" t="s">
        <v>3</v>
      </c>
      <c r="P234" t="s">
        <v>3</v>
      </c>
      <c r="Q234" t="s">
        <v>3</v>
      </c>
      <c r="R234" t="s">
        <v>3</v>
      </c>
      <c r="S234" t="s">
        <v>3</v>
      </c>
      <c r="T234" t="s">
        <v>7</v>
      </c>
      <c r="U234">
        <v>2</v>
      </c>
      <c r="V234">
        <v>0</v>
      </c>
      <c r="W234">
        <v>0</v>
      </c>
      <c r="X234">
        <v>0</v>
      </c>
      <c r="Y234">
        <v>0</v>
      </c>
      <c r="Z234" t="s">
        <v>21</v>
      </c>
      <c r="AA234" t="s">
        <v>4</v>
      </c>
      <c r="AB234" t="s">
        <v>6</v>
      </c>
      <c r="AC234" t="s">
        <v>7</v>
      </c>
      <c r="AD234" t="s">
        <v>8</v>
      </c>
      <c r="AE234" t="s">
        <v>6</v>
      </c>
      <c r="AF234" t="s">
        <v>3</v>
      </c>
      <c r="AG234" t="s">
        <v>3</v>
      </c>
      <c r="AH234" t="s">
        <v>3</v>
      </c>
      <c r="AI234" t="s">
        <v>3</v>
      </c>
      <c r="AJ234" t="s">
        <v>3</v>
      </c>
      <c r="AK234" t="s">
        <v>7</v>
      </c>
      <c r="AL234">
        <v>0</v>
      </c>
      <c r="AM234">
        <v>0</v>
      </c>
      <c r="AN234">
        <v>0</v>
      </c>
      <c r="AO234">
        <v>0</v>
      </c>
      <c r="AP234">
        <v>0</v>
      </c>
      <c r="AQ234" t="s">
        <v>9</v>
      </c>
      <c r="AR234" s="1">
        <v>9.3285702500000005E-4</v>
      </c>
      <c r="AS234" s="1">
        <v>5.9357419900000002E-24</v>
      </c>
      <c r="AT234">
        <v>10</v>
      </c>
      <c r="AU234" t="s">
        <v>10</v>
      </c>
      <c r="AV234">
        <v>2</v>
      </c>
      <c r="AW234">
        <v>0</v>
      </c>
      <c r="AX234">
        <v>0</v>
      </c>
      <c r="AY234">
        <v>0</v>
      </c>
      <c r="AZ234">
        <v>0</v>
      </c>
      <c r="BA234" t="s">
        <v>21</v>
      </c>
      <c r="BB234" t="s">
        <v>4</v>
      </c>
      <c r="BC234" t="s">
        <v>10</v>
      </c>
      <c r="BD234">
        <v>0</v>
      </c>
      <c r="BE234">
        <v>0</v>
      </c>
      <c r="BF234">
        <v>0</v>
      </c>
      <c r="BG234">
        <v>0</v>
      </c>
      <c r="BH234">
        <v>0</v>
      </c>
      <c r="BI234" t="s">
        <v>9</v>
      </c>
      <c r="BJ234">
        <v>-3.7311000000000001E-4</v>
      </c>
      <c r="BK234">
        <v>0</v>
      </c>
      <c r="BL234">
        <v>-8.5499000000000003E-4</v>
      </c>
      <c r="BM234" s="2">
        <f t="shared" si="3"/>
        <v>3.5745874016252192E-5</v>
      </c>
    </row>
    <row r="235" spans="1:65" x14ac:dyDescent="0.35">
      <c r="A235">
        <v>0</v>
      </c>
      <c r="B235" t="s">
        <v>3</v>
      </c>
      <c r="C235" t="s">
        <v>4</v>
      </c>
      <c r="D235">
        <v>0</v>
      </c>
      <c r="E235" t="s">
        <v>3</v>
      </c>
      <c r="F235" t="s">
        <v>5</v>
      </c>
      <c r="G235">
        <v>4787.0624299999999</v>
      </c>
      <c r="H235" t="s">
        <v>4</v>
      </c>
      <c r="I235">
        <v>990.16341899999998</v>
      </c>
      <c r="J235">
        <v>3796.899011</v>
      </c>
      <c r="K235" t="s">
        <v>6</v>
      </c>
      <c r="L235" t="s">
        <v>7</v>
      </c>
      <c r="M235" t="s">
        <v>8</v>
      </c>
      <c r="N235" t="s">
        <v>6</v>
      </c>
      <c r="O235" t="s">
        <v>3</v>
      </c>
      <c r="P235" t="s">
        <v>3</v>
      </c>
      <c r="Q235" t="s">
        <v>3</v>
      </c>
      <c r="R235" t="s">
        <v>3</v>
      </c>
      <c r="S235" t="s">
        <v>3</v>
      </c>
      <c r="T235" t="s">
        <v>7</v>
      </c>
      <c r="U235">
        <v>0</v>
      </c>
      <c r="V235">
        <v>1</v>
      </c>
      <c r="W235">
        <v>0</v>
      </c>
      <c r="X235">
        <v>1</v>
      </c>
      <c r="Y235">
        <v>0</v>
      </c>
      <c r="Z235" t="s">
        <v>27</v>
      </c>
      <c r="AA235" t="s">
        <v>4</v>
      </c>
      <c r="AB235" t="s">
        <v>6</v>
      </c>
      <c r="AC235" t="s">
        <v>7</v>
      </c>
      <c r="AD235" t="s">
        <v>8</v>
      </c>
      <c r="AE235" t="s">
        <v>6</v>
      </c>
      <c r="AF235" t="s">
        <v>3</v>
      </c>
      <c r="AG235" t="s">
        <v>3</v>
      </c>
      <c r="AH235" t="s">
        <v>3</v>
      </c>
      <c r="AI235" t="s">
        <v>3</v>
      </c>
      <c r="AJ235" t="s">
        <v>3</v>
      </c>
      <c r="AK235" t="s">
        <v>7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9</v>
      </c>
      <c r="AR235" s="1">
        <v>1.38826899E-4</v>
      </c>
      <c r="AS235" s="1">
        <v>1.96604046E-25</v>
      </c>
      <c r="AT235">
        <v>11</v>
      </c>
      <c r="AU235" t="s">
        <v>10</v>
      </c>
      <c r="AV235">
        <v>0</v>
      </c>
      <c r="AW235">
        <v>1</v>
      </c>
      <c r="AX235">
        <v>0</v>
      </c>
      <c r="AY235">
        <v>1</v>
      </c>
      <c r="AZ235">
        <v>0</v>
      </c>
      <c r="BA235" t="s">
        <v>27</v>
      </c>
      <c r="BB235" t="s">
        <v>4</v>
      </c>
      <c r="BC235" t="s">
        <v>10</v>
      </c>
      <c r="BD235">
        <v>0</v>
      </c>
      <c r="BE235">
        <v>0</v>
      </c>
      <c r="BF235">
        <v>0</v>
      </c>
      <c r="BG235">
        <v>0</v>
      </c>
      <c r="BH235">
        <v>0</v>
      </c>
      <c r="BI235" t="s">
        <v>9</v>
      </c>
      <c r="BJ235">
        <v>8.1550000000000004E-5</v>
      </c>
      <c r="BK235">
        <v>0</v>
      </c>
      <c r="BL235">
        <v>-1.1234999999999999E-4</v>
      </c>
      <c r="BM235" s="2">
        <f t="shared" si="3"/>
        <v>1.1839772468616767E-6</v>
      </c>
    </row>
    <row r="236" spans="1:65" x14ac:dyDescent="0.35">
      <c r="A236">
        <v>0</v>
      </c>
      <c r="B236" t="s">
        <v>3</v>
      </c>
      <c r="C236" t="s">
        <v>4</v>
      </c>
      <c r="D236">
        <v>0</v>
      </c>
      <c r="E236" t="s">
        <v>3</v>
      </c>
      <c r="F236" t="s">
        <v>5</v>
      </c>
      <c r="G236">
        <v>4115.5032680000004</v>
      </c>
      <c r="H236" t="s">
        <v>4</v>
      </c>
      <c r="I236">
        <v>990.16341899999998</v>
      </c>
      <c r="J236">
        <v>3125.339849</v>
      </c>
      <c r="K236" t="s">
        <v>6</v>
      </c>
      <c r="L236" t="s">
        <v>7</v>
      </c>
      <c r="M236" t="s">
        <v>8</v>
      </c>
      <c r="N236" t="s">
        <v>6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 t="s">
        <v>7</v>
      </c>
      <c r="U236">
        <v>3</v>
      </c>
      <c r="V236">
        <v>0</v>
      </c>
      <c r="W236">
        <v>0</v>
      </c>
      <c r="X236">
        <v>4</v>
      </c>
      <c r="Y236">
        <v>0</v>
      </c>
      <c r="Z236" t="s">
        <v>8</v>
      </c>
      <c r="AA236" t="s">
        <v>4</v>
      </c>
      <c r="AB236" t="s">
        <v>6</v>
      </c>
      <c r="AC236" t="s">
        <v>7</v>
      </c>
      <c r="AD236" t="s">
        <v>8</v>
      </c>
      <c r="AE236" t="s">
        <v>6</v>
      </c>
      <c r="AF236" t="s">
        <v>3</v>
      </c>
      <c r="AG236" t="s">
        <v>3</v>
      </c>
      <c r="AH236" t="s">
        <v>3</v>
      </c>
      <c r="AI236" t="s">
        <v>3</v>
      </c>
      <c r="AJ236" t="s">
        <v>3</v>
      </c>
      <c r="AK236" t="s">
        <v>7</v>
      </c>
      <c r="AL236">
        <v>0</v>
      </c>
      <c r="AM236">
        <v>0</v>
      </c>
      <c r="AN236">
        <v>0</v>
      </c>
      <c r="AO236">
        <v>0</v>
      </c>
      <c r="AP236">
        <v>0</v>
      </c>
      <c r="AQ236" t="s">
        <v>9</v>
      </c>
      <c r="AR236" s="1">
        <v>8.5137663900000006E-5</v>
      </c>
      <c r="AS236" s="1">
        <v>6.0863475700000004E-26</v>
      </c>
      <c r="AT236">
        <v>12</v>
      </c>
      <c r="AU236" t="s">
        <v>10</v>
      </c>
      <c r="AV236">
        <v>3</v>
      </c>
      <c r="AW236">
        <v>0</v>
      </c>
      <c r="AX236">
        <v>0</v>
      </c>
      <c r="AY236">
        <v>4</v>
      </c>
      <c r="AZ236">
        <v>0</v>
      </c>
      <c r="BA236" t="s">
        <v>8</v>
      </c>
      <c r="BB236" t="s">
        <v>4</v>
      </c>
      <c r="BC236" t="s">
        <v>10</v>
      </c>
      <c r="BD236">
        <v>0</v>
      </c>
      <c r="BE236">
        <v>0</v>
      </c>
      <c r="BF236">
        <v>0</v>
      </c>
      <c r="BG236">
        <v>0</v>
      </c>
      <c r="BH236">
        <v>0</v>
      </c>
      <c r="BI236" t="s">
        <v>9</v>
      </c>
      <c r="BJ236">
        <v>8.5130000000000007E-5</v>
      </c>
      <c r="BK236">
        <v>0</v>
      </c>
      <c r="BL236">
        <v>-9.9999999999999995E-7</v>
      </c>
      <c r="BM236" s="2">
        <f t="shared" si="3"/>
        <v>3.6652842024277857E-7</v>
      </c>
    </row>
    <row r="237" spans="1:65" x14ac:dyDescent="0.35">
      <c r="A237">
        <v>0</v>
      </c>
      <c r="B237" t="s">
        <v>3</v>
      </c>
      <c r="C237" t="s">
        <v>4</v>
      </c>
      <c r="D237">
        <v>0</v>
      </c>
      <c r="E237" t="s">
        <v>3</v>
      </c>
      <c r="F237" t="s">
        <v>5</v>
      </c>
      <c r="G237">
        <v>2245.4899340000002</v>
      </c>
      <c r="H237" t="s">
        <v>4</v>
      </c>
      <c r="I237">
        <v>990.16341899999998</v>
      </c>
      <c r="J237">
        <v>1255.326515</v>
      </c>
      <c r="K237" t="s">
        <v>6</v>
      </c>
      <c r="L237" t="s">
        <v>7</v>
      </c>
      <c r="M237" t="s">
        <v>8</v>
      </c>
      <c r="N237" t="s">
        <v>6</v>
      </c>
      <c r="O237" t="s">
        <v>3</v>
      </c>
      <c r="P237" t="s">
        <v>3</v>
      </c>
      <c r="Q237" t="s">
        <v>3</v>
      </c>
      <c r="R237" t="s">
        <v>3</v>
      </c>
      <c r="S237" t="s">
        <v>3</v>
      </c>
      <c r="T237" t="s">
        <v>7</v>
      </c>
      <c r="U237">
        <v>0</v>
      </c>
      <c r="V237">
        <v>0</v>
      </c>
      <c r="W237">
        <v>0</v>
      </c>
      <c r="X237">
        <v>3</v>
      </c>
      <c r="Y237">
        <v>0</v>
      </c>
      <c r="Z237" t="s">
        <v>15</v>
      </c>
      <c r="AA237" t="s">
        <v>4</v>
      </c>
      <c r="AB237" t="s">
        <v>6</v>
      </c>
      <c r="AC237" t="s">
        <v>7</v>
      </c>
      <c r="AD237" t="s">
        <v>8</v>
      </c>
      <c r="AE237" t="s">
        <v>6</v>
      </c>
      <c r="AF237" t="s">
        <v>3</v>
      </c>
      <c r="AG237" t="s">
        <v>3</v>
      </c>
      <c r="AH237" t="s">
        <v>3</v>
      </c>
      <c r="AI237" t="s">
        <v>3</v>
      </c>
      <c r="AJ237" t="s">
        <v>3</v>
      </c>
      <c r="AK237" t="s">
        <v>7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9</v>
      </c>
      <c r="AR237" s="1">
        <v>2.2851746799999999E-4</v>
      </c>
      <c r="AS237" s="1">
        <v>1.7571041099999999E-25</v>
      </c>
      <c r="AT237">
        <v>10</v>
      </c>
      <c r="AU237" t="s">
        <v>10</v>
      </c>
      <c r="AV237">
        <v>0</v>
      </c>
      <c r="AW237">
        <v>0</v>
      </c>
      <c r="AX237">
        <v>0</v>
      </c>
      <c r="AY237">
        <v>3</v>
      </c>
      <c r="AZ237">
        <v>0</v>
      </c>
      <c r="BA237" t="s">
        <v>15</v>
      </c>
      <c r="BB237" t="s">
        <v>4</v>
      </c>
      <c r="BC237" t="s">
        <v>10</v>
      </c>
      <c r="BD237">
        <v>0</v>
      </c>
      <c r="BE237">
        <v>0</v>
      </c>
      <c r="BF237">
        <v>0</v>
      </c>
      <c r="BG237">
        <v>0</v>
      </c>
      <c r="BH237">
        <v>0</v>
      </c>
      <c r="BI237" t="s">
        <v>9</v>
      </c>
      <c r="BJ237">
        <v>2.0895000000000001E-4</v>
      </c>
      <c r="BK237">
        <v>0</v>
      </c>
      <c r="BL237">
        <v>-9.2520000000000002E-5</v>
      </c>
      <c r="BM237" s="2">
        <f t="shared" si="3"/>
        <v>1.0581528350678687E-6</v>
      </c>
    </row>
    <row r="238" spans="1:65" x14ac:dyDescent="0.35">
      <c r="A238">
        <v>0</v>
      </c>
      <c r="B238" t="s">
        <v>11</v>
      </c>
      <c r="C238" t="s">
        <v>4</v>
      </c>
      <c r="D238">
        <v>0</v>
      </c>
      <c r="E238" t="s">
        <v>3</v>
      </c>
      <c r="F238" t="s">
        <v>5</v>
      </c>
      <c r="G238">
        <v>3918.5421620000002</v>
      </c>
      <c r="H238" t="s">
        <v>4</v>
      </c>
      <c r="I238">
        <v>990.16341899999998</v>
      </c>
      <c r="J238">
        <v>2928.3787430000002</v>
      </c>
      <c r="K238" t="s">
        <v>6</v>
      </c>
      <c r="L238" t="s">
        <v>7</v>
      </c>
      <c r="M238" t="s">
        <v>8</v>
      </c>
      <c r="N238" t="s">
        <v>6</v>
      </c>
      <c r="O238" t="s">
        <v>3</v>
      </c>
      <c r="P238" t="s">
        <v>3</v>
      </c>
      <c r="Q238" t="s">
        <v>3</v>
      </c>
      <c r="R238" t="s">
        <v>3</v>
      </c>
      <c r="S238" t="s">
        <v>11</v>
      </c>
      <c r="T238" t="s">
        <v>7</v>
      </c>
      <c r="U238">
        <v>1</v>
      </c>
      <c r="V238">
        <v>2</v>
      </c>
      <c r="W238">
        <v>0</v>
      </c>
      <c r="X238">
        <v>0</v>
      </c>
      <c r="Y238">
        <v>0</v>
      </c>
      <c r="Z238" t="s">
        <v>18</v>
      </c>
      <c r="AA238" t="s">
        <v>4</v>
      </c>
      <c r="AB238" t="s">
        <v>6</v>
      </c>
      <c r="AC238" t="s">
        <v>7</v>
      </c>
      <c r="AD238" t="s">
        <v>8</v>
      </c>
      <c r="AE238" t="s">
        <v>6</v>
      </c>
      <c r="AF238" t="s">
        <v>3</v>
      </c>
      <c r="AG238" t="s">
        <v>3</v>
      </c>
      <c r="AH238" t="s">
        <v>3</v>
      </c>
      <c r="AI238" t="s">
        <v>3</v>
      </c>
      <c r="AJ238" t="s">
        <v>3</v>
      </c>
      <c r="AK238" t="s">
        <v>7</v>
      </c>
      <c r="AL238">
        <v>0</v>
      </c>
      <c r="AM238">
        <v>0</v>
      </c>
      <c r="AN238">
        <v>0</v>
      </c>
      <c r="AO238">
        <v>0</v>
      </c>
      <c r="AP238">
        <v>0</v>
      </c>
      <c r="AQ238" t="s">
        <v>9</v>
      </c>
      <c r="AR238" s="1">
        <v>3.2321536699999998E-5</v>
      </c>
      <c r="AS238" s="1">
        <v>8.2191535599999997E-27</v>
      </c>
      <c r="AT238">
        <v>10</v>
      </c>
      <c r="AU238" t="s">
        <v>10</v>
      </c>
      <c r="AV238">
        <v>1</v>
      </c>
      <c r="AW238">
        <v>2</v>
      </c>
      <c r="AX238">
        <v>0</v>
      </c>
      <c r="AY238">
        <v>0</v>
      </c>
      <c r="AZ238">
        <v>0</v>
      </c>
      <c r="BA238" t="s">
        <v>18</v>
      </c>
      <c r="BB238" t="s">
        <v>4</v>
      </c>
      <c r="BC238" t="s">
        <v>10</v>
      </c>
      <c r="BD238">
        <v>0</v>
      </c>
      <c r="BE238">
        <v>0</v>
      </c>
      <c r="BF238">
        <v>0</v>
      </c>
      <c r="BG238">
        <v>0</v>
      </c>
      <c r="BH238">
        <v>0</v>
      </c>
      <c r="BI238" t="s">
        <v>9</v>
      </c>
      <c r="BJ238">
        <v>0</v>
      </c>
      <c r="BK238">
        <v>3.2320000000000002E-5</v>
      </c>
      <c r="BL238">
        <v>0</v>
      </c>
      <c r="BM238" s="2">
        <f t="shared" si="3"/>
        <v>4.9496899995141245E-8</v>
      </c>
    </row>
    <row r="239" spans="1:65" x14ac:dyDescent="0.35">
      <c r="A239">
        <v>0</v>
      </c>
      <c r="B239" t="s">
        <v>3</v>
      </c>
      <c r="C239" t="s">
        <v>4</v>
      </c>
      <c r="D239">
        <v>0</v>
      </c>
      <c r="E239" t="s">
        <v>3</v>
      </c>
      <c r="F239" t="s">
        <v>5</v>
      </c>
      <c r="G239">
        <v>4597.5591009999998</v>
      </c>
      <c r="H239" t="s">
        <v>4</v>
      </c>
      <c r="I239">
        <v>990.16341899999998</v>
      </c>
      <c r="J239">
        <v>3607.3956819999999</v>
      </c>
      <c r="K239" t="s">
        <v>6</v>
      </c>
      <c r="L239" t="s">
        <v>7</v>
      </c>
      <c r="M239" t="s">
        <v>8</v>
      </c>
      <c r="N239" t="s">
        <v>6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 t="s">
        <v>7</v>
      </c>
      <c r="U239">
        <v>0</v>
      </c>
      <c r="V239">
        <v>2</v>
      </c>
      <c r="W239">
        <v>0</v>
      </c>
      <c r="X239">
        <v>4</v>
      </c>
      <c r="Y239">
        <v>0</v>
      </c>
      <c r="Z239" t="s">
        <v>8</v>
      </c>
      <c r="AA239" t="s">
        <v>4</v>
      </c>
      <c r="AB239" t="s">
        <v>6</v>
      </c>
      <c r="AC239" t="s">
        <v>7</v>
      </c>
      <c r="AD239" t="s">
        <v>8</v>
      </c>
      <c r="AE239" t="s">
        <v>6</v>
      </c>
      <c r="AF239" t="s">
        <v>3</v>
      </c>
      <c r="AG239" t="s">
        <v>3</v>
      </c>
      <c r="AH239" t="s">
        <v>3</v>
      </c>
      <c r="AI239" t="s">
        <v>3</v>
      </c>
      <c r="AJ239" t="s">
        <v>3</v>
      </c>
      <c r="AK239" t="s">
        <v>7</v>
      </c>
      <c r="AL239">
        <v>0</v>
      </c>
      <c r="AM239">
        <v>0</v>
      </c>
      <c r="AN239">
        <v>0</v>
      </c>
      <c r="AO239">
        <v>0</v>
      </c>
      <c r="AP239">
        <v>0</v>
      </c>
      <c r="AQ239" t="s">
        <v>9</v>
      </c>
      <c r="AR239" s="1">
        <v>3.3454603399999999E-4</v>
      </c>
      <c r="AS239" s="1">
        <v>1.0847301299999999E-24</v>
      </c>
      <c r="AT239">
        <v>12</v>
      </c>
      <c r="AU239" t="s">
        <v>10</v>
      </c>
      <c r="AV239">
        <v>0</v>
      </c>
      <c r="AW239">
        <v>2</v>
      </c>
      <c r="AX239">
        <v>0</v>
      </c>
      <c r="AY239">
        <v>4</v>
      </c>
      <c r="AZ239">
        <v>0</v>
      </c>
      <c r="BA239" t="s">
        <v>8</v>
      </c>
      <c r="BB239" t="s">
        <v>4</v>
      </c>
      <c r="BC239" t="s">
        <v>10</v>
      </c>
      <c r="BD239">
        <v>0</v>
      </c>
      <c r="BE239">
        <v>0</v>
      </c>
      <c r="BF239">
        <v>0</v>
      </c>
      <c r="BG239">
        <v>0</v>
      </c>
      <c r="BH239">
        <v>0</v>
      </c>
      <c r="BI239" t="s">
        <v>9</v>
      </c>
      <c r="BJ239">
        <v>2.5218000000000001E-4</v>
      </c>
      <c r="BK239">
        <v>0</v>
      </c>
      <c r="BL239">
        <v>-2.1982999999999999E-4</v>
      </c>
      <c r="BM239" s="2">
        <f t="shared" si="3"/>
        <v>6.5323975728623037E-6</v>
      </c>
    </row>
    <row r="240" spans="1:65" x14ac:dyDescent="0.35">
      <c r="A240">
        <v>0</v>
      </c>
      <c r="B240" t="s">
        <v>3</v>
      </c>
      <c r="C240" t="s">
        <v>4</v>
      </c>
      <c r="D240">
        <v>0</v>
      </c>
      <c r="E240" t="s">
        <v>3</v>
      </c>
      <c r="F240" t="s">
        <v>5</v>
      </c>
      <c r="G240">
        <v>2977.7558439999998</v>
      </c>
      <c r="H240" t="s">
        <v>4</v>
      </c>
      <c r="I240">
        <v>990.16341899999998</v>
      </c>
      <c r="J240">
        <v>1987.592425</v>
      </c>
      <c r="K240" t="s">
        <v>6</v>
      </c>
      <c r="L240" t="s">
        <v>7</v>
      </c>
      <c r="M240" t="s">
        <v>8</v>
      </c>
      <c r="N240" t="s">
        <v>6</v>
      </c>
      <c r="O240" t="s">
        <v>3</v>
      </c>
      <c r="P240" t="s">
        <v>3</v>
      </c>
      <c r="Q240" t="s">
        <v>3</v>
      </c>
      <c r="R240" t="s">
        <v>3</v>
      </c>
      <c r="S240" t="s">
        <v>3</v>
      </c>
      <c r="T240" t="s">
        <v>7</v>
      </c>
      <c r="U240">
        <v>0</v>
      </c>
      <c r="V240">
        <v>0</v>
      </c>
      <c r="W240">
        <v>0</v>
      </c>
      <c r="X240">
        <v>1</v>
      </c>
      <c r="Y240">
        <v>0</v>
      </c>
      <c r="Z240" t="s">
        <v>29</v>
      </c>
      <c r="AA240" t="s">
        <v>4</v>
      </c>
      <c r="AB240" t="s">
        <v>6</v>
      </c>
      <c r="AC240" t="s">
        <v>7</v>
      </c>
      <c r="AD240" t="s">
        <v>8</v>
      </c>
      <c r="AE240" t="s">
        <v>6</v>
      </c>
      <c r="AF240" t="s">
        <v>3</v>
      </c>
      <c r="AG240" t="s">
        <v>3</v>
      </c>
      <c r="AH240" t="s">
        <v>3</v>
      </c>
      <c r="AI240" t="s">
        <v>3</v>
      </c>
      <c r="AJ240" t="s">
        <v>3</v>
      </c>
      <c r="AK240" t="s">
        <v>7</v>
      </c>
      <c r="AL240">
        <v>0</v>
      </c>
      <c r="AM240">
        <v>0</v>
      </c>
      <c r="AN240">
        <v>0</v>
      </c>
      <c r="AO240">
        <v>0</v>
      </c>
      <c r="AP240">
        <v>0</v>
      </c>
      <c r="AQ240" t="s">
        <v>9</v>
      </c>
      <c r="AR240" s="1">
        <v>4.4430075600000003E-4</v>
      </c>
      <c r="AS240" s="1">
        <v>1.05406665E-24</v>
      </c>
      <c r="AT240">
        <v>11</v>
      </c>
      <c r="AU240" t="s">
        <v>10</v>
      </c>
      <c r="AV240">
        <v>0</v>
      </c>
      <c r="AW240">
        <v>0</v>
      </c>
      <c r="AX240">
        <v>0</v>
      </c>
      <c r="AY240">
        <v>1</v>
      </c>
      <c r="AZ240">
        <v>0</v>
      </c>
      <c r="BA240" t="s">
        <v>29</v>
      </c>
      <c r="BB240" t="s">
        <v>4</v>
      </c>
      <c r="BC240" t="s">
        <v>10</v>
      </c>
      <c r="BD240">
        <v>0</v>
      </c>
      <c r="BE240">
        <v>0</v>
      </c>
      <c r="BF240">
        <v>0</v>
      </c>
      <c r="BG240">
        <v>0</v>
      </c>
      <c r="BH240">
        <v>0</v>
      </c>
      <c r="BI240" t="s">
        <v>9</v>
      </c>
      <c r="BJ240">
        <v>-4.4421E-4</v>
      </c>
      <c r="BK240">
        <v>0</v>
      </c>
      <c r="BL240">
        <v>8.8599999999999999E-6</v>
      </c>
      <c r="BM240" s="2">
        <f t="shared" si="3"/>
        <v>6.34773777888432E-6</v>
      </c>
    </row>
    <row r="241" spans="1:65" x14ac:dyDescent="0.35">
      <c r="A241">
        <v>0</v>
      </c>
      <c r="B241" t="s">
        <v>11</v>
      </c>
      <c r="C241" t="s">
        <v>4</v>
      </c>
      <c r="D241">
        <v>0</v>
      </c>
      <c r="E241" t="s">
        <v>3</v>
      </c>
      <c r="F241" t="s">
        <v>5</v>
      </c>
      <c r="G241">
        <v>4952.2369060000001</v>
      </c>
      <c r="H241" t="s">
        <v>4</v>
      </c>
      <c r="I241">
        <v>990.16341899999998</v>
      </c>
      <c r="J241">
        <v>3962.0734870000001</v>
      </c>
      <c r="K241" t="s">
        <v>6</v>
      </c>
      <c r="L241" t="s">
        <v>7</v>
      </c>
      <c r="M241" t="s">
        <v>8</v>
      </c>
      <c r="N241" t="s">
        <v>6</v>
      </c>
      <c r="O241" t="s">
        <v>3</v>
      </c>
      <c r="P241" t="s">
        <v>3</v>
      </c>
      <c r="Q241" t="s">
        <v>3</v>
      </c>
      <c r="R241" t="s">
        <v>3</v>
      </c>
      <c r="S241" t="s">
        <v>11</v>
      </c>
      <c r="T241" t="s">
        <v>7</v>
      </c>
      <c r="U241">
        <v>2</v>
      </c>
      <c r="V241">
        <v>0</v>
      </c>
      <c r="W241">
        <v>0</v>
      </c>
      <c r="X241">
        <v>1</v>
      </c>
      <c r="Y241">
        <v>0</v>
      </c>
      <c r="Z241" t="s">
        <v>23</v>
      </c>
      <c r="AA241" t="s">
        <v>4</v>
      </c>
      <c r="AB241" t="s">
        <v>6</v>
      </c>
      <c r="AC241" t="s">
        <v>7</v>
      </c>
      <c r="AD241" t="s">
        <v>8</v>
      </c>
      <c r="AE241" t="s">
        <v>6</v>
      </c>
      <c r="AF241" t="s">
        <v>3</v>
      </c>
      <c r="AG241" t="s">
        <v>3</v>
      </c>
      <c r="AH241" t="s">
        <v>3</v>
      </c>
      <c r="AI241" t="s">
        <v>3</v>
      </c>
      <c r="AJ241" t="s">
        <v>3</v>
      </c>
      <c r="AK241" t="s">
        <v>7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9</v>
      </c>
      <c r="AR241" s="1">
        <v>8.9277306199999996E-7</v>
      </c>
      <c r="AS241" s="1">
        <v>8.4843942899999995E-30</v>
      </c>
      <c r="AT241">
        <v>11</v>
      </c>
      <c r="AU241" t="s">
        <v>10</v>
      </c>
      <c r="AV241">
        <v>2</v>
      </c>
      <c r="AW241">
        <v>0</v>
      </c>
      <c r="AX241">
        <v>0</v>
      </c>
      <c r="AY241">
        <v>1</v>
      </c>
      <c r="AZ241">
        <v>0</v>
      </c>
      <c r="BA241" t="s">
        <v>23</v>
      </c>
      <c r="BB241" t="s">
        <v>4</v>
      </c>
      <c r="BC241" t="s">
        <v>10</v>
      </c>
      <c r="BD241">
        <v>0</v>
      </c>
      <c r="BE241">
        <v>0</v>
      </c>
      <c r="BF241">
        <v>0</v>
      </c>
      <c r="BG241">
        <v>0</v>
      </c>
      <c r="BH241">
        <v>0</v>
      </c>
      <c r="BI241" t="s">
        <v>9</v>
      </c>
      <c r="BJ241">
        <v>0</v>
      </c>
      <c r="BK241">
        <v>-8.8999999999999995E-7</v>
      </c>
      <c r="BL241">
        <v>0</v>
      </c>
      <c r="BM241" s="2">
        <f t="shared" si="3"/>
        <v>5.1094217017096033E-11</v>
      </c>
    </row>
    <row r="242" spans="1:65" x14ac:dyDescent="0.35">
      <c r="A242">
        <v>0</v>
      </c>
      <c r="B242" t="s">
        <v>3</v>
      </c>
      <c r="C242" t="s">
        <v>4</v>
      </c>
      <c r="D242">
        <v>0</v>
      </c>
      <c r="E242" t="s">
        <v>3</v>
      </c>
      <c r="F242" t="s">
        <v>5</v>
      </c>
      <c r="G242">
        <v>2663.8005509999998</v>
      </c>
      <c r="H242" t="s">
        <v>4</v>
      </c>
      <c r="I242">
        <v>990.16341899999998</v>
      </c>
      <c r="J242">
        <v>1673.6371320000001</v>
      </c>
      <c r="K242" t="s">
        <v>6</v>
      </c>
      <c r="L242" t="s">
        <v>7</v>
      </c>
      <c r="M242" t="s">
        <v>8</v>
      </c>
      <c r="N242" t="s">
        <v>6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7</v>
      </c>
      <c r="U242">
        <v>0</v>
      </c>
      <c r="V242">
        <v>0</v>
      </c>
      <c r="W242">
        <v>0</v>
      </c>
      <c r="X242">
        <v>5</v>
      </c>
      <c r="Y242">
        <v>0</v>
      </c>
      <c r="Z242" t="s">
        <v>9</v>
      </c>
      <c r="AA242" t="s">
        <v>4</v>
      </c>
      <c r="AB242" t="s">
        <v>6</v>
      </c>
      <c r="AC242" t="s">
        <v>7</v>
      </c>
      <c r="AD242" t="s">
        <v>8</v>
      </c>
      <c r="AE242" t="s">
        <v>6</v>
      </c>
      <c r="AF242" t="s">
        <v>3</v>
      </c>
      <c r="AG242" t="s">
        <v>3</v>
      </c>
      <c r="AH242" t="s">
        <v>3</v>
      </c>
      <c r="AI242" t="s">
        <v>3</v>
      </c>
      <c r="AJ242" t="s">
        <v>3</v>
      </c>
      <c r="AK242" t="s">
        <v>7</v>
      </c>
      <c r="AL242">
        <v>0</v>
      </c>
      <c r="AM242">
        <v>0</v>
      </c>
      <c r="AN242">
        <v>0</v>
      </c>
      <c r="AO242">
        <v>0</v>
      </c>
      <c r="AP242">
        <v>0</v>
      </c>
      <c r="AQ242" t="s">
        <v>9</v>
      </c>
      <c r="AR242" s="1">
        <v>1.3257443600000001E-3</v>
      </c>
      <c r="AS242" s="1">
        <v>7.9006457799999998E-24</v>
      </c>
      <c r="AT242">
        <v>10</v>
      </c>
      <c r="AU242" t="s">
        <v>10</v>
      </c>
      <c r="AV242">
        <v>0</v>
      </c>
      <c r="AW242">
        <v>0</v>
      </c>
      <c r="AX242">
        <v>0</v>
      </c>
      <c r="AY242">
        <v>5</v>
      </c>
      <c r="AZ242">
        <v>0</v>
      </c>
      <c r="BA242" t="s">
        <v>9</v>
      </c>
      <c r="BB242" t="s">
        <v>4</v>
      </c>
      <c r="BC242" t="s">
        <v>10</v>
      </c>
      <c r="BD242">
        <v>0</v>
      </c>
      <c r="BE242">
        <v>0</v>
      </c>
      <c r="BF242">
        <v>0</v>
      </c>
      <c r="BG242">
        <v>0</v>
      </c>
      <c r="BH242">
        <v>0</v>
      </c>
      <c r="BI242" t="s">
        <v>9</v>
      </c>
      <c r="BJ242">
        <v>5.5416000000000005E-4</v>
      </c>
      <c r="BK242">
        <v>0</v>
      </c>
      <c r="BL242">
        <v>-1.20437E-3</v>
      </c>
      <c r="BM242" s="2">
        <f t="shared" si="3"/>
        <v>4.7578801298085831E-5</v>
      </c>
    </row>
    <row r="243" spans="1:65" x14ac:dyDescent="0.35">
      <c r="A243">
        <v>0</v>
      </c>
      <c r="B243" t="s">
        <v>3</v>
      </c>
      <c r="C243" t="s">
        <v>4</v>
      </c>
      <c r="D243">
        <v>0</v>
      </c>
      <c r="E243" t="s">
        <v>3</v>
      </c>
      <c r="F243" t="s">
        <v>5</v>
      </c>
      <c r="G243">
        <v>3392.286263</v>
      </c>
      <c r="H243" t="s">
        <v>4</v>
      </c>
      <c r="I243">
        <v>990.16341899999998</v>
      </c>
      <c r="J243">
        <v>2402.122844</v>
      </c>
      <c r="K243" t="s">
        <v>6</v>
      </c>
      <c r="L243" t="s">
        <v>7</v>
      </c>
      <c r="M243" t="s">
        <v>8</v>
      </c>
      <c r="N243" t="s">
        <v>6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 t="s">
        <v>7</v>
      </c>
      <c r="U243">
        <v>1</v>
      </c>
      <c r="V243">
        <v>0</v>
      </c>
      <c r="W243">
        <v>0</v>
      </c>
      <c r="X243">
        <v>5</v>
      </c>
      <c r="Y243">
        <v>0</v>
      </c>
      <c r="Z243" t="s">
        <v>8</v>
      </c>
      <c r="AA243" t="s">
        <v>4</v>
      </c>
      <c r="AB243" t="s">
        <v>6</v>
      </c>
      <c r="AC243" t="s">
        <v>7</v>
      </c>
      <c r="AD243" t="s">
        <v>8</v>
      </c>
      <c r="AE243" t="s">
        <v>6</v>
      </c>
      <c r="AF243" t="s">
        <v>3</v>
      </c>
      <c r="AG243" t="s">
        <v>3</v>
      </c>
      <c r="AH243" t="s">
        <v>3</v>
      </c>
      <c r="AI243" t="s">
        <v>3</v>
      </c>
      <c r="AJ243" t="s">
        <v>3</v>
      </c>
      <c r="AK243" t="s">
        <v>7</v>
      </c>
      <c r="AL243">
        <v>0</v>
      </c>
      <c r="AM243">
        <v>0</v>
      </c>
      <c r="AN243">
        <v>0</v>
      </c>
      <c r="AO243">
        <v>0</v>
      </c>
      <c r="AP243">
        <v>0</v>
      </c>
      <c r="AQ243" t="s">
        <v>9</v>
      </c>
      <c r="AR243" s="1">
        <v>2.8469595699999998E-4</v>
      </c>
      <c r="AS243" s="1">
        <v>5.2308225200000004E-25</v>
      </c>
      <c r="AT243">
        <v>12</v>
      </c>
      <c r="AU243" t="s">
        <v>10</v>
      </c>
      <c r="AV243">
        <v>1</v>
      </c>
      <c r="AW243">
        <v>0</v>
      </c>
      <c r="AX243">
        <v>0</v>
      </c>
      <c r="AY243">
        <v>5</v>
      </c>
      <c r="AZ243">
        <v>0</v>
      </c>
      <c r="BA243" t="s">
        <v>8</v>
      </c>
      <c r="BB243" t="s">
        <v>4</v>
      </c>
      <c r="BC243" t="s">
        <v>10</v>
      </c>
      <c r="BD243">
        <v>0</v>
      </c>
      <c r="BE243">
        <v>0</v>
      </c>
      <c r="BF243">
        <v>0</v>
      </c>
      <c r="BG243">
        <v>0</v>
      </c>
      <c r="BH243">
        <v>0</v>
      </c>
      <c r="BI243" t="s">
        <v>9</v>
      </c>
      <c r="BJ243">
        <v>-2.8307000000000001E-4</v>
      </c>
      <c r="BK243">
        <v>0</v>
      </c>
      <c r="BL243">
        <v>3.0369999999999999E-5</v>
      </c>
      <c r="BM243" s="2">
        <f t="shared" si="3"/>
        <v>3.1500749715250817E-6</v>
      </c>
    </row>
    <row r="244" spans="1:65" x14ac:dyDescent="0.35">
      <c r="A244">
        <v>0</v>
      </c>
      <c r="B244" t="s">
        <v>11</v>
      </c>
      <c r="C244" t="s">
        <v>4</v>
      </c>
      <c r="D244">
        <v>0</v>
      </c>
      <c r="E244" t="s">
        <v>3</v>
      </c>
      <c r="F244" t="s">
        <v>5</v>
      </c>
      <c r="G244">
        <v>3165.481804</v>
      </c>
      <c r="H244" t="s">
        <v>4</v>
      </c>
      <c r="I244">
        <v>990.16341899999998</v>
      </c>
      <c r="J244">
        <v>2175.318385</v>
      </c>
      <c r="K244" t="s">
        <v>6</v>
      </c>
      <c r="L244" t="s">
        <v>7</v>
      </c>
      <c r="M244" t="s">
        <v>8</v>
      </c>
      <c r="N244" t="s">
        <v>6</v>
      </c>
      <c r="O244" t="s">
        <v>3</v>
      </c>
      <c r="P244" t="s">
        <v>3</v>
      </c>
      <c r="Q244" t="s">
        <v>3</v>
      </c>
      <c r="R244" t="s">
        <v>3</v>
      </c>
      <c r="S244" t="s">
        <v>11</v>
      </c>
      <c r="T244" t="s">
        <v>7</v>
      </c>
      <c r="U244">
        <v>0</v>
      </c>
      <c r="V244">
        <v>0</v>
      </c>
      <c r="W244">
        <v>0</v>
      </c>
      <c r="X244">
        <v>4</v>
      </c>
      <c r="Y244">
        <v>0</v>
      </c>
      <c r="Z244" t="s">
        <v>13</v>
      </c>
      <c r="AA244" t="s">
        <v>4</v>
      </c>
      <c r="AB244" t="s">
        <v>6</v>
      </c>
      <c r="AC244" t="s">
        <v>7</v>
      </c>
      <c r="AD244" t="s">
        <v>8</v>
      </c>
      <c r="AE244" t="s">
        <v>6</v>
      </c>
      <c r="AF244" t="s">
        <v>3</v>
      </c>
      <c r="AG244" t="s">
        <v>3</v>
      </c>
      <c r="AH244" t="s">
        <v>3</v>
      </c>
      <c r="AI244" t="s">
        <v>3</v>
      </c>
      <c r="AJ244" t="s">
        <v>3</v>
      </c>
      <c r="AK244" t="s">
        <v>7</v>
      </c>
      <c r="AL244">
        <v>0</v>
      </c>
      <c r="AM244">
        <v>0</v>
      </c>
      <c r="AN244">
        <v>0</v>
      </c>
      <c r="AO244">
        <v>0</v>
      </c>
      <c r="AP244">
        <v>0</v>
      </c>
      <c r="AQ244" t="s">
        <v>9</v>
      </c>
      <c r="AR244" s="1">
        <v>1.9474210299999999E-5</v>
      </c>
      <c r="AS244" s="1">
        <v>2.21639303E-27</v>
      </c>
      <c r="AT244">
        <v>12</v>
      </c>
      <c r="AU244" t="s">
        <v>10</v>
      </c>
      <c r="AV244">
        <v>0</v>
      </c>
      <c r="AW244">
        <v>0</v>
      </c>
      <c r="AX244">
        <v>0</v>
      </c>
      <c r="AY244">
        <v>4</v>
      </c>
      <c r="AZ244">
        <v>0</v>
      </c>
      <c r="BA244" t="s">
        <v>13</v>
      </c>
      <c r="BB244" t="s">
        <v>4</v>
      </c>
      <c r="BC244" t="s">
        <v>10</v>
      </c>
      <c r="BD244">
        <v>0</v>
      </c>
      <c r="BE244">
        <v>0</v>
      </c>
      <c r="BF244">
        <v>0</v>
      </c>
      <c r="BG244">
        <v>0</v>
      </c>
      <c r="BH244">
        <v>0</v>
      </c>
      <c r="BI244" t="s">
        <v>9</v>
      </c>
      <c r="BJ244">
        <v>0</v>
      </c>
      <c r="BK244">
        <v>1.9470000000000002E-5</v>
      </c>
      <c r="BL244">
        <v>0</v>
      </c>
      <c r="BM244" s="2">
        <f t="shared" si="3"/>
        <v>1.3347430894798623E-8</v>
      </c>
    </row>
    <row r="245" spans="1:65" x14ac:dyDescent="0.35">
      <c r="A245">
        <v>0</v>
      </c>
      <c r="B245" t="s">
        <v>3</v>
      </c>
      <c r="C245" t="s">
        <v>4</v>
      </c>
      <c r="D245">
        <v>0</v>
      </c>
      <c r="E245" t="s">
        <v>3</v>
      </c>
      <c r="F245" t="s">
        <v>5</v>
      </c>
      <c r="G245">
        <v>4515.3474690000003</v>
      </c>
      <c r="H245" t="s">
        <v>4</v>
      </c>
      <c r="I245">
        <v>990.16341899999998</v>
      </c>
      <c r="J245">
        <v>3525.1840499999998</v>
      </c>
      <c r="K245" t="s">
        <v>6</v>
      </c>
      <c r="L245" t="s">
        <v>7</v>
      </c>
      <c r="M245" t="s">
        <v>8</v>
      </c>
      <c r="N245" t="s">
        <v>6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 t="s">
        <v>7</v>
      </c>
      <c r="U245">
        <v>0</v>
      </c>
      <c r="V245">
        <v>0</v>
      </c>
      <c r="W245">
        <v>0</v>
      </c>
      <c r="X245">
        <v>4</v>
      </c>
      <c r="Y245">
        <v>0</v>
      </c>
      <c r="Z245" t="s">
        <v>22</v>
      </c>
      <c r="AA245" t="s">
        <v>4</v>
      </c>
      <c r="AB245" t="s">
        <v>6</v>
      </c>
      <c r="AC245" t="s">
        <v>7</v>
      </c>
      <c r="AD245" t="s">
        <v>8</v>
      </c>
      <c r="AE245" t="s">
        <v>6</v>
      </c>
      <c r="AF245" t="s">
        <v>3</v>
      </c>
      <c r="AG245" t="s">
        <v>3</v>
      </c>
      <c r="AH245" t="s">
        <v>3</v>
      </c>
      <c r="AI245" t="s">
        <v>3</v>
      </c>
      <c r="AJ245" t="s">
        <v>3</v>
      </c>
      <c r="AK245" t="s">
        <v>7</v>
      </c>
      <c r="AL245">
        <v>0</v>
      </c>
      <c r="AM245">
        <v>0</v>
      </c>
      <c r="AN245">
        <v>0</v>
      </c>
      <c r="AO245">
        <v>0</v>
      </c>
      <c r="AP245">
        <v>0</v>
      </c>
      <c r="AQ245" t="s">
        <v>9</v>
      </c>
      <c r="AR245" s="1">
        <v>2.6393721199999998E-5</v>
      </c>
      <c r="AS245" s="1">
        <v>6.5978006600000003E-27</v>
      </c>
      <c r="AT245">
        <v>10</v>
      </c>
      <c r="AU245" t="s">
        <v>10</v>
      </c>
      <c r="AV245">
        <v>0</v>
      </c>
      <c r="AW245">
        <v>0</v>
      </c>
      <c r="AX245">
        <v>0</v>
      </c>
      <c r="AY245">
        <v>4</v>
      </c>
      <c r="AZ245">
        <v>0</v>
      </c>
      <c r="BA245" t="s">
        <v>22</v>
      </c>
      <c r="BB245" t="s">
        <v>4</v>
      </c>
      <c r="BC245" t="s">
        <v>10</v>
      </c>
      <c r="BD245">
        <v>0</v>
      </c>
      <c r="BE245">
        <v>0</v>
      </c>
      <c r="BF245">
        <v>0</v>
      </c>
      <c r="BG245">
        <v>0</v>
      </c>
      <c r="BH245">
        <v>0</v>
      </c>
      <c r="BI245" t="s">
        <v>9</v>
      </c>
      <c r="BJ245">
        <v>-2.338E-5</v>
      </c>
      <c r="BK245">
        <v>0</v>
      </c>
      <c r="BL245">
        <v>1.226E-5</v>
      </c>
      <c r="BM245" s="2">
        <f t="shared" si="3"/>
        <v>3.9732884544852929E-8</v>
      </c>
    </row>
    <row r="246" spans="1:65" x14ac:dyDescent="0.35">
      <c r="A246">
        <v>0</v>
      </c>
      <c r="B246" t="s">
        <v>3</v>
      </c>
      <c r="C246" t="s">
        <v>4</v>
      </c>
      <c r="D246">
        <v>0</v>
      </c>
      <c r="E246" t="s">
        <v>3</v>
      </c>
      <c r="F246" t="s">
        <v>5</v>
      </c>
      <c r="G246">
        <v>4892.4892600000003</v>
      </c>
      <c r="H246" t="s">
        <v>4</v>
      </c>
      <c r="I246">
        <v>990.16341899999998</v>
      </c>
      <c r="J246">
        <v>3902.32584</v>
      </c>
      <c r="K246" t="s">
        <v>6</v>
      </c>
      <c r="L246" t="s">
        <v>7</v>
      </c>
      <c r="M246" t="s">
        <v>8</v>
      </c>
      <c r="N246" t="s">
        <v>6</v>
      </c>
      <c r="O246" t="s">
        <v>3</v>
      </c>
      <c r="P246" t="s">
        <v>3</v>
      </c>
      <c r="Q246" t="s">
        <v>3</v>
      </c>
      <c r="R246" t="s">
        <v>3</v>
      </c>
      <c r="S246" t="s">
        <v>3</v>
      </c>
      <c r="T246" t="s">
        <v>7</v>
      </c>
      <c r="U246">
        <v>0</v>
      </c>
      <c r="V246">
        <v>0</v>
      </c>
      <c r="W246">
        <v>0</v>
      </c>
      <c r="X246">
        <v>4</v>
      </c>
      <c r="Y246">
        <v>0</v>
      </c>
      <c r="Z246" t="s">
        <v>27</v>
      </c>
      <c r="AA246" t="s">
        <v>4</v>
      </c>
      <c r="AB246" t="s">
        <v>6</v>
      </c>
      <c r="AC246" t="s">
        <v>7</v>
      </c>
      <c r="AD246" t="s">
        <v>8</v>
      </c>
      <c r="AE246" t="s">
        <v>6</v>
      </c>
      <c r="AF246" t="s">
        <v>3</v>
      </c>
      <c r="AG246" t="s">
        <v>3</v>
      </c>
      <c r="AH246" t="s">
        <v>3</v>
      </c>
      <c r="AI246" t="s">
        <v>3</v>
      </c>
      <c r="AJ246" t="s">
        <v>3</v>
      </c>
      <c r="AK246" t="s">
        <v>7</v>
      </c>
      <c r="AL246">
        <v>0</v>
      </c>
      <c r="AM246">
        <v>0</v>
      </c>
      <c r="AN246">
        <v>0</v>
      </c>
      <c r="AO246">
        <v>0</v>
      </c>
      <c r="AP246">
        <v>0</v>
      </c>
      <c r="AQ246" t="s">
        <v>9</v>
      </c>
      <c r="AR246" s="1">
        <v>8.3773420999999997E-5</v>
      </c>
      <c r="AS246" s="1">
        <v>7.3578713800000006E-26</v>
      </c>
      <c r="AT246">
        <v>11</v>
      </c>
      <c r="AU246" t="s">
        <v>10</v>
      </c>
      <c r="AV246">
        <v>0</v>
      </c>
      <c r="AW246">
        <v>0</v>
      </c>
      <c r="AX246">
        <v>0</v>
      </c>
      <c r="AY246">
        <v>4</v>
      </c>
      <c r="AZ246">
        <v>0</v>
      </c>
      <c r="BA246" t="s">
        <v>27</v>
      </c>
      <c r="BB246" t="s">
        <v>4</v>
      </c>
      <c r="BC246" t="s">
        <v>10</v>
      </c>
      <c r="BD246">
        <v>0</v>
      </c>
      <c r="BE246">
        <v>0</v>
      </c>
      <c r="BF246">
        <v>0</v>
      </c>
      <c r="BG246">
        <v>0</v>
      </c>
      <c r="BH246">
        <v>0</v>
      </c>
      <c r="BI246" t="s">
        <v>9</v>
      </c>
      <c r="BJ246">
        <v>-3.3760000000000002E-5</v>
      </c>
      <c r="BK246">
        <v>0</v>
      </c>
      <c r="BL246">
        <v>7.6669999999999996E-5</v>
      </c>
      <c r="BM246" s="2">
        <f t="shared" si="3"/>
        <v>4.4310137438650309E-7</v>
      </c>
    </row>
    <row r="247" spans="1:65" x14ac:dyDescent="0.35">
      <c r="A247">
        <v>0</v>
      </c>
      <c r="B247" t="s">
        <v>11</v>
      </c>
      <c r="C247" t="s">
        <v>4</v>
      </c>
      <c r="D247">
        <v>0</v>
      </c>
      <c r="E247" t="s">
        <v>3</v>
      </c>
      <c r="F247" t="s">
        <v>5</v>
      </c>
      <c r="G247">
        <v>1569.921983</v>
      </c>
      <c r="H247" t="s">
        <v>4</v>
      </c>
      <c r="I247">
        <v>990.16341899999998</v>
      </c>
      <c r="J247">
        <v>579.75856399999998</v>
      </c>
      <c r="K247" t="s">
        <v>6</v>
      </c>
      <c r="L247" t="s">
        <v>7</v>
      </c>
      <c r="M247" t="s">
        <v>8</v>
      </c>
      <c r="N247" t="s">
        <v>6</v>
      </c>
      <c r="O247" t="s">
        <v>3</v>
      </c>
      <c r="P247" t="s">
        <v>3</v>
      </c>
      <c r="Q247" t="s">
        <v>3</v>
      </c>
      <c r="R247" t="s">
        <v>3</v>
      </c>
      <c r="S247" t="s">
        <v>11</v>
      </c>
      <c r="T247" t="s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 t="s">
        <v>13</v>
      </c>
      <c r="AA247" t="s">
        <v>4</v>
      </c>
      <c r="AB247" t="s">
        <v>6</v>
      </c>
      <c r="AC247" t="s">
        <v>7</v>
      </c>
      <c r="AD247" t="s">
        <v>8</v>
      </c>
      <c r="AE247" t="s">
        <v>6</v>
      </c>
      <c r="AF247" t="s">
        <v>3</v>
      </c>
      <c r="AG247" t="s">
        <v>3</v>
      </c>
      <c r="AH247" t="s">
        <v>3</v>
      </c>
      <c r="AI247" t="s">
        <v>3</v>
      </c>
      <c r="AJ247" t="s">
        <v>3</v>
      </c>
      <c r="AK247" t="s">
        <v>7</v>
      </c>
      <c r="AL247">
        <v>0</v>
      </c>
      <c r="AM247">
        <v>0</v>
      </c>
      <c r="AN247">
        <v>0</v>
      </c>
      <c r="AO247">
        <v>0</v>
      </c>
      <c r="AP247">
        <v>0</v>
      </c>
      <c r="AQ247" t="s">
        <v>9</v>
      </c>
      <c r="AR247" s="1">
        <v>2.1581088799999999E-5</v>
      </c>
      <c r="AS247" s="1">
        <v>6.8130048900000002E-28</v>
      </c>
      <c r="AT247">
        <v>13</v>
      </c>
      <c r="AU247" t="s">
        <v>10</v>
      </c>
      <c r="AV247">
        <v>0</v>
      </c>
      <c r="AW247">
        <v>0</v>
      </c>
      <c r="AX247">
        <v>0</v>
      </c>
      <c r="AY247">
        <v>0</v>
      </c>
      <c r="AZ247">
        <v>0</v>
      </c>
      <c r="BA247" t="s">
        <v>13</v>
      </c>
      <c r="BB247" t="s">
        <v>4</v>
      </c>
      <c r="BC247" t="s">
        <v>10</v>
      </c>
      <c r="BD247">
        <v>0</v>
      </c>
      <c r="BE247">
        <v>0</v>
      </c>
      <c r="BF247">
        <v>0</v>
      </c>
      <c r="BG247">
        <v>0</v>
      </c>
      <c r="BH247">
        <v>0</v>
      </c>
      <c r="BI247" t="s">
        <v>9</v>
      </c>
      <c r="BJ247">
        <v>0</v>
      </c>
      <c r="BK247">
        <v>-2.158E-5</v>
      </c>
      <c r="BL247">
        <v>0</v>
      </c>
      <c r="BM247" s="2">
        <f t="shared" si="3"/>
        <v>4.1028874718668513E-9</v>
      </c>
    </row>
    <row r="248" spans="1:65" x14ac:dyDescent="0.35">
      <c r="A248">
        <v>0</v>
      </c>
      <c r="B248" t="s">
        <v>3</v>
      </c>
      <c r="C248" t="s">
        <v>4</v>
      </c>
      <c r="D248">
        <v>0</v>
      </c>
      <c r="E248" t="s">
        <v>3</v>
      </c>
      <c r="F248" t="s">
        <v>5</v>
      </c>
      <c r="G248">
        <v>4663.8004080000001</v>
      </c>
      <c r="H248" t="s">
        <v>4</v>
      </c>
      <c r="I248">
        <v>990.16341899999998</v>
      </c>
      <c r="J248">
        <v>3673.6369890000001</v>
      </c>
      <c r="K248" t="s">
        <v>6</v>
      </c>
      <c r="L248" t="s">
        <v>7</v>
      </c>
      <c r="M248" t="s">
        <v>8</v>
      </c>
      <c r="N248" t="s">
        <v>6</v>
      </c>
      <c r="O248" t="s">
        <v>3</v>
      </c>
      <c r="P248" t="s">
        <v>3</v>
      </c>
      <c r="Q248" t="s">
        <v>3</v>
      </c>
      <c r="R248" t="s">
        <v>3</v>
      </c>
      <c r="S248" t="s">
        <v>3</v>
      </c>
      <c r="T248" t="s">
        <v>7</v>
      </c>
      <c r="U248">
        <v>0</v>
      </c>
      <c r="V248">
        <v>1</v>
      </c>
      <c r="W248">
        <v>0</v>
      </c>
      <c r="X248">
        <v>1</v>
      </c>
      <c r="Y248">
        <v>0</v>
      </c>
      <c r="Z248" t="s">
        <v>27</v>
      </c>
      <c r="AA248" t="s">
        <v>4</v>
      </c>
      <c r="AB248" t="s">
        <v>6</v>
      </c>
      <c r="AC248" t="s">
        <v>7</v>
      </c>
      <c r="AD248" t="s">
        <v>8</v>
      </c>
      <c r="AE248" t="s">
        <v>6</v>
      </c>
      <c r="AF248" t="s">
        <v>3</v>
      </c>
      <c r="AG248" t="s">
        <v>3</v>
      </c>
      <c r="AH248" t="s">
        <v>3</v>
      </c>
      <c r="AI248" t="s">
        <v>3</v>
      </c>
      <c r="AJ248" t="s">
        <v>3</v>
      </c>
      <c r="AK248" t="s">
        <v>7</v>
      </c>
      <c r="AL248">
        <v>0</v>
      </c>
      <c r="AM248">
        <v>0</v>
      </c>
      <c r="AN248">
        <v>0</v>
      </c>
      <c r="AO248">
        <v>0</v>
      </c>
      <c r="AP248">
        <v>0</v>
      </c>
      <c r="AQ248" t="s">
        <v>9</v>
      </c>
      <c r="AR248" s="1">
        <v>2.51408169E-5</v>
      </c>
      <c r="AS248" s="1">
        <v>6.2383705100000001E-27</v>
      </c>
      <c r="AT248">
        <v>11</v>
      </c>
      <c r="AU248" t="s">
        <v>10</v>
      </c>
      <c r="AV248">
        <v>0</v>
      </c>
      <c r="AW248">
        <v>1</v>
      </c>
      <c r="AX248">
        <v>0</v>
      </c>
      <c r="AY248">
        <v>1</v>
      </c>
      <c r="AZ248">
        <v>0</v>
      </c>
      <c r="BA248" t="s">
        <v>27</v>
      </c>
      <c r="BB248" t="s">
        <v>4</v>
      </c>
      <c r="BC248" t="s">
        <v>10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9</v>
      </c>
      <c r="BJ248">
        <v>1.6889999999999999E-5</v>
      </c>
      <c r="BK248">
        <v>0</v>
      </c>
      <c r="BL248">
        <v>1.8620000000000001E-5</v>
      </c>
      <c r="BM248" s="2">
        <f t="shared" si="3"/>
        <v>3.7568345573787805E-8</v>
      </c>
    </row>
    <row r="249" spans="1:65" x14ac:dyDescent="0.35">
      <c r="A249">
        <v>0</v>
      </c>
      <c r="B249" t="s">
        <v>3</v>
      </c>
      <c r="C249" t="s">
        <v>4</v>
      </c>
      <c r="D249">
        <v>0</v>
      </c>
      <c r="E249" t="s">
        <v>3</v>
      </c>
      <c r="F249" t="s">
        <v>5</v>
      </c>
      <c r="G249">
        <v>4305.3048220000001</v>
      </c>
      <c r="H249" t="s">
        <v>4</v>
      </c>
      <c r="I249">
        <v>990.16341899999998</v>
      </c>
      <c r="J249">
        <v>3315.1414030000001</v>
      </c>
      <c r="K249" t="s">
        <v>6</v>
      </c>
      <c r="L249" t="s">
        <v>7</v>
      </c>
      <c r="M249" t="s">
        <v>8</v>
      </c>
      <c r="N249" t="s">
        <v>6</v>
      </c>
      <c r="O249" t="s">
        <v>3</v>
      </c>
      <c r="P249" t="s">
        <v>3</v>
      </c>
      <c r="Q249" t="s">
        <v>3</v>
      </c>
      <c r="R249" t="s">
        <v>3</v>
      </c>
      <c r="S249" t="s">
        <v>3</v>
      </c>
      <c r="T249" t="s">
        <v>7</v>
      </c>
      <c r="U249">
        <v>0</v>
      </c>
      <c r="V249">
        <v>1</v>
      </c>
      <c r="W249">
        <v>0</v>
      </c>
      <c r="X249">
        <v>0</v>
      </c>
      <c r="Y249">
        <v>0</v>
      </c>
      <c r="Z249" t="s">
        <v>27</v>
      </c>
      <c r="AA249" t="s">
        <v>4</v>
      </c>
      <c r="AB249" t="s">
        <v>6</v>
      </c>
      <c r="AC249" t="s">
        <v>7</v>
      </c>
      <c r="AD249" t="s">
        <v>8</v>
      </c>
      <c r="AE249" t="s">
        <v>6</v>
      </c>
      <c r="AF249" t="s">
        <v>3</v>
      </c>
      <c r="AG249" t="s">
        <v>3</v>
      </c>
      <c r="AH249" t="s">
        <v>3</v>
      </c>
      <c r="AI249" t="s">
        <v>3</v>
      </c>
      <c r="AJ249" t="s">
        <v>3</v>
      </c>
      <c r="AK249" t="s">
        <v>7</v>
      </c>
      <c r="AL249">
        <v>0</v>
      </c>
      <c r="AM249">
        <v>0</v>
      </c>
      <c r="AN249">
        <v>0</v>
      </c>
      <c r="AO249">
        <v>0</v>
      </c>
      <c r="AP249">
        <v>0</v>
      </c>
      <c r="AQ249" t="s">
        <v>9</v>
      </c>
      <c r="AR249" s="1">
        <v>1.55376898E-4</v>
      </c>
      <c r="AS249" s="1">
        <v>2.15026046E-25</v>
      </c>
      <c r="AT249">
        <v>11</v>
      </c>
      <c r="AU249" t="s">
        <v>10</v>
      </c>
      <c r="AV249">
        <v>0</v>
      </c>
      <c r="AW249">
        <v>1</v>
      </c>
      <c r="AX249">
        <v>0</v>
      </c>
      <c r="AY249">
        <v>0</v>
      </c>
      <c r="AZ249">
        <v>0</v>
      </c>
      <c r="BA249" t="s">
        <v>27</v>
      </c>
      <c r="BB249" t="s">
        <v>4</v>
      </c>
      <c r="BC249" t="s">
        <v>10</v>
      </c>
      <c r="BD249">
        <v>0</v>
      </c>
      <c r="BE249">
        <v>0</v>
      </c>
      <c r="BF249">
        <v>0</v>
      </c>
      <c r="BG249">
        <v>0</v>
      </c>
      <c r="BH249">
        <v>0</v>
      </c>
      <c r="BI249" t="s">
        <v>9</v>
      </c>
      <c r="BJ249">
        <v>1.4451000000000001E-4</v>
      </c>
      <c r="BK249">
        <v>0</v>
      </c>
      <c r="BL249">
        <v>-5.7099999999999999E-5</v>
      </c>
      <c r="BM249" s="2">
        <f t="shared" si="3"/>
        <v>1.2949171246792767E-6</v>
      </c>
    </row>
    <row r="250" spans="1:65" x14ac:dyDescent="0.35">
      <c r="A250">
        <v>0</v>
      </c>
      <c r="B250" t="s">
        <v>11</v>
      </c>
      <c r="C250" t="s">
        <v>4</v>
      </c>
      <c r="D250">
        <v>0</v>
      </c>
      <c r="E250" t="s">
        <v>3</v>
      </c>
      <c r="F250" t="s">
        <v>5</v>
      </c>
      <c r="G250">
        <v>4220.1983620000001</v>
      </c>
      <c r="H250" t="s">
        <v>4</v>
      </c>
      <c r="I250">
        <v>990.16341899999998</v>
      </c>
      <c r="J250">
        <v>3230.0349430000001</v>
      </c>
      <c r="K250" t="s">
        <v>6</v>
      </c>
      <c r="L250" t="s">
        <v>7</v>
      </c>
      <c r="M250" t="s">
        <v>8</v>
      </c>
      <c r="N250" t="s">
        <v>6</v>
      </c>
      <c r="O250" t="s">
        <v>3</v>
      </c>
      <c r="P250" t="s">
        <v>3</v>
      </c>
      <c r="Q250" t="s">
        <v>3</v>
      </c>
      <c r="R250" t="s">
        <v>3</v>
      </c>
      <c r="S250" t="s">
        <v>11</v>
      </c>
      <c r="T250" t="s">
        <v>7</v>
      </c>
      <c r="U250">
        <v>1</v>
      </c>
      <c r="V250">
        <v>0</v>
      </c>
      <c r="W250">
        <v>0</v>
      </c>
      <c r="X250">
        <v>2</v>
      </c>
      <c r="Y250">
        <v>1</v>
      </c>
      <c r="Z250" t="s">
        <v>13</v>
      </c>
      <c r="AA250" t="s">
        <v>4</v>
      </c>
      <c r="AB250" t="s">
        <v>6</v>
      </c>
      <c r="AC250" t="s">
        <v>7</v>
      </c>
      <c r="AD250" t="s">
        <v>8</v>
      </c>
      <c r="AE250" t="s">
        <v>6</v>
      </c>
      <c r="AF250" t="s">
        <v>3</v>
      </c>
      <c r="AG250" t="s">
        <v>3</v>
      </c>
      <c r="AH250" t="s">
        <v>3</v>
      </c>
      <c r="AI250" t="s">
        <v>3</v>
      </c>
      <c r="AJ250" t="s">
        <v>3</v>
      </c>
      <c r="AK250" t="s">
        <v>7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9</v>
      </c>
      <c r="AR250" s="1">
        <v>2.7006913700000001E-5</v>
      </c>
      <c r="AS250" s="1">
        <v>6.3295556700000001E-27</v>
      </c>
      <c r="AT250">
        <v>11</v>
      </c>
      <c r="AU250" t="s">
        <v>10</v>
      </c>
      <c r="AV250">
        <v>1</v>
      </c>
      <c r="AW250">
        <v>0</v>
      </c>
      <c r="AX250">
        <v>0</v>
      </c>
      <c r="AY250">
        <v>2</v>
      </c>
      <c r="AZ250">
        <v>1</v>
      </c>
      <c r="BA250" t="s">
        <v>13</v>
      </c>
      <c r="BB250" t="s">
        <v>4</v>
      </c>
      <c r="BC250" t="s">
        <v>10</v>
      </c>
      <c r="BD250">
        <v>0</v>
      </c>
      <c r="BE250">
        <v>0</v>
      </c>
      <c r="BF250">
        <v>0</v>
      </c>
      <c r="BG250">
        <v>0</v>
      </c>
      <c r="BH250">
        <v>0</v>
      </c>
      <c r="BI250" t="s">
        <v>9</v>
      </c>
      <c r="BJ250">
        <v>0</v>
      </c>
      <c r="BK250">
        <v>-2.7010000000000001E-5</v>
      </c>
      <c r="BL250">
        <v>0</v>
      </c>
      <c r="BM250" s="2">
        <f t="shared" si="3"/>
        <v>3.8117475446178336E-8</v>
      </c>
    </row>
    <row r="251" spans="1:65" x14ac:dyDescent="0.35">
      <c r="A251">
        <v>0</v>
      </c>
      <c r="B251" t="s">
        <v>11</v>
      </c>
      <c r="C251" t="s">
        <v>4</v>
      </c>
      <c r="D251">
        <v>0</v>
      </c>
      <c r="E251" t="s">
        <v>3</v>
      </c>
      <c r="F251" t="s">
        <v>5</v>
      </c>
      <c r="G251">
        <v>4835.2923899999996</v>
      </c>
      <c r="H251" t="s">
        <v>4</v>
      </c>
      <c r="I251">
        <v>990.16341899999998</v>
      </c>
      <c r="J251">
        <v>3845.1289710000001</v>
      </c>
      <c r="K251" t="s">
        <v>6</v>
      </c>
      <c r="L251" t="s">
        <v>7</v>
      </c>
      <c r="M251" t="s">
        <v>8</v>
      </c>
      <c r="N251" t="s">
        <v>6</v>
      </c>
      <c r="O251" t="s">
        <v>3</v>
      </c>
      <c r="P251" t="s">
        <v>3</v>
      </c>
      <c r="Q251" t="s">
        <v>3</v>
      </c>
      <c r="R251" t="s">
        <v>3</v>
      </c>
      <c r="S251" t="s">
        <v>11</v>
      </c>
      <c r="T251" t="s">
        <v>7</v>
      </c>
      <c r="U251">
        <v>0</v>
      </c>
      <c r="V251">
        <v>1</v>
      </c>
      <c r="W251">
        <v>0</v>
      </c>
      <c r="X251">
        <v>0</v>
      </c>
      <c r="Y251">
        <v>2</v>
      </c>
      <c r="Z251" t="s">
        <v>13</v>
      </c>
      <c r="AA251" t="s">
        <v>4</v>
      </c>
      <c r="AB251" t="s">
        <v>6</v>
      </c>
      <c r="AC251" t="s">
        <v>7</v>
      </c>
      <c r="AD251" t="s">
        <v>8</v>
      </c>
      <c r="AE251" t="s">
        <v>6</v>
      </c>
      <c r="AF251" t="s">
        <v>3</v>
      </c>
      <c r="AG251" t="s">
        <v>3</v>
      </c>
      <c r="AH251" t="s">
        <v>3</v>
      </c>
      <c r="AI251" t="s">
        <v>3</v>
      </c>
      <c r="AJ251" t="s">
        <v>3</v>
      </c>
      <c r="AK251" t="s">
        <v>7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9</v>
      </c>
      <c r="AR251" s="1">
        <v>5.1879886600000001E-6</v>
      </c>
      <c r="AS251" s="1">
        <v>2.7805141299999999E-28</v>
      </c>
      <c r="AT251">
        <v>11</v>
      </c>
      <c r="AU251" t="s">
        <v>10</v>
      </c>
      <c r="AV251">
        <v>0</v>
      </c>
      <c r="AW251">
        <v>1</v>
      </c>
      <c r="AX251">
        <v>0</v>
      </c>
      <c r="AY251">
        <v>0</v>
      </c>
      <c r="AZ251">
        <v>2</v>
      </c>
      <c r="BA251" t="s">
        <v>13</v>
      </c>
      <c r="BB251" t="s">
        <v>4</v>
      </c>
      <c r="BC251" t="s">
        <v>10</v>
      </c>
      <c r="BD251">
        <v>0</v>
      </c>
      <c r="BE251">
        <v>0</v>
      </c>
      <c r="BF251">
        <v>0</v>
      </c>
      <c r="BG251">
        <v>0</v>
      </c>
      <c r="BH251">
        <v>0</v>
      </c>
      <c r="BI251" t="s">
        <v>9</v>
      </c>
      <c r="BJ251">
        <v>0</v>
      </c>
      <c r="BK251">
        <v>-5.1900000000000003E-6</v>
      </c>
      <c r="BL251">
        <v>0</v>
      </c>
      <c r="BM251" s="2">
        <f t="shared" si="3"/>
        <v>1.6744647587249502E-9</v>
      </c>
    </row>
    <row r="252" spans="1:65" x14ac:dyDescent="0.35">
      <c r="A252">
        <v>0</v>
      </c>
      <c r="B252" t="s">
        <v>11</v>
      </c>
      <c r="C252" t="s">
        <v>4</v>
      </c>
      <c r="D252">
        <v>0</v>
      </c>
      <c r="E252" t="s">
        <v>3</v>
      </c>
      <c r="F252" t="s">
        <v>5</v>
      </c>
      <c r="G252">
        <v>4728.2730419999998</v>
      </c>
      <c r="H252" t="s">
        <v>4</v>
      </c>
      <c r="I252">
        <v>990.16341899999998</v>
      </c>
      <c r="J252">
        <v>3738.1096229999998</v>
      </c>
      <c r="K252" t="s">
        <v>6</v>
      </c>
      <c r="L252" t="s">
        <v>7</v>
      </c>
      <c r="M252" t="s">
        <v>8</v>
      </c>
      <c r="N252" t="s">
        <v>6</v>
      </c>
      <c r="O252" t="s">
        <v>3</v>
      </c>
      <c r="P252" t="s">
        <v>3</v>
      </c>
      <c r="Q252" t="s">
        <v>3</v>
      </c>
      <c r="R252" t="s">
        <v>3</v>
      </c>
      <c r="S252" t="s">
        <v>11</v>
      </c>
      <c r="T252" t="s">
        <v>7</v>
      </c>
      <c r="U252">
        <v>2</v>
      </c>
      <c r="V252">
        <v>2</v>
      </c>
      <c r="W252">
        <v>0</v>
      </c>
      <c r="X252">
        <v>0</v>
      </c>
      <c r="Y252">
        <v>0</v>
      </c>
      <c r="Z252" t="s">
        <v>18</v>
      </c>
      <c r="AA252" t="s">
        <v>4</v>
      </c>
      <c r="AB252" t="s">
        <v>6</v>
      </c>
      <c r="AC252" t="s">
        <v>7</v>
      </c>
      <c r="AD252" t="s">
        <v>8</v>
      </c>
      <c r="AE252" t="s">
        <v>6</v>
      </c>
      <c r="AF252" t="s">
        <v>3</v>
      </c>
      <c r="AG252" t="s">
        <v>3</v>
      </c>
      <c r="AH252" t="s">
        <v>3</v>
      </c>
      <c r="AI252" t="s">
        <v>3</v>
      </c>
      <c r="AJ252" t="s">
        <v>3</v>
      </c>
      <c r="AK252" t="s">
        <v>7</v>
      </c>
      <c r="AL252">
        <v>0</v>
      </c>
      <c r="AM252">
        <v>0</v>
      </c>
      <c r="AN252">
        <v>0</v>
      </c>
      <c r="AO252">
        <v>0</v>
      </c>
      <c r="AP252">
        <v>0</v>
      </c>
      <c r="AQ252" t="s">
        <v>9</v>
      </c>
      <c r="AR252" s="1">
        <v>1.25341555E-6</v>
      </c>
      <c r="AS252" s="1">
        <v>1.5778232300000001E-29</v>
      </c>
      <c r="AT252">
        <v>11</v>
      </c>
      <c r="AU252" t="s">
        <v>10</v>
      </c>
      <c r="AV252">
        <v>2</v>
      </c>
      <c r="AW252">
        <v>2</v>
      </c>
      <c r="AX252">
        <v>0</v>
      </c>
      <c r="AY252">
        <v>0</v>
      </c>
      <c r="AZ252">
        <v>0</v>
      </c>
      <c r="BA252" t="s">
        <v>18</v>
      </c>
      <c r="BB252" t="s">
        <v>4</v>
      </c>
      <c r="BC252" t="s">
        <v>10</v>
      </c>
      <c r="BD252">
        <v>0</v>
      </c>
      <c r="BE252">
        <v>0</v>
      </c>
      <c r="BF252">
        <v>0</v>
      </c>
      <c r="BG252">
        <v>0</v>
      </c>
      <c r="BH252">
        <v>0</v>
      </c>
      <c r="BI252" t="s">
        <v>9</v>
      </c>
      <c r="BJ252">
        <v>0</v>
      </c>
      <c r="BK252">
        <v>-1.2500000000000001E-6</v>
      </c>
      <c r="BL252">
        <v>0</v>
      </c>
      <c r="BM252" s="2">
        <f t="shared" si="3"/>
        <v>9.5018736485707847E-11</v>
      </c>
    </row>
    <row r="253" spans="1:65" x14ac:dyDescent="0.35">
      <c r="A253">
        <v>0</v>
      </c>
      <c r="B253" t="s">
        <v>3</v>
      </c>
      <c r="C253" t="s">
        <v>4</v>
      </c>
      <c r="D253">
        <v>0</v>
      </c>
      <c r="E253" t="s">
        <v>3</v>
      </c>
      <c r="F253" t="s">
        <v>5</v>
      </c>
      <c r="G253">
        <v>3674.9652230000002</v>
      </c>
      <c r="H253" t="s">
        <v>4</v>
      </c>
      <c r="I253">
        <v>990.16341899999998</v>
      </c>
      <c r="J253">
        <v>2684.8018040000002</v>
      </c>
      <c r="K253" t="s">
        <v>6</v>
      </c>
      <c r="L253" t="s">
        <v>7</v>
      </c>
      <c r="M253" t="s">
        <v>8</v>
      </c>
      <c r="N253" t="s">
        <v>6</v>
      </c>
      <c r="O253" t="s">
        <v>3</v>
      </c>
      <c r="P253" t="s">
        <v>3</v>
      </c>
      <c r="Q253" t="s">
        <v>3</v>
      </c>
      <c r="R253" t="s">
        <v>3</v>
      </c>
      <c r="S253" t="s">
        <v>3</v>
      </c>
      <c r="T253" t="s">
        <v>7</v>
      </c>
      <c r="U253">
        <v>1</v>
      </c>
      <c r="V253">
        <v>0</v>
      </c>
      <c r="W253">
        <v>0</v>
      </c>
      <c r="X253">
        <v>0</v>
      </c>
      <c r="Y253">
        <v>2</v>
      </c>
      <c r="Z253" t="s">
        <v>15</v>
      </c>
      <c r="AA253" t="s">
        <v>4</v>
      </c>
      <c r="AB253" t="s">
        <v>6</v>
      </c>
      <c r="AC253" t="s">
        <v>7</v>
      </c>
      <c r="AD253" t="s">
        <v>8</v>
      </c>
      <c r="AE253" t="s">
        <v>6</v>
      </c>
      <c r="AF253" t="s">
        <v>3</v>
      </c>
      <c r="AG253" t="s">
        <v>3</v>
      </c>
      <c r="AH253" t="s">
        <v>3</v>
      </c>
      <c r="AI253" t="s">
        <v>3</v>
      </c>
      <c r="AJ253" t="s">
        <v>3</v>
      </c>
      <c r="AK253" t="s">
        <v>7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9</v>
      </c>
      <c r="AR253" s="1">
        <v>2.16644888E-4</v>
      </c>
      <c r="AS253" s="1">
        <v>3.3855112800000002E-25</v>
      </c>
      <c r="AT253">
        <v>13</v>
      </c>
      <c r="AU253" t="s">
        <v>10</v>
      </c>
      <c r="AV253">
        <v>1</v>
      </c>
      <c r="AW253">
        <v>0</v>
      </c>
      <c r="AX253">
        <v>0</v>
      </c>
      <c r="AY253">
        <v>0</v>
      </c>
      <c r="AZ253">
        <v>2</v>
      </c>
      <c r="BA253" t="s">
        <v>15</v>
      </c>
      <c r="BB253" t="s">
        <v>4</v>
      </c>
      <c r="BC253" t="s">
        <v>10</v>
      </c>
      <c r="BD253">
        <v>0</v>
      </c>
      <c r="BE253">
        <v>0</v>
      </c>
      <c r="BF253">
        <v>0</v>
      </c>
      <c r="BG253">
        <v>0</v>
      </c>
      <c r="BH253">
        <v>0</v>
      </c>
      <c r="BI253" t="s">
        <v>9</v>
      </c>
      <c r="BJ253">
        <v>-2.0921000000000001E-4</v>
      </c>
      <c r="BK253">
        <v>0</v>
      </c>
      <c r="BL253">
        <v>-5.6280000000000003E-5</v>
      </c>
      <c r="BM253" s="2">
        <f t="shared" si="3"/>
        <v>2.0388025608148227E-6</v>
      </c>
    </row>
    <row r="254" spans="1:65" x14ac:dyDescent="0.35">
      <c r="A254">
        <v>0</v>
      </c>
      <c r="B254" t="s">
        <v>3</v>
      </c>
      <c r="C254" t="s">
        <v>4</v>
      </c>
      <c r="D254">
        <v>0</v>
      </c>
      <c r="E254" t="s">
        <v>3</v>
      </c>
      <c r="F254" t="s">
        <v>5</v>
      </c>
      <c r="G254">
        <v>4376.6079339999997</v>
      </c>
      <c r="H254" t="s">
        <v>4</v>
      </c>
      <c r="I254">
        <v>990.16341899999998</v>
      </c>
      <c r="J254">
        <v>3386.4445150000001</v>
      </c>
      <c r="K254" t="s">
        <v>6</v>
      </c>
      <c r="L254" t="s">
        <v>7</v>
      </c>
      <c r="M254" t="s">
        <v>8</v>
      </c>
      <c r="N254" t="s">
        <v>6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 t="s">
        <v>7</v>
      </c>
      <c r="U254">
        <v>0</v>
      </c>
      <c r="V254">
        <v>1</v>
      </c>
      <c r="W254">
        <v>0</v>
      </c>
      <c r="X254">
        <v>5</v>
      </c>
      <c r="Y254">
        <v>0</v>
      </c>
      <c r="Z254" t="s">
        <v>15</v>
      </c>
      <c r="AA254" t="s">
        <v>4</v>
      </c>
      <c r="AB254" t="s">
        <v>6</v>
      </c>
      <c r="AC254" t="s">
        <v>7</v>
      </c>
      <c r="AD254" t="s">
        <v>8</v>
      </c>
      <c r="AE254" t="s">
        <v>6</v>
      </c>
      <c r="AF254" t="s">
        <v>3</v>
      </c>
      <c r="AG254" t="s">
        <v>3</v>
      </c>
      <c r="AH254" t="s">
        <v>3</v>
      </c>
      <c r="AI254" t="s">
        <v>3</v>
      </c>
      <c r="AJ254" t="s">
        <v>3</v>
      </c>
      <c r="AK254" t="s">
        <v>7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9</v>
      </c>
      <c r="AR254" s="1">
        <v>8.7252516299999994E-6</v>
      </c>
      <c r="AS254" s="1">
        <v>6.9265347000000004E-28</v>
      </c>
      <c r="AT254">
        <v>11</v>
      </c>
      <c r="AU254" t="s">
        <v>10</v>
      </c>
      <c r="AV254">
        <v>0</v>
      </c>
      <c r="AW254">
        <v>1</v>
      </c>
      <c r="AX254">
        <v>0</v>
      </c>
      <c r="AY254">
        <v>5</v>
      </c>
      <c r="AZ254">
        <v>0</v>
      </c>
      <c r="BA254" t="s">
        <v>15</v>
      </c>
      <c r="BB254" t="s">
        <v>4</v>
      </c>
      <c r="BC254" t="s">
        <v>10</v>
      </c>
      <c r="BD254">
        <v>0</v>
      </c>
      <c r="BE254">
        <v>0</v>
      </c>
      <c r="BF254">
        <v>0</v>
      </c>
      <c r="BG254">
        <v>0</v>
      </c>
      <c r="BH254">
        <v>0</v>
      </c>
      <c r="BI254" t="s">
        <v>9</v>
      </c>
      <c r="BJ254">
        <v>-4.42E-6</v>
      </c>
      <c r="BK254">
        <v>0</v>
      </c>
      <c r="BL254">
        <v>7.52E-6</v>
      </c>
      <c r="BM254" s="2">
        <f t="shared" si="3"/>
        <v>4.1712567219485763E-9</v>
      </c>
    </row>
    <row r="255" spans="1:65" x14ac:dyDescent="0.35">
      <c r="A255">
        <v>0</v>
      </c>
      <c r="B255" t="s">
        <v>11</v>
      </c>
      <c r="C255" t="s">
        <v>4</v>
      </c>
      <c r="D255">
        <v>0</v>
      </c>
      <c r="E255" t="s">
        <v>3</v>
      </c>
      <c r="F255" t="s">
        <v>5</v>
      </c>
      <c r="G255">
        <v>4006.2182670000002</v>
      </c>
      <c r="H255" t="s">
        <v>4</v>
      </c>
      <c r="I255">
        <v>990.16341899999998</v>
      </c>
      <c r="J255">
        <v>3016.0548480000002</v>
      </c>
      <c r="K255" t="s">
        <v>6</v>
      </c>
      <c r="L255" t="s">
        <v>7</v>
      </c>
      <c r="M255" t="s">
        <v>8</v>
      </c>
      <c r="N255" t="s">
        <v>6</v>
      </c>
      <c r="O255" t="s">
        <v>3</v>
      </c>
      <c r="P255" t="s">
        <v>3</v>
      </c>
      <c r="Q255" t="s">
        <v>3</v>
      </c>
      <c r="R255" t="s">
        <v>3</v>
      </c>
      <c r="S255" t="s">
        <v>11</v>
      </c>
      <c r="T255" t="s">
        <v>7</v>
      </c>
      <c r="U255">
        <v>0</v>
      </c>
      <c r="V255">
        <v>2</v>
      </c>
      <c r="W255">
        <v>0</v>
      </c>
      <c r="X255">
        <v>0</v>
      </c>
      <c r="Y255">
        <v>0</v>
      </c>
      <c r="Z255" t="s">
        <v>14</v>
      </c>
      <c r="AA255" t="s">
        <v>4</v>
      </c>
      <c r="AB255" t="s">
        <v>6</v>
      </c>
      <c r="AC255" t="s">
        <v>7</v>
      </c>
      <c r="AD255" t="s">
        <v>8</v>
      </c>
      <c r="AE255" t="s">
        <v>6</v>
      </c>
      <c r="AF255" t="s">
        <v>3</v>
      </c>
      <c r="AG255" t="s">
        <v>3</v>
      </c>
      <c r="AH255" t="s">
        <v>3</v>
      </c>
      <c r="AI255" t="s">
        <v>3</v>
      </c>
      <c r="AJ255" t="s">
        <v>3</v>
      </c>
      <c r="AK255" t="s">
        <v>7</v>
      </c>
      <c r="AL255">
        <v>0</v>
      </c>
      <c r="AM255">
        <v>0</v>
      </c>
      <c r="AN255">
        <v>0</v>
      </c>
      <c r="AO255">
        <v>0</v>
      </c>
      <c r="AP255">
        <v>0</v>
      </c>
      <c r="AQ255" t="s">
        <v>9</v>
      </c>
      <c r="AR255" s="1">
        <v>7.9507486099999997E-5</v>
      </c>
      <c r="AS255" s="1">
        <v>5.1223734300000002E-26</v>
      </c>
      <c r="AT255">
        <v>11</v>
      </c>
      <c r="AU255" t="s">
        <v>10</v>
      </c>
      <c r="AV255">
        <v>0</v>
      </c>
      <c r="AW255">
        <v>2</v>
      </c>
      <c r="AX255">
        <v>0</v>
      </c>
      <c r="AY255">
        <v>0</v>
      </c>
      <c r="AZ255">
        <v>0</v>
      </c>
      <c r="BA255" t="s">
        <v>14</v>
      </c>
      <c r="BB255" t="s">
        <v>4</v>
      </c>
      <c r="BC255" t="s">
        <v>10</v>
      </c>
      <c r="BD255">
        <v>0</v>
      </c>
      <c r="BE255">
        <v>0</v>
      </c>
      <c r="BF255">
        <v>0</v>
      </c>
      <c r="BG255">
        <v>0</v>
      </c>
      <c r="BH255">
        <v>0</v>
      </c>
      <c r="BI255" t="s">
        <v>9</v>
      </c>
      <c r="BJ255">
        <v>0</v>
      </c>
      <c r="BK255">
        <v>7.9510000000000003E-5</v>
      </c>
      <c r="BL255">
        <v>0</v>
      </c>
      <c r="BM255" s="2">
        <f t="shared" si="3"/>
        <v>3.0847654025638948E-7</v>
      </c>
    </row>
    <row r="256" spans="1:65" x14ac:dyDescent="0.35">
      <c r="A256">
        <v>0</v>
      </c>
      <c r="B256" t="s">
        <v>3</v>
      </c>
      <c r="C256" t="s">
        <v>4</v>
      </c>
      <c r="D256">
        <v>0</v>
      </c>
      <c r="E256" t="s">
        <v>3</v>
      </c>
      <c r="F256" t="s">
        <v>5</v>
      </c>
      <c r="G256">
        <v>3807.453602</v>
      </c>
      <c r="H256" t="s">
        <v>4</v>
      </c>
      <c r="I256">
        <v>990.16341899999998</v>
      </c>
      <c r="J256">
        <v>2817.2901830000001</v>
      </c>
      <c r="K256" t="s">
        <v>6</v>
      </c>
      <c r="L256" t="s">
        <v>7</v>
      </c>
      <c r="M256" t="s">
        <v>8</v>
      </c>
      <c r="N256" t="s">
        <v>6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 t="s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 t="s">
        <v>27</v>
      </c>
      <c r="AA256" t="s">
        <v>4</v>
      </c>
      <c r="AB256" t="s">
        <v>6</v>
      </c>
      <c r="AC256" t="s">
        <v>7</v>
      </c>
      <c r="AD256" t="s">
        <v>8</v>
      </c>
      <c r="AE256" t="s">
        <v>6</v>
      </c>
      <c r="AF256" t="s">
        <v>3</v>
      </c>
      <c r="AG256" t="s">
        <v>3</v>
      </c>
      <c r="AH256" t="s">
        <v>3</v>
      </c>
      <c r="AI256" t="s">
        <v>3</v>
      </c>
      <c r="AJ256" t="s">
        <v>3</v>
      </c>
      <c r="AK256" t="s">
        <v>7</v>
      </c>
      <c r="AL256">
        <v>0</v>
      </c>
      <c r="AM256">
        <v>0</v>
      </c>
      <c r="AN256">
        <v>0</v>
      </c>
      <c r="AO256">
        <v>0</v>
      </c>
      <c r="AP256">
        <v>0</v>
      </c>
      <c r="AQ256" t="s">
        <v>9</v>
      </c>
      <c r="AR256" s="1">
        <v>2.17294876E-5</v>
      </c>
      <c r="AS256" s="1">
        <v>3.5739311100000003E-27</v>
      </c>
      <c r="AT256">
        <v>11</v>
      </c>
      <c r="AU256" t="s">
        <v>10</v>
      </c>
      <c r="AV256">
        <v>1</v>
      </c>
      <c r="AW256">
        <v>0</v>
      </c>
      <c r="AX256">
        <v>0</v>
      </c>
      <c r="AY256">
        <v>0</v>
      </c>
      <c r="AZ256">
        <v>0</v>
      </c>
      <c r="BA256" t="s">
        <v>27</v>
      </c>
      <c r="BB256" t="s">
        <v>4</v>
      </c>
      <c r="BC256" t="s">
        <v>10</v>
      </c>
      <c r="BD256">
        <v>0</v>
      </c>
      <c r="BE256">
        <v>0</v>
      </c>
      <c r="BF256">
        <v>0</v>
      </c>
      <c r="BG256">
        <v>0</v>
      </c>
      <c r="BH256">
        <v>0</v>
      </c>
      <c r="BI256" t="s">
        <v>9</v>
      </c>
      <c r="BJ256">
        <v>-1.5860000000000001E-5</v>
      </c>
      <c r="BK256">
        <v>0</v>
      </c>
      <c r="BL256">
        <v>-1.485E-5</v>
      </c>
      <c r="BM256" s="2">
        <f t="shared" si="3"/>
        <v>2.1522716353920288E-8</v>
      </c>
    </row>
    <row r="257" spans="1:65" x14ac:dyDescent="0.35">
      <c r="A257">
        <v>0</v>
      </c>
      <c r="B257" t="s">
        <v>3</v>
      </c>
      <c r="C257" t="s">
        <v>4</v>
      </c>
      <c r="D257">
        <v>0</v>
      </c>
      <c r="E257" t="s">
        <v>3</v>
      </c>
      <c r="F257" t="s">
        <v>5</v>
      </c>
      <c r="G257">
        <v>4122.0320060000004</v>
      </c>
      <c r="H257" t="s">
        <v>4</v>
      </c>
      <c r="I257">
        <v>990.16341899999998</v>
      </c>
      <c r="J257">
        <v>3131.8685869999999</v>
      </c>
      <c r="K257" t="s">
        <v>6</v>
      </c>
      <c r="L257" t="s">
        <v>7</v>
      </c>
      <c r="M257" t="s">
        <v>8</v>
      </c>
      <c r="N257" t="s">
        <v>6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 t="s">
        <v>7</v>
      </c>
      <c r="U257">
        <v>0</v>
      </c>
      <c r="V257">
        <v>0</v>
      </c>
      <c r="W257">
        <v>0</v>
      </c>
      <c r="X257">
        <v>7</v>
      </c>
      <c r="Y257">
        <v>0</v>
      </c>
      <c r="Z257" t="s">
        <v>9</v>
      </c>
      <c r="AA257" t="s">
        <v>4</v>
      </c>
      <c r="AB257" t="s">
        <v>6</v>
      </c>
      <c r="AC257" t="s">
        <v>7</v>
      </c>
      <c r="AD257" t="s">
        <v>8</v>
      </c>
      <c r="AE257" t="s">
        <v>6</v>
      </c>
      <c r="AF257" t="s">
        <v>3</v>
      </c>
      <c r="AG257" t="s">
        <v>3</v>
      </c>
      <c r="AH257" t="s">
        <v>3</v>
      </c>
      <c r="AI257" t="s">
        <v>3</v>
      </c>
      <c r="AJ257" t="s">
        <v>3</v>
      </c>
      <c r="AK257" t="s">
        <v>7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9</v>
      </c>
      <c r="AR257" s="1">
        <v>5.17966134E-5</v>
      </c>
      <c r="AS257" s="1">
        <v>2.25747166E-26</v>
      </c>
      <c r="AT257">
        <v>13</v>
      </c>
      <c r="AU257" t="s">
        <v>10</v>
      </c>
      <c r="AV257">
        <v>0</v>
      </c>
      <c r="AW257">
        <v>0</v>
      </c>
      <c r="AX257">
        <v>0</v>
      </c>
      <c r="AY257">
        <v>7</v>
      </c>
      <c r="AZ257">
        <v>0</v>
      </c>
      <c r="BA257" t="s">
        <v>9</v>
      </c>
      <c r="BB257" t="s">
        <v>4</v>
      </c>
      <c r="BC257" t="s">
        <v>10</v>
      </c>
      <c r="BD257">
        <v>0</v>
      </c>
      <c r="BE257">
        <v>0</v>
      </c>
      <c r="BF257">
        <v>0</v>
      </c>
      <c r="BG257">
        <v>0</v>
      </c>
      <c r="BH257">
        <v>0</v>
      </c>
      <c r="BI257" t="s">
        <v>9</v>
      </c>
      <c r="BJ257">
        <v>-4.8959999999999999E-5</v>
      </c>
      <c r="BK257">
        <v>0</v>
      </c>
      <c r="BL257">
        <v>-1.6909999999999999E-5</v>
      </c>
      <c r="BM257" s="2">
        <f t="shared" si="3"/>
        <v>1.3594812188529727E-7</v>
      </c>
    </row>
    <row r="258" spans="1:65" x14ac:dyDescent="0.35">
      <c r="A258">
        <v>0</v>
      </c>
      <c r="B258" t="s">
        <v>11</v>
      </c>
      <c r="C258" t="s">
        <v>4</v>
      </c>
      <c r="D258">
        <v>0</v>
      </c>
      <c r="E258" t="s">
        <v>3</v>
      </c>
      <c r="F258" t="s">
        <v>5</v>
      </c>
      <c r="G258">
        <v>4787.6196440000003</v>
      </c>
      <c r="H258" t="s">
        <v>4</v>
      </c>
      <c r="I258">
        <v>990.16341899999998</v>
      </c>
      <c r="J258">
        <v>3797.456224</v>
      </c>
      <c r="K258" t="s">
        <v>6</v>
      </c>
      <c r="L258" t="s">
        <v>7</v>
      </c>
      <c r="M258" t="s">
        <v>8</v>
      </c>
      <c r="N258" t="s">
        <v>6</v>
      </c>
      <c r="O258" t="s">
        <v>3</v>
      </c>
      <c r="P258" t="s">
        <v>3</v>
      </c>
      <c r="Q258" t="s">
        <v>3</v>
      </c>
      <c r="R258" t="s">
        <v>3</v>
      </c>
      <c r="S258" t="s">
        <v>11</v>
      </c>
      <c r="T258" t="s">
        <v>7</v>
      </c>
      <c r="U258">
        <v>0</v>
      </c>
      <c r="V258">
        <v>1</v>
      </c>
      <c r="W258">
        <v>0</v>
      </c>
      <c r="X258">
        <v>3</v>
      </c>
      <c r="Y258">
        <v>0</v>
      </c>
      <c r="Z258" t="s">
        <v>19</v>
      </c>
      <c r="AA258" t="s">
        <v>4</v>
      </c>
      <c r="AB258" t="s">
        <v>6</v>
      </c>
      <c r="AC258" t="s">
        <v>7</v>
      </c>
      <c r="AD258" t="s">
        <v>8</v>
      </c>
      <c r="AE258" t="s">
        <v>6</v>
      </c>
      <c r="AF258" t="s">
        <v>3</v>
      </c>
      <c r="AG258" t="s">
        <v>3</v>
      </c>
      <c r="AH258" t="s">
        <v>3</v>
      </c>
      <c r="AI258" t="s">
        <v>3</v>
      </c>
      <c r="AJ258" t="s">
        <v>3</v>
      </c>
      <c r="AK258" t="s">
        <v>7</v>
      </c>
      <c r="AL258">
        <v>0</v>
      </c>
      <c r="AM258">
        <v>0</v>
      </c>
      <c r="AN258">
        <v>0</v>
      </c>
      <c r="AO258">
        <v>0</v>
      </c>
      <c r="AP258">
        <v>0</v>
      </c>
      <c r="AQ258" t="s">
        <v>9</v>
      </c>
      <c r="AR258" s="1">
        <v>1.5379559199999999E-5</v>
      </c>
      <c r="AS258" s="1">
        <v>2.41321886E-27</v>
      </c>
      <c r="AT258">
        <v>12</v>
      </c>
      <c r="AU258" t="s">
        <v>10</v>
      </c>
      <c r="AV258">
        <v>0</v>
      </c>
      <c r="AW258">
        <v>1</v>
      </c>
      <c r="AX258">
        <v>0</v>
      </c>
      <c r="AY258">
        <v>3</v>
      </c>
      <c r="AZ258">
        <v>0</v>
      </c>
      <c r="BA258" t="s">
        <v>19</v>
      </c>
      <c r="BB258" t="s">
        <v>4</v>
      </c>
      <c r="BC258" t="s">
        <v>10</v>
      </c>
      <c r="BD258">
        <v>0</v>
      </c>
      <c r="BE258">
        <v>0</v>
      </c>
      <c r="BF258">
        <v>0</v>
      </c>
      <c r="BG258">
        <v>0</v>
      </c>
      <c r="BH258">
        <v>0</v>
      </c>
      <c r="BI258" t="s">
        <v>9</v>
      </c>
      <c r="BJ258">
        <v>0</v>
      </c>
      <c r="BK258">
        <v>-1.5379999999999998E-5</v>
      </c>
      <c r="BL258">
        <v>0</v>
      </c>
      <c r="BM258" s="2">
        <f t="shared" ref="BM258:BM321" si="4">AS258*10^(-5)*6.0221408*10^(23)</f>
        <v>1.4532743756135488E-8</v>
      </c>
    </row>
    <row r="259" spans="1:65" x14ac:dyDescent="0.35">
      <c r="A259">
        <v>0</v>
      </c>
      <c r="B259" t="s">
        <v>11</v>
      </c>
      <c r="C259" t="s">
        <v>4</v>
      </c>
      <c r="D259">
        <v>0</v>
      </c>
      <c r="E259" t="s">
        <v>3</v>
      </c>
      <c r="F259" t="s">
        <v>5</v>
      </c>
      <c r="G259">
        <v>3529.641044</v>
      </c>
      <c r="H259" t="s">
        <v>4</v>
      </c>
      <c r="I259">
        <v>990.16341899999998</v>
      </c>
      <c r="J259">
        <v>2539.477625</v>
      </c>
      <c r="K259" t="s">
        <v>6</v>
      </c>
      <c r="L259" t="s">
        <v>7</v>
      </c>
      <c r="M259" t="s">
        <v>8</v>
      </c>
      <c r="N259" t="s">
        <v>6</v>
      </c>
      <c r="O259" t="s">
        <v>3</v>
      </c>
      <c r="P259" t="s">
        <v>3</v>
      </c>
      <c r="Q259" t="s">
        <v>3</v>
      </c>
      <c r="R259" t="s">
        <v>3</v>
      </c>
      <c r="S259" t="s">
        <v>11</v>
      </c>
      <c r="T259" t="s">
        <v>7</v>
      </c>
      <c r="U259">
        <v>0</v>
      </c>
      <c r="V259">
        <v>0</v>
      </c>
      <c r="W259">
        <v>0</v>
      </c>
      <c r="X259">
        <v>1</v>
      </c>
      <c r="Y259">
        <v>1</v>
      </c>
      <c r="Z259" t="s">
        <v>19</v>
      </c>
      <c r="AA259" t="s">
        <v>4</v>
      </c>
      <c r="AB259" t="s">
        <v>6</v>
      </c>
      <c r="AC259" t="s">
        <v>7</v>
      </c>
      <c r="AD259" t="s">
        <v>8</v>
      </c>
      <c r="AE259" t="s">
        <v>6</v>
      </c>
      <c r="AF259" t="s">
        <v>3</v>
      </c>
      <c r="AG259" t="s">
        <v>3</v>
      </c>
      <c r="AH259" t="s">
        <v>3</v>
      </c>
      <c r="AI259" t="s">
        <v>3</v>
      </c>
      <c r="AJ259" t="s">
        <v>3</v>
      </c>
      <c r="AK259" t="s">
        <v>7</v>
      </c>
      <c r="AL259">
        <v>0</v>
      </c>
      <c r="AM259">
        <v>0</v>
      </c>
      <c r="AN259">
        <v>0</v>
      </c>
      <c r="AO259">
        <v>0</v>
      </c>
      <c r="AP259">
        <v>0</v>
      </c>
      <c r="AQ259" t="s">
        <v>9</v>
      </c>
      <c r="AR259" s="1">
        <v>1.00714462E-4</v>
      </c>
      <c r="AS259" s="1">
        <v>6.92057482E-26</v>
      </c>
      <c r="AT259">
        <v>11</v>
      </c>
      <c r="AU259" t="s">
        <v>10</v>
      </c>
      <c r="AV259">
        <v>0</v>
      </c>
      <c r="AW259">
        <v>0</v>
      </c>
      <c r="AX259">
        <v>0</v>
      </c>
      <c r="AY259">
        <v>1</v>
      </c>
      <c r="AZ259">
        <v>1</v>
      </c>
      <c r="BA259" t="s">
        <v>19</v>
      </c>
      <c r="BB259" t="s">
        <v>4</v>
      </c>
      <c r="BC259" t="s">
        <v>10</v>
      </c>
      <c r="BD259">
        <v>0</v>
      </c>
      <c r="BE259">
        <v>0</v>
      </c>
      <c r="BF259">
        <v>0</v>
      </c>
      <c r="BG259">
        <v>0</v>
      </c>
      <c r="BH259">
        <v>0</v>
      </c>
      <c r="BI259" t="s">
        <v>9</v>
      </c>
      <c r="BJ259">
        <v>0</v>
      </c>
      <c r="BK259">
        <v>-1.0071E-4</v>
      </c>
      <c r="BL259">
        <v>0</v>
      </c>
      <c r="BM259" s="2">
        <f t="shared" si="4"/>
        <v>4.1676675982974658E-7</v>
      </c>
    </row>
    <row r="260" spans="1:65" x14ac:dyDescent="0.35">
      <c r="A260">
        <v>0</v>
      </c>
      <c r="B260" t="s">
        <v>3</v>
      </c>
      <c r="C260" t="s">
        <v>4</v>
      </c>
      <c r="D260">
        <v>0</v>
      </c>
      <c r="E260" t="s">
        <v>3</v>
      </c>
      <c r="F260" t="s">
        <v>5</v>
      </c>
      <c r="G260">
        <v>4598.3086059999996</v>
      </c>
      <c r="H260" t="s">
        <v>4</v>
      </c>
      <c r="I260">
        <v>990.16341899999998</v>
      </c>
      <c r="J260">
        <v>3608.1451870000001</v>
      </c>
      <c r="K260" t="s">
        <v>6</v>
      </c>
      <c r="L260" t="s">
        <v>7</v>
      </c>
      <c r="M260" t="s">
        <v>8</v>
      </c>
      <c r="N260" t="s">
        <v>6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 t="s">
        <v>7</v>
      </c>
      <c r="U260">
        <v>3</v>
      </c>
      <c r="V260">
        <v>0</v>
      </c>
      <c r="W260">
        <v>0</v>
      </c>
      <c r="X260">
        <v>0</v>
      </c>
      <c r="Y260">
        <v>1</v>
      </c>
      <c r="Z260" t="s">
        <v>15</v>
      </c>
      <c r="AA260" t="s">
        <v>4</v>
      </c>
      <c r="AB260" t="s">
        <v>6</v>
      </c>
      <c r="AC260" t="s">
        <v>7</v>
      </c>
      <c r="AD260" t="s">
        <v>8</v>
      </c>
      <c r="AE260" t="s">
        <v>6</v>
      </c>
      <c r="AF260" t="s">
        <v>3</v>
      </c>
      <c r="AG260" t="s">
        <v>3</v>
      </c>
      <c r="AH260" t="s">
        <v>3</v>
      </c>
      <c r="AI260" t="s">
        <v>3</v>
      </c>
      <c r="AJ260" t="s">
        <v>3</v>
      </c>
      <c r="AK260" t="s">
        <v>7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9</v>
      </c>
      <c r="AR260" s="1">
        <v>5.3679854999999998E-4</v>
      </c>
      <c r="AS260" s="1">
        <v>2.79333372E-24</v>
      </c>
      <c r="AT260">
        <v>13</v>
      </c>
      <c r="AU260" t="s">
        <v>10</v>
      </c>
      <c r="AV260">
        <v>3</v>
      </c>
      <c r="AW260">
        <v>0</v>
      </c>
      <c r="AX260">
        <v>0</v>
      </c>
      <c r="AY260">
        <v>0</v>
      </c>
      <c r="AZ260">
        <v>1</v>
      </c>
      <c r="BA260" t="s">
        <v>15</v>
      </c>
      <c r="BB260" t="s">
        <v>4</v>
      </c>
      <c r="BC260" t="s">
        <v>10</v>
      </c>
      <c r="BD260">
        <v>0</v>
      </c>
      <c r="BE260">
        <v>0</v>
      </c>
      <c r="BF260">
        <v>0</v>
      </c>
      <c r="BG260">
        <v>0</v>
      </c>
      <c r="BH260">
        <v>0</v>
      </c>
      <c r="BI260" t="s">
        <v>9</v>
      </c>
      <c r="BJ260">
        <v>-4.0358000000000001E-4</v>
      </c>
      <c r="BK260">
        <v>0</v>
      </c>
      <c r="BL260">
        <v>3.5394000000000002E-4</v>
      </c>
      <c r="BM260" s="2">
        <f t="shared" si="4"/>
        <v>1.6821848963227775E-5</v>
      </c>
    </row>
    <row r="261" spans="1:65" x14ac:dyDescent="0.35">
      <c r="A261">
        <v>0</v>
      </c>
      <c r="B261" t="s">
        <v>3</v>
      </c>
      <c r="C261" t="s">
        <v>4</v>
      </c>
      <c r="D261">
        <v>0</v>
      </c>
      <c r="E261" t="s">
        <v>3</v>
      </c>
      <c r="F261" t="s">
        <v>5</v>
      </c>
      <c r="G261">
        <v>2263.6893759999998</v>
      </c>
      <c r="H261" t="s">
        <v>4</v>
      </c>
      <c r="I261">
        <v>990.16341899999998</v>
      </c>
      <c r="J261">
        <v>1273.5259570000001</v>
      </c>
      <c r="K261" t="s">
        <v>6</v>
      </c>
      <c r="L261" t="s">
        <v>7</v>
      </c>
      <c r="M261" t="s">
        <v>8</v>
      </c>
      <c r="N261" t="s">
        <v>6</v>
      </c>
      <c r="O261" t="s">
        <v>3</v>
      </c>
      <c r="P261" t="s">
        <v>3</v>
      </c>
      <c r="Q261" t="s">
        <v>3</v>
      </c>
      <c r="R261" t="s">
        <v>3</v>
      </c>
      <c r="S261" t="s">
        <v>3</v>
      </c>
      <c r="T261" t="s">
        <v>7</v>
      </c>
      <c r="U261">
        <v>0</v>
      </c>
      <c r="V261">
        <v>0</v>
      </c>
      <c r="W261">
        <v>0</v>
      </c>
      <c r="X261">
        <v>1</v>
      </c>
      <c r="Y261">
        <v>0</v>
      </c>
      <c r="Z261" t="s">
        <v>21</v>
      </c>
      <c r="AA261" t="s">
        <v>4</v>
      </c>
      <c r="AB261" t="s">
        <v>6</v>
      </c>
      <c r="AC261" t="s">
        <v>7</v>
      </c>
      <c r="AD261" t="s">
        <v>8</v>
      </c>
      <c r="AE261" t="s">
        <v>6</v>
      </c>
      <c r="AF261" t="s">
        <v>3</v>
      </c>
      <c r="AG261" t="s">
        <v>3</v>
      </c>
      <c r="AH261" t="s">
        <v>3</v>
      </c>
      <c r="AI261" t="s">
        <v>3</v>
      </c>
      <c r="AJ261" t="s">
        <v>3</v>
      </c>
      <c r="AK261" t="s">
        <v>7</v>
      </c>
      <c r="AL261">
        <v>0</v>
      </c>
      <c r="AM261">
        <v>0</v>
      </c>
      <c r="AN261">
        <v>0</v>
      </c>
      <c r="AO261">
        <v>0</v>
      </c>
      <c r="AP261">
        <v>0</v>
      </c>
      <c r="AQ261" t="s">
        <v>9</v>
      </c>
      <c r="AR261" s="1">
        <v>4.1594057900000002E-2</v>
      </c>
      <c r="AS261" s="1">
        <v>5.9068749199999998E-21</v>
      </c>
      <c r="AT261">
        <v>11</v>
      </c>
      <c r="AU261" t="s">
        <v>10</v>
      </c>
      <c r="AV261">
        <v>0</v>
      </c>
      <c r="AW261">
        <v>0</v>
      </c>
      <c r="AX261">
        <v>0</v>
      </c>
      <c r="AY261">
        <v>1</v>
      </c>
      <c r="AZ261">
        <v>0</v>
      </c>
      <c r="BA261" t="s">
        <v>21</v>
      </c>
      <c r="BB261" t="s">
        <v>4</v>
      </c>
      <c r="BC261" t="s">
        <v>10</v>
      </c>
      <c r="BD261">
        <v>0</v>
      </c>
      <c r="BE261">
        <v>0</v>
      </c>
      <c r="BF261">
        <v>0</v>
      </c>
      <c r="BG261">
        <v>0</v>
      </c>
      <c r="BH261">
        <v>0</v>
      </c>
      <c r="BI261" t="s">
        <v>9</v>
      </c>
      <c r="BJ261">
        <v>3.8371210000000003E-2</v>
      </c>
      <c r="BK261">
        <v>0</v>
      </c>
      <c r="BL261">
        <v>-1.6053540000000002E-2</v>
      </c>
      <c r="BM261" s="2">
        <f t="shared" si="4"/>
        <v>3.5572032456228732E-2</v>
      </c>
    </row>
    <row r="262" spans="1:65" x14ac:dyDescent="0.35">
      <c r="A262">
        <v>0</v>
      </c>
      <c r="B262" t="s">
        <v>11</v>
      </c>
      <c r="C262" t="s">
        <v>4</v>
      </c>
      <c r="D262">
        <v>0</v>
      </c>
      <c r="E262" t="s">
        <v>3</v>
      </c>
      <c r="F262" t="s">
        <v>5</v>
      </c>
      <c r="G262">
        <v>2979.4966380000001</v>
      </c>
      <c r="H262" t="s">
        <v>4</v>
      </c>
      <c r="I262">
        <v>990.16341899999998</v>
      </c>
      <c r="J262">
        <v>1989.3332190000001</v>
      </c>
      <c r="K262" t="s">
        <v>6</v>
      </c>
      <c r="L262" t="s">
        <v>7</v>
      </c>
      <c r="M262" t="s">
        <v>8</v>
      </c>
      <c r="N262" t="s">
        <v>6</v>
      </c>
      <c r="O262" t="s">
        <v>3</v>
      </c>
      <c r="P262" t="s">
        <v>3</v>
      </c>
      <c r="Q262" t="s">
        <v>3</v>
      </c>
      <c r="R262" t="s">
        <v>3</v>
      </c>
      <c r="S262" t="s">
        <v>11</v>
      </c>
      <c r="T262" t="s">
        <v>7</v>
      </c>
      <c r="U262">
        <v>0</v>
      </c>
      <c r="V262">
        <v>0</v>
      </c>
      <c r="W262">
        <v>0</v>
      </c>
      <c r="X262">
        <v>1</v>
      </c>
      <c r="Y262">
        <v>1</v>
      </c>
      <c r="Z262" t="s">
        <v>13</v>
      </c>
      <c r="AA262" t="s">
        <v>4</v>
      </c>
      <c r="AB262" t="s">
        <v>6</v>
      </c>
      <c r="AC262" t="s">
        <v>7</v>
      </c>
      <c r="AD262" t="s">
        <v>8</v>
      </c>
      <c r="AE262" t="s">
        <v>6</v>
      </c>
      <c r="AF262" t="s">
        <v>3</v>
      </c>
      <c r="AG262" t="s">
        <v>3</v>
      </c>
      <c r="AH262" t="s">
        <v>3</v>
      </c>
      <c r="AI262" t="s">
        <v>3</v>
      </c>
      <c r="AJ262" t="s">
        <v>3</v>
      </c>
      <c r="AK262" t="s">
        <v>7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9</v>
      </c>
      <c r="AR262" s="1">
        <v>1.3076438000000001E-4</v>
      </c>
      <c r="AS262" s="1">
        <v>9.1384667300000004E-26</v>
      </c>
      <c r="AT262">
        <v>12</v>
      </c>
      <c r="AU262" t="s">
        <v>10</v>
      </c>
      <c r="AV262">
        <v>0</v>
      </c>
      <c r="AW262">
        <v>0</v>
      </c>
      <c r="AX262">
        <v>0</v>
      </c>
      <c r="AY262">
        <v>1</v>
      </c>
      <c r="AZ262">
        <v>1</v>
      </c>
      <c r="BA262" t="s">
        <v>13</v>
      </c>
      <c r="BB262" t="s">
        <v>4</v>
      </c>
      <c r="BC262" t="s">
        <v>10</v>
      </c>
      <c r="BD262">
        <v>0</v>
      </c>
      <c r="BE262">
        <v>0</v>
      </c>
      <c r="BF262">
        <v>0</v>
      </c>
      <c r="BG262">
        <v>0</v>
      </c>
      <c r="BH262">
        <v>0</v>
      </c>
      <c r="BI262" t="s">
        <v>9</v>
      </c>
      <c r="BJ262">
        <v>0</v>
      </c>
      <c r="BK262">
        <v>1.3076E-4</v>
      </c>
      <c r="BL262">
        <v>0</v>
      </c>
      <c r="BM262" s="2">
        <f t="shared" si="4"/>
        <v>5.5033133344175584E-7</v>
      </c>
    </row>
    <row r="263" spans="1:65" x14ac:dyDescent="0.35">
      <c r="A263">
        <v>0</v>
      </c>
      <c r="B263" t="s">
        <v>3</v>
      </c>
      <c r="C263" t="s">
        <v>4</v>
      </c>
      <c r="D263">
        <v>0</v>
      </c>
      <c r="E263" t="s">
        <v>3</v>
      </c>
      <c r="F263" t="s">
        <v>5</v>
      </c>
      <c r="G263">
        <v>3922.2161590000001</v>
      </c>
      <c r="H263" t="s">
        <v>4</v>
      </c>
      <c r="I263">
        <v>990.16341899999998</v>
      </c>
      <c r="J263">
        <v>2932.0527400000001</v>
      </c>
      <c r="K263" t="s">
        <v>6</v>
      </c>
      <c r="L263" t="s">
        <v>7</v>
      </c>
      <c r="M263" t="s">
        <v>8</v>
      </c>
      <c r="N263" t="s">
        <v>6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 t="s">
        <v>7</v>
      </c>
      <c r="U263">
        <v>2</v>
      </c>
      <c r="V263">
        <v>0</v>
      </c>
      <c r="W263">
        <v>0</v>
      </c>
      <c r="X263">
        <v>1</v>
      </c>
      <c r="Y263">
        <v>0</v>
      </c>
      <c r="Z263" t="s">
        <v>24</v>
      </c>
      <c r="AA263" t="s">
        <v>4</v>
      </c>
      <c r="AB263" t="s">
        <v>6</v>
      </c>
      <c r="AC263" t="s">
        <v>7</v>
      </c>
      <c r="AD263" t="s">
        <v>8</v>
      </c>
      <c r="AE263" t="s">
        <v>6</v>
      </c>
      <c r="AF263" t="s">
        <v>3</v>
      </c>
      <c r="AG263" t="s">
        <v>3</v>
      </c>
      <c r="AH263" t="s">
        <v>3</v>
      </c>
      <c r="AI263" t="s">
        <v>3</v>
      </c>
      <c r="AJ263" t="s">
        <v>3</v>
      </c>
      <c r="AK263" t="s">
        <v>7</v>
      </c>
      <c r="AL263">
        <v>0</v>
      </c>
      <c r="AM263">
        <v>0</v>
      </c>
      <c r="AN263">
        <v>0</v>
      </c>
      <c r="AO263">
        <v>0</v>
      </c>
      <c r="AP263">
        <v>0</v>
      </c>
      <c r="AQ263" t="s">
        <v>9</v>
      </c>
      <c r="AR263" s="1">
        <v>2.1874585299999999E-4</v>
      </c>
      <c r="AS263" s="1">
        <v>3.76935716E-25</v>
      </c>
      <c r="AT263">
        <v>11</v>
      </c>
      <c r="AU263" t="s">
        <v>10</v>
      </c>
      <c r="AV263">
        <v>2</v>
      </c>
      <c r="AW263">
        <v>0</v>
      </c>
      <c r="AX263">
        <v>0</v>
      </c>
      <c r="AY263">
        <v>1</v>
      </c>
      <c r="AZ263">
        <v>0</v>
      </c>
      <c r="BA263" t="s">
        <v>24</v>
      </c>
      <c r="BB263" t="s">
        <v>4</v>
      </c>
      <c r="BC263" t="s">
        <v>10</v>
      </c>
      <c r="BD263">
        <v>0</v>
      </c>
      <c r="BE263">
        <v>0</v>
      </c>
      <c r="BF263">
        <v>0</v>
      </c>
      <c r="BG263">
        <v>0</v>
      </c>
      <c r="BH263">
        <v>0</v>
      </c>
      <c r="BI263" t="s">
        <v>9</v>
      </c>
      <c r="BJ263">
        <v>-2.1845999999999999E-4</v>
      </c>
      <c r="BK263">
        <v>0</v>
      </c>
      <c r="BL263">
        <v>-1.1209999999999999E-5</v>
      </c>
      <c r="BM263" s="2">
        <f t="shared" si="4"/>
        <v>2.2699599543008128E-6</v>
      </c>
    </row>
    <row r="264" spans="1:65" x14ac:dyDescent="0.35">
      <c r="A264">
        <v>0</v>
      </c>
      <c r="B264" t="s">
        <v>11</v>
      </c>
      <c r="C264" t="s">
        <v>4</v>
      </c>
      <c r="D264">
        <v>0</v>
      </c>
      <c r="E264" t="s">
        <v>3</v>
      </c>
      <c r="F264" t="s">
        <v>5</v>
      </c>
      <c r="G264">
        <v>3396.3494300000002</v>
      </c>
      <c r="H264" t="s">
        <v>4</v>
      </c>
      <c r="I264">
        <v>990.16341899999998</v>
      </c>
      <c r="J264">
        <v>2406.1860109999998</v>
      </c>
      <c r="K264" t="s">
        <v>6</v>
      </c>
      <c r="L264" t="s">
        <v>7</v>
      </c>
      <c r="M264" t="s">
        <v>8</v>
      </c>
      <c r="N264" t="s">
        <v>6</v>
      </c>
      <c r="O264" t="s">
        <v>3</v>
      </c>
      <c r="P264" t="s">
        <v>3</v>
      </c>
      <c r="Q264" t="s">
        <v>3</v>
      </c>
      <c r="R264" t="s">
        <v>3</v>
      </c>
      <c r="S264" t="s">
        <v>11</v>
      </c>
      <c r="T264" t="s">
        <v>7</v>
      </c>
      <c r="U264">
        <v>0</v>
      </c>
      <c r="V264">
        <v>0</v>
      </c>
      <c r="W264">
        <v>0</v>
      </c>
      <c r="X264">
        <v>7</v>
      </c>
      <c r="Y264">
        <v>0</v>
      </c>
      <c r="Z264" t="s">
        <v>18</v>
      </c>
      <c r="AA264" t="s">
        <v>4</v>
      </c>
      <c r="AB264" t="s">
        <v>6</v>
      </c>
      <c r="AC264" t="s">
        <v>7</v>
      </c>
      <c r="AD264" t="s">
        <v>8</v>
      </c>
      <c r="AE264" t="s">
        <v>6</v>
      </c>
      <c r="AF264" t="s">
        <v>3</v>
      </c>
      <c r="AG264" t="s">
        <v>3</v>
      </c>
      <c r="AH264" t="s">
        <v>3</v>
      </c>
      <c r="AI264" t="s">
        <v>3</v>
      </c>
      <c r="AJ264" t="s">
        <v>3</v>
      </c>
      <c r="AK264" t="s">
        <v>7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9</v>
      </c>
      <c r="AR264" s="1">
        <v>1.90219603E-6</v>
      </c>
      <c r="AS264" s="1">
        <v>2.3391172299999999E-29</v>
      </c>
      <c r="AT264">
        <v>13</v>
      </c>
      <c r="AU264" t="s">
        <v>10</v>
      </c>
      <c r="AV264">
        <v>0</v>
      </c>
      <c r="AW264">
        <v>0</v>
      </c>
      <c r="AX264">
        <v>0</v>
      </c>
      <c r="AY264">
        <v>7</v>
      </c>
      <c r="AZ264">
        <v>0</v>
      </c>
      <c r="BA264" t="s">
        <v>18</v>
      </c>
      <c r="BB264" t="s">
        <v>4</v>
      </c>
      <c r="BC264" t="s">
        <v>10</v>
      </c>
      <c r="BD264">
        <v>0</v>
      </c>
      <c r="BE264">
        <v>0</v>
      </c>
      <c r="BF264">
        <v>0</v>
      </c>
      <c r="BG264">
        <v>0</v>
      </c>
      <c r="BH264">
        <v>0</v>
      </c>
      <c r="BI264" t="s">
        <v>9</v>
      </c>
      <c r="BJ264">
        <v>0</v>
      </c>
      <c r="BK264">
        <v>-1.9E-6</v>
      </c>
      <c r="BL264">
        <v>0</v>
      </c>
      <c r="BM264" s="2">
        <f t="shared" si="4"/>
        <v>1.4086493306765982E-10</v>
      </c>
    </row>
    <row r="265" spans="1:65" x14ac:dyDescent="0.35">
      <c r="A265">
        <v>0</v>
      </c>
      <c r="B265" t="s">
        <v>11</v>
      </c>
      <c r="C265" t="s">
        <v>4</v>
      </c>
      <c r="D265">
        <v>0</v>
      </c>
      <c r="E265" t="s">
        <v>3</v>
      </c>
      <c r="F265" t="s">
        <v>5</v>
      </c>
      <c r="G265">
        <v>4952.8826849999996</v>
      </c>
      <c r="H265" t="s">
        <v>4</v>
      </c>
      <c r="I265">
        <v>990.16341899999998</v>
      </c>
      <c r="J265">
        <v>3962.7192660000001</v>
      </c>
      <c r="K265" t="s">
        <v>6</v>
      </c>
      <c r="L265" t="s">
        <v>7</v>
      </c>
      <c r="M265" t="s">
        <v>8</v>
      </c>
      <c r="N265" t="s">
        <v>6</v>
      </c>
      <c r="O265" t="s">
        <v>3</v>
      </c>
      <c r="P265" t="s">
        <v>3</v>
      </c>
      <c r="Q265" t="s">
        <v>3</v>
      </c>
      <c r="R265" t="s">
        <v>3</v>
      </c>
      <c r="S265" t="s">
        <v>11</v>
      </c>
      <c r="T265" t="s">
        <v>7</v>
      </c>
      <c r="U265">
        <v>0</v>
      </c>
      <c r="V265">
        <v>0</v>
      </c>
      <c r="W265">
        <v>0</v>
      </c>
      <c r="X265">
        <v>4</v>
      </c>
      <c r="Y265">
        <v>0</v>
      </c>
      <c r="Z265" t="s">
        <v>16</v>
      </c>
      <c r="AA265" t="s">
        <v>4</v>
      </c>
      <c r="AB265" t="s">
        <v>6</v>
      </c>
      <c r="AC265" t="s">
        <v>7</v>
      </c>
      <c r="AD265" t="s">
        <v>8</v>
      </c>
      <c r="AE265" t="s">
        <v>6</v>
      </c>
      <c r="AF265" t="s">
        <v>3</v>
      </c>
      <c r="AG265" t="s">
        <v>3</v>
      </c>
      <c r="AH265" t="s">
        <v>3</v>
      </c>
      <c r="AI265" t="s">
        <v>3</v>
      </c>
      <c r="AJ265" t="s">
        <v>3</v>
      </c>
      <c r="AK265" t="s">
        <v>7</v>
      </c>
      <c r="AL265">
        <v>0</v>
      </c>
      <c r="AM265">
        <v>0</v>
      </c>
      <c r="AN265">
        <v>0</v>
      </c>
      <c r="AO265">
        <v>0</v>
      </c>
      <c r="AP265">
        <v>0</v>
      </c>
      <c r="AQ265" t="s">
        <v>9</v>
      </c>
      <c r="AR265" s="1">
        <v>4.3504390700000004E-6</v>
      </c>
      <c r="AS265" s="1">
        <v>2.0150027800000001E-28</v>
      </c>
      <c r="AT265">
        <v>12</v>
      </c>
      <c r="AU265" t="s">
        <v>10</v>
      </c>
      <c r="AV265">
        <v>0</v>
      </c>
      <c r="AW265">
        <v>0</v>
      </c>
      <c r="AX265">
        <v>0</v>
      </c>
      <c r="AY265">
        <v>4</v>
      </c>
      <c r="AZ265">
        <v>0</v>
      </c>
      <c r="BA265" t="s">
        <v>16</v>
      </c>
      <c r="BB265" t="s">
        <v>4</v>
      </c>
      <c r="BC265" t="s">
        <v>10</v>
      </c>
      <c r="BD265">
        <v>0</v>
      </c>
      <c r="BE265">
        <v>0</v>
      </c>
      <c r="BF265">
        <v>0</v>
      </c>
      <c r="BG265">
        <v>0</v>
      </c>
      <c r="BH265">
        <v>0</v>
      </c>
      <c r="BI265" t="s">
        <v>9</v>
      </c>
      <c r="BJ265">
        <v>0</v>
      </c>
      <c r="BK265">
        <v>4.3499999999999999E-6</v>
      </c>
      <c r="BL265">
        <v>0</v>
      </c>
      <c r="BM265" s="2">
        <f t="shared" si="4"/>
        <v>1.2134630453551424E-9</v>
      </c>
    </row>
    <row r="266" spans="1:65" x14ac:dyDescent="0.35">
      <c r="A266">
        <v>0</v>
      </c>
      <c r="B266" t="s">
        <v>3</v>
      </c>
      <c r="C266" t="s">
        <v>4</v>
      </c>
      <c r="D266">
        <v>0</v>
      </c>
      <c r="E266" t="s">
        <v>3</v>
      </c>
      <c r="F266" t="s">
        <v>5</v>
      </c>
      <c r="G266">
        <v>3182.4674679999998</v>
      </c>
      <c r="H266" t="s">
        <v>4</v>
      </c>
      <c r="I266">
        <v>990.16341899999998</v>
      </c>
      <c r="J266">
        <v>2192.3040489999998</v>
      </c>
      <c r="K266" t="s">
        <v>6</v>
      </c>
      <c r="L266" t="s">
        <v>7</v>
      </c>
      <c r="M266" t="s">
        <v>8</v>
      </c>
      <c r="N266" t="s">
        <v>6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7</v>
      </c>
      <c r="U266">
        <v>0</v>
      </c>
      <c r="V266">
        <v>0</v>
      </c>
      <c r="W266">
        <v>0</v>
      </c>
      <c r="X266">
        <v>3</v>
      </c>
      <c r="Y266">
        <v>1</v>
      </c>
      <c r="Z266" t="s">
        <v>9</v>
      </c>
      <c r="AA266" t="s">
        <v>4</v>
      </c>
      <c r="AB266" t="s">
        <v>6</v>
      </c>
      <c r="AC266" t="s">
        <v>7</v>
      </c>
      <c r="AD266" t="s">
        <v>8</v>
      </c>
      <c r="AE266" t="s">
        <v>6</v>
      </c>
      <c r="AF266" t="s">
        <v>3</v>
      </c>
      <c r="AG266" t="s">
        <v>3</v>
      </c>
      <c r="AH266" t="s">
        <v>3</v>
      </c>
      <c r="AI266" t="s">
        <v>3</v>
      </c>
      <c r="AJ266" t="s">
        <v>3</v>
      </c>
      <c r="AK266" t="s">
        <v>7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9</v>
      </c>
      <c r="AR266" s="1">
        <v>7.3739780600000002E-4</v>
      </c>
      <c r="AS266" s="1">
        <v>3.2026512E-24</v>
      </c>
      <c r="AT266">
        <v>13</v>
      </c>
      <c r="AU266" t="s">
        <v>10</v>
      </c>
      <c r="AV266">
        <v>0</v>
      </c>
      <c r="AW266">
        <v>0</v>
      </c>
      <c r="AX266">
        <v>0</v>
      </c>
      <c r="AY266">
        <v>3</v>
      </c>
      <c r="AZ266">
        <v>1</v>
      </c>
      <c r="BA266" t="s">
        <v>9</v>
      </c>
      <c r="BB266" t="s">
        <v>4</v>
      </c>
      <c r="BC266" t="s">
        <v>10</v>
      </c>
      <c r="BD266">
        <v>0</v>
      </c>
      <c r="BE266">
        <v>0</v>
      </c>
      <c r="BF266">
        <v>0</v>
      </c>
      <c r="BG266">
        <v>0</v>
      </c>
      <c r="BH266">
        <v>0</v>
      </c>
      <c r="BI266" t="s">
        <v>9</v>
      </c>
      <c r="BJ266">
        <v>-6.5357999999999996E-4</v>
      </c>
      <c r="BK266">
        <v>0</v>
      </c>
      <c r="BL266">
        <v>3.4144999999999998E-4</v>
      </c>
      <c r="BM266" s="2">
        <f t="shared" si="4"/>
        <v>1.9286816459688962E-5</v>
      </c>
    </row>
    <row r="267" spans="1:65" x14ac:dyDescent="0.35">
      <c r="A267">
        <v>0</v>
      </c>
      <c r="B267" t="s">
        <v>3</v>
      </c>
      <c r="C267" t="s">
        <v>4</v>
      </c>
      <c r="D267">
        <v>0</v>
      </c>
      <c r="E267" t="s">
        <v>3</v>
      </c>
      <c r="F267" t="s">
        <v>5</v>
      </c>
      <c r="G267">
        <v>2668.7061619999999</v>
      </c>
      <c r="H267" t="s">
        <v>4</v>
      </c>
      <c r="I267">
        <v>990.16341899999998</v>
      </c>
      <c r="J267">
        <v>1678.542743</v>
      </c>
      <c r="K267" t="s">
        <v>6</v>
      </c>
      <c r="L267" t="s">
        <v>7</v>
      </c>
      <c r="M267" t="s">
        <v>8</v>
      </c>
      <c r="N267" t="s">
        <v>6</v>
      </c>
      <c r="O267" t="s">
        <v>3</v>
      </c>
      <c r="P267" t="s">
        <v>3</v>
      </c>
      <c r="Q267" t="s">
        <v>3</v>
      </c>
      <c r="R267" t="s">
        <v>3</v>
      </c>
      <c r="S267" t="s">
        <v>3</v>
      </c>
      <c r="T267" t="s">
        <v>7</v>
      </c>
      <c r="U267">
        <v>0</v>
      </c>
      <c r="V267">
        <v>0</v>
      </c>
      <c r="W267">
        <v>0</v>
      </c>
      <c r="X267">
        <v>2</v>
      </c>
      <c r="Y267">
        <v>0</v>
      </c>
      <c r="Z267" t="s">
        <v>24</v>
      </c>
      <c r="AA267" t="s">
        <v>4</v>
      </c>
      <c r="AB267" t="s">
        <v>6</v>
      </c>
      <c r="AC267" t="s">
        <v>7</v>
      </c>
      <c r="AD267" t="s">
        <v>8</v>
      </c>
      <c r="AE267" t="s">
        <v>6</v>
      </c>
      <c r="AF267" t="s">
        <v>3</v>
      </c>
      <c r="AG267" t="s">
        <v>3</v>
      </c>
      <c r="AH267" t="s">
        <v>3</v>
      </c>
      <c r="AI267" t="s">
        <v>3</v>
      </c>
      <c r="AJ267" t="s">
        <v>3</v>
      </c>
      <c r="AK267" t="s">
        <v>7</v>
      </c>
      <c r="AL267">
        <v>0</v>
      </c>
      <c r="AM267">
        <v>0</v>
      </c>
      <c r="AN267">
        <v>0</v>
      </c>
      <c r="AO267">
        <v>0</v>
      </c>
      <c r="AP267">
        <v>0</v>
      </c>
      <c r="AQ267" t="s">
        <v>9</v>
      </c>
      <c r="AR267" s="1">
        <v>6.3827646699999999E-4</v>
      </c>
      <c r="AS267" s="1">
        <v>1.8366860700000001E-24</v>
      </c>
      <c r="AT267">
        <v>11</v>
      </c>
      <c r="AU267" t="s">
        <v>10</v>
      </c>
      <c r="AV267">
        <v>0</v>
      </c>
      <c r="AW267">
        <v>0</v>
      </c>
      <c r="AX267">
        <v>0</v>
      </c>
      <c r="AY267">
        <v>2</v>
      </c>
      <c r="AZ267">
        <v>0</v>
      </c>
      <c r="BA267" t="s">
        <v>24</v>
      </c>
      <c r="BB267" t="s">
        <v>4</v>
      </c>
      <c r="BC267" t="s">
        <v>10</v>
      </c>
      <c r="BD267">
        <v>0</v>
      </c>
      <c r="BE267">
        <v>0</v>
      </c>
      <c r="BF267">
        <v>0</v>
      </c>
      <c r="BG267">
        <v>0</v>
      </c>
      <c r="BH267">
        <v>0</v>
      </c>
      <c r="BI267" t="s">
        <v>9</v>
      </c>
      <c r="BJ267">
        <v>-2.1756999999999999E-4</v>
      </c>
      <c r="BK267">
        <v>0</v>
      </c>
      <c r="BL267">
        <v>6.0004999999999998E-4</v>
      </c>
      <c r="BM267" s="2">
        <f t="shared" si="4"/>
        <v>1.1060782118938657E-5</v>
      </c>
    </row>
    <row r="268" spans="1:65" x14ac:dyDescent="0.35">
      <c r="A268">
        <v>0</v>
      </c>
      <c r="B268" t="s">
        <v>3</v>
      </c>
      <c r="C268" t="s">
        <v>4</v>
      </c>
      <c r="D268">
        <v>0</v>
      </c>
      <c r="E268" t="s">
        <v>3</v>
      </c>
      <c r="F268" t="s">
        <v>5</v>
      </c>
      <c r="G268">
        <v>1583.102345</v>
      </c>
      <c r="H268" t="s">
        <v>4</v>
      </c>
      <c r="I268">
        <v>990.16341899999998</v>
      </c>
      <c r="J268">
        <v>592.93892600000004</v>
      </c>
      <c r="K268" t="s">
        <v>6</v>
      </c>
      <c r="L268" t="s">
        <v>7</v>
      </c>
      <c r="M268" t="s">
        <v>8</v>
      </c>
      <c r="N268" t="s">
        <v>6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 t="s">
        <v>7</v>
      </c>
      <c r="U268">
        <v>0</v>
      </c>
      <c r="V268">
        <v>0</v>
      </c>
      <c r="W268">
        <v>0</v>
      </c>
      <c r="X268">
        <v>4</v>
      </c>
      <c r="Y268">
        <v>0</v>
      </c>
      <c r="Z268" t="s">
        <v>8</v>
      </c>
      <c r="AA268" t="s">
        <v>4</v>
      </c>
      <c r="AB268" t="s">
        <v>6</v>
      </c>
      <c r="AC268" t="s">
        <v>7</v>
      </c>
      <c r="AD268" t="s">
        <v>8</v>
      </c>
      <c r="AE268" t="s">
        <v>6</v>
      </c>
      <c r="AF268" t="s">
        <v>3</v>
      </c>
      <c r="AG268" t="s">
        <v>3</v>
      </c>
      <c r="AH268" t="s">
        <v>3</v>
      </c>
      <c r="AI268" t="s">
        <v>3</v>
      </c>
      <c r="AJ268" t="s">
        <v>3</v>
      </c>
      <c r="AK268" t="s">
        <v>7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9</v>
      </c>
      <c r="AR268" s="1">
        <v>7.3615929699999999E-7</v>
      </c>
      <c r="AS268" s="1">
        <v>8.1401088699999994E-31</v>
      </c>
      <c r="AT268">
        <v>14</v>
      </c>
      <c r="AU268" t="s">
        <v>10</v>
      </c>
      <c r="AV268">
        <v>0</v>
      </c>
      <c r="AW268">
        <v>0</v>
      </c>
      <c r="AX268">
        <v>0</v>
      </c>
      <c r="AY268">
        <v>4</v>
      </c>
      <c r="AZ268">
        <v>0</v>
      </c>
      <c r="BA268" t="s">
        <v>8</v>
      </c>
      <c r="BB268" t="s">
        <v>4</v>
      </c>
      <c r="BC268" t="s">
        <v>10</v>
      </c>
      <c r="BD268">
        <v>0</v>
      </c>
      <c r="BE268">
        <v>0</v>
      </c>
      <c r="BF268">
        <v>0</v>
      </c>
      <c r="BG268">
        <v>0</v>
      </c>
      <c r="BH268">
        <v>0</v>
      </c>
      <c r="BI268" t="s">
        <v>9</v>
      </c>
      <c r="BJ268">
        <v>5.4000000000000002E-7</v>
      </c>
      <c r="BK268">
        <v>0</v>
      </c>
      <c r="BL268">
        <v>4.9999999999999998E-7</v>
      </c>
      <c r="BM268" s="2">
        <f t="shared" si="4"/>
        <v>4.9020881742468891E-12</v>
      </c>
    </row>
    <row r="269" spans="1:65" x14ac:dyDescent="0.35">
      <c r="A269">
        <v>0</v>
      </c>
      <c r="B269" t="s">
        <v>11</v>
      </c>
      <c r="C269" t="s">
        <v>4</v>
      </c>
      <c r="D269">
        <v>0</v>
      </c>
      <c r="E269" t="s">
        <v>3</v>
      </c>
      <c r="F269" t="s">
        <v>5</v>
      </c>
      <c r="G269">
        <v>4516.0275750000001</v>
      </c>
      <c r="H269" t="s">
        <v>4</v>
      </c>
      <c r="I269">
        <v>990.16341899999998</v>
      </c>
      <c r="J269">
        <v>3525.8641560000001</v>
      </c>
      <c r="K269" t="s">
        <v>6</v>
      </c>
      <c r="L269" t="s">
        <v>7</v>
      </c>
      <c r="M269" t="s">
        <v>8</v>
      </c>
      <c r="N269" t="s">
        <v>6</v>
      </c>
      <c r="O269" t="s">
        <v>3</v>
      </c>
      <c r="P269" t="s">
        <v>3</v>
      </c>
      <c r="Q269" t="s">
        <v>3</v>
      </c>
      <c r="R269" t="s">
        <v>3</v>
      </c>
      <c r="S269" t="s">
        <v>11</v>
      </c>
      <c r="T269" t="s">
        <v>7</v>
      </c>
      <c r="U269">
        <v>1</v>
      </c>
      <c r="V269">
        <v>1</v>
      </c>
      <c r="W269">
        <v>0</v>
      </c>
      <c r="X269">
        <v>0</v>
      </c>
      <c r="Y269">
        <v>1</v>
      </c>
      <c r="Z269" t="s">
        <v>14</v>
      </c>
      <c r="AA269" t="s">
        <v>4</v>
      </c>
      <c r="AB269" t="s">
        <v>6</v>
      </c>
      <c r="AC269" t="s">
        <v>7</v>
      </c>
      <c r="AD269" t="s">
        <v>8</v>
      </c>
      <c r="AE269" t="s">
        <v>6</v>
      </c>
      <c r="AF269" t="s">
        <v>3</v>
      </c>
      <c r="AG269" t="s">
        <v>3</v>
      </c>
      <c r="AH269" t="s">
        <v>3</v>
      </c>
      <c r="AI269" t="s">
        <v>3</v>
      </c>
      <c r="AJ269" t="s">
        <v>3</v>
      </c>
      <c r="AK269" t="s">
        <v>7</v>
      </c>
      <c r="AL269">
        <v>0</v>
      </c>
      <c r="AM269">
        <v>0</v>
      </c>
      <c r="AN269">
        <v>0</v>
      </c>
      <c r="AO269">
        <v>0</v>
      </c>
      <c r="AP269">
        <v>0</v>
      </c>
      <c r="AQ269" t="s">
        <v>9</v>
      </c>
      <c r="AR269" s="1">
        <v>3.4727097499999998E-6</v>
      </c>
      <c r="AS269" s="1">
        <v>1.14240132E-28</v>
      </c>
      <c r="AT269">
        <v>11</v>
      </c>
      <c r="AU269" t="s">
        <v>10</v>
      </c>
      <c r="AV269">
        <v>1</v>
      </c>
      <c r="AW269">
        <v>1</v>
      </c>
      <c r="AX269">
        <v>0</v>
      </c>
      <c r="AY269">
        <v>0</v>
      </c>
      <c r="AZ269">
        <v>1</v>
      </c>
      <c r="BA269" t="s">
        <v>14</v>
      </c>
      <c r="BB269" t="s">
        <v>4</v>
      </c>
      <c r="BC269" t="s">
        <v>10</v>
      </c>
      <c r="BD269">
        <v>0</v>
      </c>
      <c r="BE269">
        <v>0</v>
      </c>
      <c r="BF269">
        <v>0</v>
      </c>
      <c r="BG269">
        <v>0</v>
      </c>
      <c r="BH269">
        <v>0</v>
      </c>
      <c r="BI269" t="s">
        <v>9</v>
      </c>
      <c r="BJ269">
        <v>0</v>
      </c>
      <c r="BK269">
        <v>-3.4699999999999998E-6</v>
      </c>
      <c r="BL269">
        <v>0</v>
      </c>
      <c r="BM269" s="2">
        <f t="shared" si="4"/>
        <v>6.8797015991458558E-10</v>
      </c>
    </row>
    <row r="270" spans="1:65" x14ac:dyDescent="0.35">
      <c r="A270">
        <v>0</v>
      </c>
      <c r="B270" t="s">
        <v>3</v>
      </c>
      <c r="C270" t="s">
        <v>4</v>
      </c>
      <c r="D270">
        <v>0</v>
      </c>
      <c r="E270" t="s">
        <v>3</v>
      </c>
      <c r="F270" t="s">
        <v>5</v>
      </c>
      <c r="G270">
        <v>4893.8351990000001</v>
      </c>
      <c r="H270" t="s">
        <v>4</v>
      </c>
      <c r="I270">
        <v>990.16341899999998</v>
      </c>
      <c r="J270">
        <v>3903.6717800000001</v>
      </c>
      <c r="K270" t="s">
        <v>6</v>
      </c>
      <c r="L270" t="s">
        <v>7</v>
      </c>
      <c r="M270" t="s">
        <v>8</v>
      </c>
      <c r="N270" t="s">
        <v>6</v>
      </c>
      <c r="O270" t="s">
        <v>3</v>
      </c>
      <c r="P270" t="s">
        <v>3</v>
      </c>
      <c r="Q270" t="s">
        <v>3</v>
      </c>
      <c r="R270" t="s">
        <v>3</v>
      </c>
      <c r="S270" t="s">
        <v>3</v>
      </c>
      <c r="T270" t="s">
        <v>7</v>
      </c>
      <c r="U270">
        <v>0</v>
      </c>
      <c r="V270">
        <v>2</v>
      </c>
      <c r="W270">
        <v>0</v>
      </c>
      <c r="X270">
        <v>1</v>
      </c>
      <c r="Y270">
        <v>1</v>
      </c>
      <c r="Z270" t="s">
        <v>9</v>
      </c>
      <c r="AA270" t="s">
        <v>4</v>
      </c>
      <c r="AB270" t="s">
        <v>6</v>
      </c>
      <c r="AC270" t="s">
        <v>7</v>
      </c>
      <c r="AD270" t="s">
        <v>8</v>
      </c>
      <c r="AE270" t="s">
        <v>6</v>
      </c>
      <c r="AF270" t="s">
        <v>3</v>
      </c>
      <c r="AG270" t="s">
        <v>3</v>
      </c>
      <c r="AH270" t="s">
        <v>3</v>
      </c>
      <c r="AI270" t="s">
        <v>3</v>
      </c>
      <c r="AJ270" t="s">
        <v>3</v>
      </c>
      <c r="AK270" t="s">
        <v>7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9</v>
      </c>
      <c r="AR270" s="1">
        <v>6.7652810400000004E-5</v>
      </c>
      <c r="AS270" s="1">
        <v>4.8002199899999999E-26</v>
      </c>
      <c r="AT270">
        <v>12</v>
      </c>
      <c r="AU270" t="s">
        <v>10</v>
      </c>
      <c r="AV270">
        <v>0</v>
      </c>
      <c r="AW270">
        <v>2</v>
      </c>
      <c r="AX270">
        <v>0</v>
      </c>
      <c r="AY270">
        <v>1</v>
      </c>
      <c r="AZ270">
        <v>1</v>
      </c>
      <c r="BA270" t="s">
        <v>9</v>
      </c>
      <c r="BB270" t="s">
        <v>4</v>
      </c>
      <c r="BC270" t="s">
        <v>10</v>
      </c>
      <c r="BD270">
        <v>0</v>
      </c>
      <c r="BE270">
        <v>0</v>
      </c>
      <c r="BF270">
        <v>0</v>
      </c>
      <c r="BG270">
        <v>0</v>
      </c>
      <c r="BH270">
        <v>0</v>
      </c>
      <c r="BI270" t="s">
        <v>9</v>
      </c>
      <c r="BJ270">
        <v>4.5099999999999998E-5</v>
      </c>
      <c r="BK270">
        <v>0</v>
      </c>
      <c r="BL270">
        <v>-5.0430000000000003E-5</v>
      </c>
      <c r="BM270" s="2">
        <f t="shared" si="4"/>
        <v>2.8907600650754591E-7</v>
      </c>
    </row>
    <row r="271" spans="1:65" x14ac:dyDescent="0.35">
      <c r="A271">
        <v>0</v>
      </c>
      <c r="B271" t="s">
        <v>11</v>
      </c>
      <c r="C271" t="s">
        <v>4</v>
      </c>
      <c r="D271">
        <v>0</v>
      </c>
      <c r="E271" t="s">
        <v>3</v>
      </c>
      <c r="F271" t="s">
        <v>5</v>
      </c>
      <c r="G271">
        <v>4664.8723190000001</v>
      </c>
      <c r="H271" t="s">
        <v>4</v>
      </c>
      <c r="I271">
        <v>990.16341899999998</v>
      </c>
      <c r="J271">
        <v>3674.7089000000001</v>
      </c>
      <c r="K271" t="s">
        <v>6</v>
      </c>
      <c r="L271" t="s">
        <v>7</v>
      </c>
      <c r="M271" t="s">
        <v>8</v>
      </c>
      <c r="N271" t="s">
        <v>6</v>
      </c>
      <c r="O271" t="s">
        <v>3</v>
      </c>
      <c r="P271" t="s">
        <v>3</v>
      </c>
      <c r="Q271" t="s">
        <v>3</v>
      </c>
      <c r="R271" t="s">
        <v>3</v>
      </c>
      <c r="S271" t="s">
        <v>11</v>
      </c>
      <c r="T271" t="s">
        <v>7</v>
      </c>
      <c r="U271">
        <v>0</v>
      </c>
      <c r="V271">
        <v>3</v>
      </c>
      <c r="W271">
        <v>0</v>
      </c>
      <c r="X271">
        <v>1</v>
      </c>
      <c r="Y271">
        <v>0</v>
      </c>
      <c r="Z271" t="s">
        <v>18</v>
      </c>
      <c r="AA271" t="s">
        <v>4</v>
      </c>
      <c r="AB271" t="s">
        <v>6</v>
      </c>
      <c r="AC271" t="s">
        <v>7</v>
      </c>
      <c r="AD271" t="s">
        <v>8</v>
      </c>
      <c r="AE271" t="s">
        <v>6</v>
      </c>
      <c r="AF271" t="s">
        <v>3</v>
      </c>
      <c r="AG271" t="s">
        <v>3</v>
      </c>
      <c r="AH271" t="s">
        <v>3</v>
      </c>
      <c r="AI271" t="s">
        <v>3</v>
      </c>
      <c r="AJ271" t="s">
        <v>3</v>
      </c>
      <c r="AK271" t="s">
        <v>7</v>
      </c>
      <c r="AL271">
        <v>0</v>
      </c>
      <c r="AM271">
        <v>0</v>
      </c>
      <c r="AN271">
        <v>0</v>
      </c>
      <c r="AO271">
        <v>0</v>
      </c>
      <c r="AP271">
        <v>0</v>
      </c>
      <c r="AQ271" t="s">
        <v>9</v>
      </c>
      <c r="AR271" s="1">
        <v>3.5592427299999999E-6</v>
      </c>
      <c r="AS271" s="1">
        <v>1.2507033400000001E-28</v>
      </c>
      <c r="AT271">
        <v>12</v>
      </c>
      <c r="AU271" t="s">
        <v>10</v>
      </c>
      <c r="AV271">
        <v>0</v>
      </c>
      <c r="AW271">
        <v>3</v>
      </c>
      <c r="AX271">
        <v>0</v>
      </c>
      <c r="AY271">
        <v>1</v>
      </c>
      <c r="AZ271">
        <v>0</v>
      </c>
      <c r="BA271" t="s">
        <v>18</v>
      </c>
      <c r="BB271" t="s">
        <v>4</v>
      </c>
      <c r="BC271" t="s">
        <v>10</v>
      </c>
      <c r="BD271">
        <v>0</v>
      </c>
      <c r="BE271">
        <v>0</v>
      </c>
      <c r="BF271">
        <v>0</v>
      </c>
      <c r="BG271">
        <v>0</v>
      </c>
      <c r="BH271">
        <v>0</v>
      </c>
      <c r="BI271" t="s">
        <v>9</v>
      </c>
      <c r="BJ271">
        <v>0</v>
      </c>
      <c r="BK271">
        <v>3.5599999999999998E-6</v>
      </c>
      <c r="BL271">
        <v>0</v>
      </c>
      <c r="BM271" s="2">
        <f t="shared" si="4"/>
        <v>7.531911612510273E-10</v>
      </c>
    </row>
    <row r="272" spans="1:65" x14ac:dyDescent="0.35">
      <c r="A272">
        <v>0</v>
      </c>
      <c r="B272" t="s">
        <v>11</v>
      </c>
      <c r="C272" t="s">
        <v>4</v>
      </c>
      <c r="D272">
        <v>0</v>
      </c>
      <c r="E272" t="s">
        <v>3</v>
      </c>
      <c r="F272" t="s">
        <v>5</v>
      </c>
      <c r="G272">
        <v>4221.6914500000003</v>
      </c>
      <c r="H272" t="s">
        <v>4</v>
      </c>
      <c r="I272">
        <v>990.16341899999998</v>
      </c>
      <c r="J272">
        <v>3231.5280309999998</v>
      </c>
      <c r="K272" t="s">
        <v>6</v>
      </c>
      <c r="L272" t="s">
        <v>7</v>
      </c>
      <c r="M272" t="s">
        <v>8</v>
      </c>
      <c r="N272" t="s">
        <v>6</v>
      </c>
      <c r="O272" t="s">
        <v>3</v>
      </c>
      <c r="P272" t="s">
        <v>3</v>
      </c>
      <c r="Q272" t="s">
        <v>3</v>
      </c>
      <c r="R272" t="s">
        <v>3</v>
      </c>
      <c r="S272" t="s">
        <v>11</v>
      </c>
      <c r="T272" t="s">
        <v>7</v>
      </c>
      <c r="U272">
        <v>0</v>
      </c>
      <c r="V272">
        <v>0</v>
      </c>
      <c r="W272">
        <v>0</v>
      </c>
      <c r="X272">
        <v>0</v>
      </c>
      <c r="Y272">
        <v>2</v>
      </c>
      <c r="Z272" t="s">
        <v>19</v>
      </c>
      <c r="AA272" t="s">
        <v>4</v>
      </c>
      <c r="AB272" t="s">
        <v>6</v>
      </c>
      <c r="AC272" t="s">
        <v>7</v>
      </c>
      <c r="AD272" t="s">
        <v>8</v>
      </c>
      <c r="AE272" t="s">
        <v>6</v>
      </c>
      <c r="AF272" t="s">
        <v>3</v>
      </c>
      <c r="AG272" t="s">
        <v>3</v>
      </c>
      <c r="AH272" t="s">
        <v>3</v>
      </c>
      <c r="AI272" t="s">
        <v>3</v>
      </c>
      <c r="AJ272" t="s">
        <v>3</v>
      </c>
      <c r="AK272" t="s">
        <v>7</v>
      </c>
      <c r="AL272">
        <v>0</v>
      </c>
      <c r="AM272">
        <v>0</v>
      </c>
      <c r="AN272">
        <v>0</v>
      </c>
      <c r="AO272">
        <v>0</v>
      </c>
      <c r="AP272">
        <v>0</v>
      </c>
      <c r="AQ272" t="s">
        <v>9</v>
      </c>
      <c r="AR272" s="1">
        <v>1.09903667E-4</v>
      </c>
      <c r="AS272" s="1">
        <v>1.0486930399999999E-25</v>
      </c>
      <c r="AT272">
        <v>12</v>
      </c>
      <c r="AU272" t="s">
        <v>10</v>
      </c>
      <c r="AV272">
        <v>0</v>
      </c>
      <c r="AW272">
        <v>0</v>
      </c>
      <c r="AX272">
        <v>0</v>
      </c>
      <c r="AY272">
        <v>0</v>
      </c>
      <c r="AZ272">
        <v>2</v>
      </c>
      <c r="BA272" t="s">
        <v>19</v>
      </c>
      <c r="BB272" t="s">
        <v>4</v>
      </c>
      <c r="BC272" t="s">
        <v>10</v>
      </c>
      <c r="BD272">
        <v>0</v>
      </c>
      <c r="BE272">
        <v>0</v>
      </c>
      <c r="BF272">
        <v>0</v>
      </c>
      <c r="BG272">
        <v>0</v>
      </c>
      <c r="BH272">
        <v>0</v>
      </c>
      <c r="BI272" t="s">
        <v>9</v>
      </c>
      <c r="BJ272">
        <v>0</v>
      </c>
      <c r="BK272">
        <v>-1.099E-4</v>
      </c>
      <c r="BL272">
        <v>0</v>
      </c>
      <c r="BM272" s="2">
        <f t="shared" si="4"/>
        <v>6.3153771428600313E-7</v>
      </c>
    </row>
    <row r="273" spans="1:65" x14ac:dyDescent="0.35">
      <c r="A273">
        <v>0</v>
      </c>
      <c r="B273" t="s">
        <v>11</v>
      </c>
      <c r="C273" t="s">
        <v>4</v>
      </c>
      <c r="D273">
        <v>0</v>
      </c>
      <c r="E273" t="s">
        <v>3</v>
      </c>
      <c r="F273" t="s">
        <v>5</v>
      </c>
      <c r="G273">
        <v>3675.3676970000001</v>
      </c>
      <c r="H273" t="s">
        <v>4</v>
      </c>
      <c r="I273">
        <v>990.16341899999998</v>
      </c>
      <c r="J273">
        <v>2685.2042780000002</v>
      </c>
      <c r="K273" t="s">
        <v>6</v>
      </c>
      <c r="L273" t="s">
        <v>7</v>
      </c>
      <c r="M273" t="s">
        <v>8</v>
      </c>
      <c r="N273" t="s">
        <v>6</v>
      </c>
      <c r="O273" t="s">
        <v>3</v>
      </c>
      <c r="P273" t="s">
        <v>3</v>
      </c>
      <c r="Q273" t="s">
        <v>3</v>
      </c>
      <c r="R273" t="s">
        <v>3</v>
      </c>
      <c r="S273" t="s">
        <v>11</v>
      </c>
      <c r="T273" t="s">
        <v>7</v>
      </c>
      <c r="U273">
        <v>0</v>
      </c>
      <c r="V273">
        <v>0</v>
      </c>
      <c r="W273">
        <v>0</v>
      </c>
      <c r="X273">
        <v>2</v>
      </c>
      <c r="Y273">
        <v>0</v>
      </c>
      <c r="Z273" t="s">
        <v>23</v>
      </c>
      <c r="AA273" t="s">
        <v>4</v>
      </c>
      <c r="AB273" t="s">
        <v>6</v>
      </c>
      <c r="AC273" t="s">
        <v>7</v>
      </c>
      <c r="AD273" t="s">
        <v>8</v>
      </c>
      <c r="AE273" t="s">
        <v>6</v>
      </c>
      <c r="AF273" t="s">
        <v>3</v>
      </c>
      <c r="AG273" t="s">
        <v>3</v>
      </c>
      <c r="AH273" t="s">
        <v>3</v>
      </c>
      <c r="AI273" t="s">
        <v>3</v>
      </c>
      <c r="AJ273" t="s">
        <v>3</v>
      </c>
      <c r="AK273" t="s">
        <v>7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9</v>
      </c>
      <c r="AR273" s="1">
        <v>1.4539649099999999E-4</v>
      </c>
      <c r="AS273" s="1">
        <v>1.5251070500000001E-25</v>
      </c>
      <c r="AT273">
        <v>14</v>
      </c>
      <c r="AU273" t="s">
        <v>10</v>
      </c>
      <c r="AV273">
        <v>0</v>
      </c>
      <c r="AW273">
        <v>0</v>
      </c>
      <c r="AX273">
        <v>0</v>
      </c>
      <c r="AY273">
        <v>2</v>
      </c>
      <c r="AZ273">
        <v>0</v>
      </c>
      <c r="BA273" t="s">
        <v>23</v>
      </c>
      <c r="BB273" t="s">
        <v>4</v>
      </c>
      <c r="BC273" t="s">
        <v>10</v>
      </c>
      <c r="BD273">
        <v>0</v>
      </c>
      <c r="BE273">
        <v>0</v>
      </c>
      <c r="BF273">
        <v>0</v>
      </c>
      <c r="BG273">
        <v>0</v>
      </c>
      <c r="BH273">
        <v>0</v>
      </c>
      <c r="BI273" t="s">
        <v>9</v>
      </c>
      <c r="BJ273">
        <v>0</v>
      </c>
      <c r="BK273">
        <v>1.4540000000000001E-4</v>
      </c>
      <c r="BL273">
        <v>0</v>
      </c>
      <c r="BM273" s="2">
        <f t="shared" si="4"/>
        <v>9.1844093901726404E-7</v>
      </c>
    </row>
    <row r="274" spans="1:65" x14ac:dyDescent="0.35">
      <c r="A274">
        <v>0</v>
      </c>
      <c r="B274" t="s">
        <v>3</v>
      </c>
      <c r="C274" t="s">
        <v>4</v>
      </c>
      <c r="D274">
        <v>0</v>
      </c>
      <c r="E274" t="s">
        <v>3</v>
      </c>
      <c r="F274" t="s">
        <v>5</v>
      </c>
      <c r="G274">
        <v>4307.6817680000004</v>
      </c>
      <c r="H274" t="s">
        <v>4</v>
      </c>
      <c r="I274">
        <v>990.16341899999998</v>
      </c>
      <c r="J274">
        <v>3317.5183489999999</v>
      </c>
      <c r="K274" t="s">
        <v>6</v>
      </c>
      <c r="L274" t="s">
        <v>7</v>
      </c>
      <c r="M274" t="s">
        <v>8</v>
      </c>
      <c r="N274" t="s">
        <v>6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 t="s">
        <v>7</v>
      </c>
      <c r="U274">
        <v>4</v>
      </c>
      <c r="V274">
        <v>0</v>
      </c>
      <c r="W274">
        <v>0</v>
      </c>
      <c r="X274">
        <v>0</v>
      </c>
      <c r="Y274">
        <v>0</v>
      </c>
      <c r="Z274" t="s">
        <v>9</v>
      </c>
      <c r="AA274" t="s">
        <v>4</v>
      </c>
      <c r="AB274" t="s">
        <v>6</v>
      </c>
      <c r="AC274" t="s">
        <v>7</v>
      </c>
      <c r="AD274" t="s">
        <v>8</v>
      </c>
      <c r="AE274" t="s">
        <v>6</v>
      </c>
      <c r="AF274" t="s">
        <v>3</v>
      </c>
      <c r="AG274" t="s">
        <v>3</v>
      </c>
      <c r="AH274" t="s">
        <v>3</v>
      </c>
      <c r="AI274" t="s">
        <v>3</v>
      </c>
      <c r="AJ274" t="s">
        <v>3</v>
      </c>
      <c r="AK274" t="s">
        <v>7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9</v>
      </c>
      <c r="AR274" s="1">
        <v>2.09008727E-4</v>
      </c>
      <c r="AS274" s="1">
        <v>3.8936623700000002E-25</v>
      </c>
      <c r="AT274">
        <v>12</v>
      </c>
      <c r="AU274" t="s">
        <v>10</v>
      </c>
      <c r="AV274">
        <v>4</v>
      </c>
      <c r="AW274">
        <v>0</v>
      </c>
      <c r="AX274">
        <v>0</v>
      </c>
      <c r="AY274">
        <v>0</v>
      </c>
      <c r="AZ274">
        <v>0</v>
      </c>
      <c r="BA274" t="s">
        <v>9</v>
      </c>
      <c r="BB274" t="s">
        <v>4</v>
      </c>
      <c r="BC274" t="s">
        <v>10</v>
      </c>
      <c r="BD274">
        <v>0</v>
      </c>
      <c r="BE274">
        <v>0</v>
      </c>
      <c r="BF274">
        <v>0</v>
      </c>
      <c r="BG274">
        <v>0</v>
      </c>
      <c r="BH274">
        <v>0</v>
      </c>
      <c r="BI274" t="s">
        <v>9</v>
      </c>
      <c r="BJ274">
        <v>-1.6752999999999999E-4</v>
      </c>
      <c r="BK274">
        <v>0</v>
      </c>
      <c r="BL274">
        <v>1.2498000000000001E-4</v>
      </c>
      <c r="BM274" s="2">
        <f t="shared" si="4"/>
        <v>2.3448183019801698E-6</v>
      </c>
    </row>
    <row r="275" spans="1:65" x14ac:dyDescent="0.35">
      <c r="A275">
        <v>0</v>
      </c>
      <c r="B275" t="s">
        <v>3</v>
      </c>
      <c r="C275" t="s">
        <v>4</v>
      </c>
      <c r="D275">
        <v>0</v>
      </c>
      <c r="E275" t="s">
        <v>3</v>
      </c>
      <c r="F275" t="s">
        <v>5</v>
      </c>
      <c r="G275">
        <v>4835.6857630000004</v>
      </c>
      <c r="H275" t="s">
        <v>4</v>
      </c>
      <c r="I275">
        <v>990.16341899999998</v>
      </c>
      <c r="J275">
        <v>3845.522344</v>
      </c>
      <c r="K275" t="s">
        <v>6</v>
      </c>
      <c r="L275" t="s">
        <v>7</v>
      </c>
      <c r="M275" t="s">
        <v>8</v>
      </c>
      <c r="N275" t="s">
        <v>6</v>
      </c>
      <c r="O275" t="s">
        <v>3</v>
      </c>
      <c r="P275" t="s">
        <v>3</v>
      </c>
      <c r="Q275" t="s">
        <v>3</v>
      </c>
      <c r="R275" t="s">
        <v>3</v>
      </c>
      <c r="S275" t="s">
        <v>3</v>
      </c>
      <c r="T275" t="s">
        <v>7</v>
      </c>
      <c r="U275">
        <v>4</v>
      </c>
      <c r="V275">
        <v>0</v>
      </c>
      <c r="W275">
        <v>0</v>
      </c>
      <c r="X275">
        <v>1</v>
      </c>
      <c r="Y275">
        <v>0</v>
      </c>
      <c r="Z275" t="s">
        <v>15</v>
      </c>
      <c r="AA275" t="s">
        <v>4</v>
      </c>
      <c r="AB275" t="s">
        <v>6</v>
      </c>
      <c r="AC275" t="s">
        <v>7</v>
      </c>
      <c r="AD275" t="s">
        <v>8</v>
      </c>
      <c r="AE275" t="s">
        <v>6</v>
      </c>
      <c r="AF275" t="s">
        <v>3</v>
      </c>
      <c r="AG275" t="s">
        <v>3</v>
      </c>
      <c r="AH275" t="s">
        <v>3</v>
      </c>
      <c r="AI275" t="s">
        <v>3</v>
      </c>
      <c r="AJ275" t="s">
        <v>3</v>
      </c>
      <c r="AK275" t="s">
        <v>7</v>
      </c>
      <c r="AL275">
        <v>0</v>
      </c>
      <c r="AM275">
        <v>0</v>
      </c>
      <c r="AN275">
        <v>0</v>
      </c>
      <c r="AO275">
        <v>0</v>
      </c>
      <c r="AP275">
        <v>0</v>
      </c>
      <c r="AQ275" t="s">
        <v>9</v>
      </c>
      <c r="AR275" s="1">
        <v>5.9352853800000003E-5</v>
      </c>
      <c r="AS275" s="1">
        <v>3.6396088199999999E-26</v>
      </c>
      <c r="AT275">
        <v>12</v>
      </c>
      <c r="AU275" t="s">
        <v>10</v>
      </c>
      <c r="AV275">
        <v>4</v>
      </c>
      <c r="AW275">
        <v>0</v>
      </c>
      <c r="AX275">
        <v>0</v>
      </c>
      <c r="AY275">
        <v>1</v>
      </c>
      <c r="AZ275">
        <v>0</v>
      </c>
      <c r="BA275" t="s">
        <v>15</v>
      </c>
      <c r="BB275" t="s">
        <v>4</v>
      </c>
      <c r="BC275" t="s">
        <v>10</v>
      </c>
      <c r="BD275">
        <v>0</v>
      </c>
      <c r="BE275">
        <v>0</v>
      </c>
      <c r="BF275">
        <v>0</v>
      </c>
      <c r="BG275">
        <v>0</v>
      </c>
      <c r="BH275">
        <v>0</v>
      </c>
      <c r="BI275" t="s">
        <v>9</v>
      </c>
      <c r="BJ275">
        <v>4.9320000000000002E-5</v>
      </c>
      <c r="BK275">
        <v>0</v>
      </c>
      <c r="BL275">
        <v>-3.3019999999999999E-5</v>
      </c>
      <c r="BM275" s="2">
        <f t="shared" si="4"/>
        <v>2.1918236770961852E-7</v>
      </c>
    </row>
    <row r="276" spans="1:65" x14ac:dyDescent="0.35">
      <c r="A276">
        <v>0</v>
      </c>
      <c r="B276" t="s">
        <v>3</v>
      </c>
      <c r="C276" t="s">
        <v>4</v>
      </c>
      <c r="D276">
        <v>0</v>
      </c>
      <c r="E276" t="s">
        <v>3</v>
      </c>
      <c r="F276" t="s">
        <v>5</v>
      </c>
      <c r="G276">
        <v>4728.5444269999998</v>
      </c>
      <c r="H276" t="s">
        <v>4</v>
      </c>
      <c r="I276">
        <v>990.16341899999998</v>
      </c>
      <c r="J276">
        <v>3738.3810079999998</v>
      </c>
      <c r="K276" t="s">
        <v>6</v>
      </c>
      <c r="L276" t="s">
        <v>7</v>
      </c>
      <c r="M276" t="s">
        <v>8</v>
      </c>
      <c r="N276" t="s">
        <v>6</v>
      </c>
      <c r="O276" t="s">
        <v>3</v>
      </c>
      <c r="P276" t="s">
        <v>3</v>
      </c>
      <c r="Q276" t="s">
        <v>3</v>
      </c>
      <c r="R276" t="s">
        <v>3</v>
      </c>
      <c r="S276" t="s">
        <v>3</v>
      </c>
      <c r="T276" t="s">
        <v>7</v>
      </c>
      <c r="U276">
        <v>2</v>
      </c>
      <c r="V276">
        <v>0</v>
      </c>
      <c r="W276">
        <v>0</v>
      </c>
      <c r="X276">
        <v>0</v>
      </c>
      <c r="Y276">
        <v>0</v>
      </c>
      <c r="Z276" t="s">
        <v>27</v>
      </c>
      <c r="AA276" t="s">
        <v>4</v>
      </c>
      <c r="AB276" t="s">
        <v>6</v>
      </c>
      <c r="AC276" t="s">
        <v>7</v>
      </c>
      <c r="AD276" t="s">
        <v>8</v>
      </c>
      <c r="AE276" t="s">
        <v>6</v>
      </c>
      <c r="AF276" t="s">
        <v>3</v>
      </c>
      <c r="AG276" t="s">
        <v>3</v>
      </c>
      <c r="AH276" t="s">
        <v>3</v>
      </c>
      <c r="AI276" t="s">
        <v>3</v>
      </c>
      <c r="AJ276" t="s">
        <v>3</v>
      </c>
      <c r="AK276" t="s">
        <v>7</v>
      </c>
      <c r="AL276">
        <v>0</v>
      </c>
      <c r="AM276">
        <v>0</v>
      </c>
      <c r="AN276">
        <v>0</v>
      </c>
      <c r="AO276">
        <v>0</v>
      </c>
      <c r="AP276">
        <v>0</v>
      </c>
      <c r="AQ276" t="s">
        <v>9</v>
      </c>
      <c r="AR276" s="1">
        <v>5.3835838700000002E-5</v>
      </c>
      <c r="AS276" s="1">
        <v>2.9110032200000002E-26</v>
      </c>
      <c r="AT276">
        <v>12</v>
      </c>
      <c r="AU276" t="s">
        <v>10</v>
      </c>
      <c r="AV276">
        <v>2</v>
      </c>
      <c r="AW276">
        <v>0</v>
      </c>
      <c r="AX276">
        <v>0</v>
      </c>
      <c r="AY276">
        <v>0</v>
      </c>
      <c r="AZ276">
        <v>0</v>
      </c>
      <c r="BA276" t="s">
        <v>27</v>
      </c>
      <c r="BB276" t="s">
        <v>4</v>
      </c>
      <c r="BC276" t="s">
        <v>10</v>
      </c>
      <c r="BD276">
        <v>0</v>
      </c>
      <c r="BE276">
        <v>0</v>
      </c>
      <c r="BF276">
        <v>0</v>
      </c>
      <c r="BG276">
        <v>0</v>
      </c>
      <c r="BH276">
        <v>0</v>
      </c>
      <c r="BI276" t="s">
        <v>9</v>
      </c>
      <c r="BJ276">
        <v>4.8980000000000002E-5</v>
      </c>
      <c r="BK276">
        <v>0</v>
      </c>
      <c r="BL276">
        <v>-2.234E-5</v>
      </c>
      <c r="BM276" s="2">
        <f t="shared" si="4"/>
        <v>1.7530471260093378E-7</v>
      </c>
    </row>
    <row r="277" spans="1:65" x14ac:dyDescent="0.35">
      <c r="A277">
        <v>0</v>
      </c>
      <c r="B277" t="s">
        <v>11</v>
      </c>
      <c r="C277" t="s">
        <v>4</v>
      </c>
      <c r="D277">
        <v>0</v>
      </c>
      <c r="E277" t="s">
        <v>3</v>
      </c>
      <c r="F277" t="s">
        <v>5</v>
      </c>
      <c r="G277">
        <v>4006.5925510000002</v>
      </c>
      <c r="H277" t="s">
        <v>4</v>
      </c>
      <c r="I277">
        <v>990.16341899999998</v>
      </c>
      <c r="J277">
        <v>3016.4291320000002</v>
      </c>
      <c r="K277" t="s">
        <v>6</v>
      </c>
      <c r="L277" t="s">
        <v>7</v>
      </c>
      <c r="M277" t="s">
        <v>8</v>
      </c>
      <c r="N277" t="s">
        <v>6</v>
      </c>
      <c r="O277" t="s">
        <v>3</v>
      </c>
      <c r="P277" t="s">
        <v>3</v>
      </c>
      <c r="Q277" t="s">
        <v>3</v>
      </c>
      <c r="R277" t="s">
        <v>3</v>
      </c>
      <c r="S277" t="s">
        <v>11</v>
      </c>
      <c r="T277" t="s">
        <v>7</v>
      </c>
      <c r="U277">
        <v>0</v>
      </c>
      <c r="V277">
        <v>2</v>
      </c>
      <c r="W277">
        <v>0</v>
      </c>
      <c r="X277">
        <v>0</v>
      </c>
      <c r="Y277">
        <v>0</v>
      </c>
      <c r="Z277" t="s">
        <v>14</v>
      </c>
      <c r="AA277" t="s">
        <v>4</v>
      </c>
      <c r="AB277" t="s">
        <v>6</v>
      </c>
      <c r="AC277" t="s">
        <v>7</v>
      </c>
      <c r="AD277" t="s">
        <v>8</v>
      </c>
      <c r="AE277" t="s">
        <v>6</v>
      </c>
      <c r="AF277" t="s">
        <v>3</v>
      </c>
      <c r="AG277" t="s">
        <v>3</v>
      </c>
      <c r="AH277" t="s">
        <v>3</v>
      </c>
      <c r="AI277" t="s">
        <v>3</v>
      </c>
      <c r="AJ277" t="s">
        <v>3</v>
      </c>
      <c r="AK277" t="s">
        <v>7</v>
      </c>
      <c r="AL277">
        <v>0</v>
      </c>
      <c r="AM277">
        <v>0</v>
      </c>
      <c r="AN277">
        <v>0</v>
      </c>
      <c r="AO277">
        <v>0</v>
      </c>
      <c r="AP277">
        <v>0</v>
      </c>
      <c r="AQ277" t="s">
        <v>9</v>
      </c>
      <c r="AR277" s="1">
        <v>1.5973522999999999E-4</v>
      </c>
      <c r="AS277" s="1">
        <v>2.0678094200000001E-25</v>
      </c>
      <c r="AT277">
        <v>12</v>
      </c>
      <c r="AU277" t="s">
        <v>10</v>
      </c>
      <c r="AV277">
        <v>0</v>
      </c>
      <c r="AW277">
        <v>2</v>
      </c>
      <c r="AX277">
        <v>0</v>
      </c>
      <c r="AY277">
        <v>0</v>
      </c>
      <c r="AZ277">
        <v>0</v>
      </c>
      <c r="BA277" t="s">
        <v>14</v>
      </c>
      <c r="BB277" t="s">
        <v>4</v>
      </c>
      <c r="BC277" t="s">
        <v>10</v>
      </c>
      <c r="BD277">
        <v>0</v>
      </c>
      <c r="BE277">
        <v>0</v>
      </c>
      <c r="BF277">
        <v>0</v>
      </c>
      <c r="BG277">
        <v>0</v>
      </c>
      <c r="BH277">
        <v>0</v>
      </c>
      <c r="BI277" t="s">
        <v>9</v>
      </c>
      <c r="BJ277">
        <v>0</v>
      </c>
      <c r="BK277">
        <v>1.5974000000000001E-4</v>
      </c>
      <c r="BL277">
        <v>0</v>
      </c>
      <c r="BM277" s="2">
        <f t="shared" si="4"/>
        <v>1.2452639474806335E-6</v>
      </c>
    </row>
    <row r="278" spans="1:65" x14ac:dyDescent="0.35">
      <c r="A278">
        <v>0</v>
      </c>
      <c r="B278" t="s">
        <v>11</v>
      </c>
      <c r="C278" t="s">
        <v>4</v>
      </c>
      <c r="D278">
        <v>0</v>
      </c>
      <c r="E278" t="s">
        <v>3</v>
      </c>
      <c r="F278" t="s">
        <v>5</v>
      </c>
      <c r="G278">
        <v>4123.1850869999998</v>
      </c>
      <c r="H278" t="s">
        <v>4</v>
      </c>
      <c r="I278">
        <v>990.16341899999998</v>
      </c>
      <c r="J278">
        <v>3133.0216679999999</v>
      </c>
      <c r="K278" t="s">
        <v>6</v>
      </c>
      <c r="L278" t="s">
        <v>7</v>
      </c>
      <c r="M278" t="s">
        <v>8</v>
      </c>
      <c r="N278" t="s">
        <v>6</v>
      </c>
      <c r="O278" t="s">
        <v>3</v>
      </c>
      <c r="P278" t="s">
        <v>3</v>
      </c>
      <c r="Q278" t="s">
        <v>3</v>
      </c>
      <c r="R278" t="s">
        <v>3</v>
      </c>
      <c r="S278" t="s">
        <v>11</v>
      </c>
      <c r="T278" t="s">
        <v>7</v>
      </c>
      <c r="U278">
        <v>0</v>
      </c>
      <c r="V278">
        <v>0</v>
      </c>
      <c r="W278">
        <v>0</v>
      </c>
      <c r="X278">
        <v>3</v>
      </c>
      <c r="Y278">
        <v>0</v>
      </c>
      <c r="Z278" t="s">
        <v>23</v>
      </c>
      <c r="AA278" t="s">
        <v>4</v>
      </c>
      <c r="AB278" t="s">
        <v>6</v>
      </c>
      <c r="AC278" t="s">
        <v>7</v>
      </c>
      <c r="AD278" t="s">
        <v>8</v>
      </c>
      <c r="AE278" t="s">
        <v>6</v>
      </c>
      <c r="AF278" t="s">
        <v>3</v>
      </c>
      <c r="AG278" t="s">
        <v>3</v>
      </c>
      <c r="AH278" t="s">
        <v>3</v>
      </c>
      <c r="AI278" t="s">
        <v>3</v>
      </c>
      <c r="AJ278" t="s">
        <v>3</v>
      </c>
      <c r="AK278" t="s">
        <v>7</v>
      </c>
      <c r="AL278">
        <v>0</v>
      </c>
      <c r="AM278">
        <v>0</v>
      </c>
      <c r="AN278">
        <v>0</v>
      </c>
      <c r="AO278">
        <v>0</v>
      </c>
      <c r="AP278">
        <v>0</v>
      </c>
      <c r="AQ278" t="s">
        <v>9</v>
      </c>
      <c r="AR278" s="1">
        <v>2.04404474E-5</v>
      </c>
      <c r="AS278" s="1">
        <v>3.5169017600000003E-27</v>
      </c>
      <c r="AT278">
        <v>14</v>
      </c>
      <c r="AU278" t="s">
        <v>10</v>
      </c>
      <c r="AV278">
        <v>0</v>
      </c>
      <c r="AW278">
        <v>0</v>
      </c>
      <c r="AX278">
        <v>0</v>
      </c>
      <c r="AY278">
        <v>3</v>
      </c>
      <c r="AZ278">
        <v>0</v>
      </c>
      <c r="BA278" t="s">
        <v>23</v>
      </c>
      <c r="BB278" t="s">
        <v>4</v>
      </c>
      <c r="BC278" t="s">
        <v>10</v>
      </c>
      <c r="BD278">
        <v>0</v>
      </c>
      <c r="BE278">
        <v>0</v>
      </c>
      <c r="BF278">
        <v>0</v>
      </c>
      <c r="BG278">
        <v>0</v>
      </c>
      <c r="BH278">
        <v>0</v>
      </c>
      <c r="BI278" t="s">
        <v>9</v>
      </c>
      <c r="BJ278">
        <v>0</v>
      </c>
      <c r="BK278">
        <v>2.0440000000000001E-5</v>
      </c>
      <c r="BL278">
        <v>0</v>
      </c>
      <c r="BM278" s="2">
        <f t="shared" si="4"/>
        <v>2.1179277578487811E-8</v>
      </c>
    </row>
    <row r="279" spans="1:65" x14ac:dyDescent="0.35">
      <c r="A279">
        <v>0</v>
      </c>
      <c r="B279" t="s">
        <v>11</v>
      </c>
      <c r="C279" t="s">
        <v>4</v>
      </c>
      <c r="D279">
        <v>0</v>
      </c>
      <c r="E279" t="s">
        <v>3</v>
      </c>
      <c r="F279" t="s">
        <v>5</v>
      </c>
      <c r="G279">
        <v>4380.226858</v>
      </c>
      <c r="H279" t="s">
        <v>4</v>
      </c>
      <c r="I279">
        <v>990.16341899999998</v>
      </c>
      <c r="J279">
        <v>3390.063439</v>
      </c>
      <c r="K279" t="s">
        <v>6</v>
      </c>
      <c r="L279" t="s">
        <v>7</v>
      </c>
      <c r="M279" t="s">
        <v>8</v>
      </c>
      <c r="N279" t="s">
        <v>6</v>
      </c>
      <c r="O279" t="s">
        <v>3</v>
      </c>
      <c r="P279" t="s">
        <v>3</v>
      </c>
      <c r="Q279" t="s">
        <v>3</v>
      </c>
      <c r="R279" t="s">
        <v>3</v>
      </c>
      <c r="S279" t="s">
        <v>11</v>
      </c>
      <c r="T279" t="s">
        <v>7</v>
      </c>
      <c r="U279">
        <v>0</v>
      </c>
      <c r="V279">
        <v>0</v>
      </c>
      <c r="W279">
        <v>0</v>
      </c>
      <c r="X279">
        <v>3</v>
      </c>
      <c r="Y279">
        <v>1</v>
      </c>
      <c r="Z279" t="s">
        <v>19</v>
      </c>
      <c r="AA279" t="s">
        <v>4</v>
      </c>
      <c r="AB279" t="s">
        <v>6</v>
      </c>
      <c r="AC279" t="s">
        <v>7</v>
      </c>
      <c r="AD279" t="s">
        <v>8</v>
      </c>
      <c r="AE279" t="s">
        <v>6</v>
      </c>
      <c r="AF279" t="s">
        <v>3</v>
      </c>
      <c r="AG279" t="s">
        <v>3</v>
      </c>
      <c r="AH279" t="s">
        <v>3</v>
      </c>
      <c r="AI279" t="s">
        <v>3</v>
      </c>
      <c r="AJ279" t="s">
        <v>3</v>
      </c>
      <c r="AK279" t="s">
        <v>7</v>
      </c>
      <c r="AL279">
        <v>0</v>
      </c>
      <c r="AM279">
        <v>0</v>
      </c>
      <c r="AN279">
        <v>0</v>
      </c>
      <c r="AO279">
        <v>0</v>
      </c>
      <c r="AP279">
        <v>0</v>
      </c>
      <c r="AQ279" t="s">
        <v>9</v>
      </c>
      <c r="AR279" s="1">
        <v>1.5133874599999999E-5</v>
      </c>
      <c r="AS279" s="1">
        <v>2.0860476100000001E-27</v>
      </c>
      <c r="AT279">
        <v>12</v>
      </c>
      <c r="AU279" t="s">
        <v>10</v>
      </c>
      <c r="AV279">
        <v>0</v>
      </c>
      <c r="AW279">
        <v>0</v>
      </c>
      <c r="AX279">
        <v>0</v>
      </c>
      <c r="AY279">
        <v>3</v>
      </c>
      <c r="AZ279">
        <v>1</v>
      </c>
      <c r="BA279" t="s">
        <v>19</v>
      </c>
      <c r="BB279" t="s">
        <v>4</v>
      </c>
      <c r="BC279" t="s">
        <v>10</v>
      </c>
      <c r="BD279">
        <v>0</v>
      </c>
      <c r="BE279">
        <v>0</v>
      </c>
      <c r="BF279">
        <v>0</v>
      </c>
      <c r="BG279">
        <v>0</v>
      </c>
      <c r="BH279">
        <v>0</v>
      </c>
      <c r="BI279" t="s">
        <v>9</v>
      </c>
      <c r="BJ279">
        <v>0</v>
      </c>
      <c r="BK279">
        <v>1.5130000000000001E-5</v>
      </c>
      <c r="BL279">
        <v>0</v>
      </c>
      <c r="BM279" s="2">
        <f t="shared" si="4"/>
        <v>1.2562472422923488E-8</v>
      </c>
    </row>
    <row r="280" spans="1:65" x14ac:dyDescent="0.35">
      <c r="A280">
        <v>0</v>
      </c>
      <c r="B280" t="s">
        <v>11</v>
      </c>
      <c r="C280" t="s">
        <v>4</v>
      </c>
      <c r="D280">
        <v>0</v>
      </c>
      <c r="E280" t="s">
        <v>3</v>
      </c>
      <c r="F280" t="s">
        <v>5</v>
      </c>
      <c r="G280">
        <v>4789.2796900000003</v>
      </c>
      <c r="H280" t="s">
        <v>4</v>
      </c>
      <c r="I280">
        <v>990.16341899999998</v>
      </c>
      <c r="J280">
        <v>3799.1162709999999</v>
      </c>
      <c r="K280" t="s">
        <v>6</v>
      </c>
      <c r="L280" t="s">
        <v>7</v>
      </c>
      <c r="M280" t="s">
        <v>8</v>
      </c>
      <c r="N280" t="s">
        <v>6</v>
      </c>
      <c r="O280" t="s">
        <v>3</v>
      </c>
      <c r="P280" t="s">
        <v>3</v>
      </c>
      <c r="Q280" t="s">
        <v>3</v>
      </c>
      <c r="R280" t="s">
        <v>3</v>
      </c>
      <c r="S280" t="s">
        <v>11</v>
      </c>
      <c r="T280" t="s">
        <v>7</v>
      </c>
      <c r="U280">
        <v>0</v>
      </c>
      <c r="V280">
        <v>1</v>
      </c>
      <c r="W280">
        <v>0</v>
      </c>
      <c r="X280">
        <v>3</v>
      </c>
      <c r="Y280">
        <v>0</v>
      </c>
      <c r="Z280" t="s">
        <v>19</v>
      </c>
      <c r="AA280" t="s">
        <v>4</v>
      </c>
      <c r="AB280" t="s">
        <v>6</v>
      </c>
      <c r="AC280" t="s">
        <v>7</v>
      </c>
      <c r="AD280" t="s">
        <v>8</v>
      </c>
      <c r="AE280" t="s">
        <v>6</v>
      </c>
      <c r="AF280" t="s">
        <v>3</v>
      </c>
      <c r="AG280" t="s">
        <v>3</v>
      </c>
      <c r="AH280" t="s">
        <v>3</v>
      </c>
      <c r="AI280" t="s">
        <v>3</v>
      </c>
      <c r="AJ280" t="s">
        <v>3</v>
      </c>
      <c r="AK280" t="s">
        <v>7</v>
      </c>
      <c r="AL280">
        <v>0</v>
      </c>
      <c r="AM280">
        <v>0</v>
      </c>
      <c r="AN280">
        <v>0</v>
      </c>
      <c r="AO280">
        <v>0</v>
      </c>
      <c r="AP280">
        <v>0</v>
      </c>
      <c r="AQ280" t="s">
        <v>9</v>
      </c>
      <c r="AR280" s="1">
        <v>1.73270196E-5</v>
      </c>
      <c r="AS280" s="1">
        <v>3.0644072299999999E-27</v>
      </c>
      <c r="AT280">
        <v>13</v>
      </c>
      <c r="AU280" t="s">
        <v>10</v>
      </c>
      <c r="AV280">
        <v>0</v>
      </c>
      <c r="AW280">
        <v>1</v>
      </c>
      <c r="AX280">
        <v>0</v>
      </c>
      <c r="AY280">
        <v>3</v>
      </c>
      <c r="AZ280">
        <v>0</v>
      </c>
      <c r="BA280" t="s">
        <v>19</v>
      </c>
      <c r="BB280" t="s">
        <v>4</v>
      </c>
      <c r="BC280" t="s">
        <v>10</v>
      </c>
      <c r="BD280">
        <v>0</v>
      </c>
      <c r="BE280">
        <v>0</v>
      </c>
      <c r="BF280">
        <v>0</v>
      </c>
      <c r="BG280">
        <v>0</v>
      </c>
      <c r="BH280">
        <v>0</v>
      </c>
      <c r="BI280" t="s">
        <v>9</v>
      </c>
      <c r="BJ280">
        <v>0</v>
      </c>
      <c r="BK280">
        <v>1.7329999999999998E-5</v>
      </c>
      <c r="BL280">
        <v>0</v>
      </c>
      <c r="BM280" s="2">
        <f t="shared" si="4"/>
        <v>1.8454291807597983E-8</v>
      </c>
    </row>
    <row r="281" spans="1:65" x14ac:dyDescent="0.35">
      <c r="A281">
        <v>0</v>
      </c>
      <c r="B281" t="s">
        <v>11</v>
      </c>
      <c r="C281" t="s">
        <v>4</v>
      </c>
      <c r="D281">
        <v>0</v>
      </c>
      <c r="E281" t="s">
        <v>3</v>
      </c>
      <c r="F281" t="s">
        <v>5</v>
      </c>
      <c r="G281">
        <v>4600.9677089999996</v>
      </c>
      <c r="H281" t="s">
        <v>4</v>
      </c>
      <c r="I281">
        <v>990.16341899999998</v>
      </c>
      <c r="J281">
        <v>3610.80429</v>
      </c>
      <c r="K281" t="s">
        <v>6</v>
      </c>
      <c r="L281" t="s">
        <v>7</v>
      </c>
      <c r="M281" t="s">
        <v>8</v>
      </c>
      <c r="N281" t="s">
        <v>6</v>
      </c>
      <c r="O281" t="s">
        <v>3</v>
      </c>
      <c r="P281" t="s">
        <v>3</v>
      </c>
      <c r="Q281" t="s">
        <v>3</v>
      </c>
      <c r="R281" t="s">
        <v>3</v>
      </c>
      <c r="S281" t="s">
        <v>11</v>
      </c>
      <c r="T281" t="s">
        <v>7</v>
      </c>
      <c r="U281">
        <v>0</v>
      </c>
      <c r="V281">
        <v>0</v>
      </c>
      <c r="W281">
        <v>0</v>
      </c>
      <c r="X281">
        <v>3</v>
      </c>
      <c r="Y281">
        <v>1</v>
      </c>
      <c r="Z281" t="s">
        <v>19</v>
      </c>
      <c r="AA281" t="s">
        <v>4</v>
      </c>
      <c r="AB281" t="s">
        <v>6</v>
      </c>
      <c r="AC281" t="s">
        <v>7</v>
      </c>
      <c r="AD281" t="s">
        <v>8</v>
      </c>
      <c r="AE281" t="s">
        <v>6</v>
      </c>
      <c r="AF281" t="s">
        <v>3</v>
      </c>
      <c r="AG281" t="s">
        <v>3</v>
      </c>
      <c r="AH281" t="s">
        <v>3</v>
      </c>
      <c r="AI281" t="s">
        <v>3</v>
      </c>
      <c r="AJ281" t="s">
        <v>3</v>
      </c>
      <c r="AK281" t="s">
        <v>7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9</v>
      </c>
      <c r="AR281" s="1">
        <v>2.4311840500000001E-5</v>
      </c>
      <c r="AS281" s="1">
        <v>5.7339747400000001E-27</v>
      </c>
      <c r="AT281">
        <v>14</v>
      </c>
      <c r="AU281" t="s">
        <v>10</v>
      </c>
      <c r="AV281">
        <v>0</v>
      </c>
      <c r="AW281">
        <v>0</v>
      </c>
      <c r="AX281">
        <v>0</v>
      </c>
      <c r="AY281">
        <v>3</v>
      </c>
      <c r="AZ281">
        <v>1</v>
      </c>
      <c r="BA281" t="s">
        <v>19</v>
      </c>
      <c r="BB281" t="s">
        <v>4</v>
      </c>
      <c r="BC281" t="s">
        <v>10</v>
      </c>
      <c r="BD281">
        <v>0</v>
      </c>
      <c r="BE281">
        <v>0</v>
      </c>
      <c r="BF281">
        <v>0</v>
      </c>
      <c r="BG281">
        <v>0</v>
      </c>
      <c r="BH281">
        <v>0</v>
      </c>
      <c r="BI281" t="s">
        <v>9</v>
      </c>
      <c r="BJ281">
        <v>0</v>
      </c>
      <c r="BK281">
        <v>-2.4309999999999999E-5</v>
      </c>
      <c r="BL281">
        <v>0</v>
      </c>
      <c r="BM281" s="2">
        <f t="shared" si="4"/>
        <v>3.4530803227923391E-8</v>
      </c>
    </row>
    <row r="282" spans="1:65" x14ac:dyDescent="0.35">
      <c r="A282">
        <v>0</v>
      </c>
      <c r="B282" t="s">
        <v>3</v>
      </c>
      <c r="C282" t="s">
        <v>4</v>
      </c>
      <c r="D282">
        <v>0</v>
      </c>
      <c r="E282" t="s">
        <v>3</v>
      </c>
      <c r="F282" t="s">
        <v>5</v>
      </c>
      <c r="G282">
        <v>3812.0284059999999</v>
      </c>
      <c r="H282" t="s">
        <v>4</v>
      </c>
      <c r="I282">
        <v>990.16341899999998</v>
      </c>
      <c r="J282">
        <v>2821.8649869999999</v>
      </c>
      <c r="K282" t="s">
        <v>6</v>
      </c>
      <c r="L282" t="s">
        <v>7</v>
      </c>
      <c r="M282" t="s">
        <v>8</v>
      </c>
      <c r="N282" t="s">
        <v>6</v>
      </c>
      <c r="O282" t="s">
        <v>3</v>
      </c>
      <c r="P282" t="s">
        <v>3</v>
      </c>
      <c r="Q282" t="s">
        <v>3</v>
      </c>
      <c r="R282" t="s">
        <v>3</v>
      </c>
      <c r="S282" t="s">
        <v>3</v>
      </c>
      <c r="T282" t="s">
        <v>7</v>
      </c>
      <c r="U282">
        <v>1</v>
      </c>
      <c r="V282">
        <v>0</v>
      </c>
      <c r="W282">
        <v>0</v>
      </c>
      <c r="X282">
        <v>1</v>
      </c>
      <c r="Y282">
        <v>0</v>
      </c>
      <c r="Z282" t="s">
        <v>29</v>
      </c>
      <c r="AA282" t="s">
        <v>4</v>
      </c>
      <c r="AB282" t="s">
        <v>6</v>
      </c>
      <c r="AC282" t="s">
        <v>7</v>
      </c>
      <c r="AD282" t="s">
        <v>8</v>
      </c>
      <c r="AE282" t="s">
        <v>6</v>
      </c>
      <c r="AF282" t="s">
        <v>3</v>
      </c>
      <c r="AG282" t="s">
        <v>3</v>
      </c>
      <c r="AH282" t="s">
        <v>3</v>
      </c>
      <c r="AI282" t="s">
        <v>3</v>
      </c>
      <c r="AJ282" t="s">
        <v>3</v>
      </c>
      <c r="AK282" t="s">
        <v>7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9</v>
      </c>
      <c r="AR282" s="1">
        <v>2.0473232999999999E-4</v>
      </c>
      <c r="AS282" s="1">
        <v>3.1777865899999999E-25</v>
      </c>
      <c r="AT282">
        <v>12</v>
      </c>
      <c r="AU282" t="s">
        <v>10</v>
      </c>
      <c r="AV282">
        <v>1</v>
      </c>
      <c r="AW282">
        <v>0</v>
      </c>
      <c r="AX282">
        <v>0</v>
      </c>
      <c r="AY282">
        <v>1</v>
      </c>
      <c r="AZ282">
        <v>0</v>
      </c>
      <c r="BA282" t="s">
        <v>29</v>
      </c>
      <c r="BB282" t="s">
        <v>4</v>
      </c>
      <c r="BC282" t="s">
        <v>10</v>
      </c>
      <c r="BD282">
        <v>0</v>
      </c>
      <c r="BE282">
        <v>0</v>
      </c>
      <c r="BF282">
        <v>0</v>
      </c>
      <c r="BG282">
        <v>0</v>
      </c>
      <c r="BH282">
        <v>0</v>
      </c>
      <c r="BI282" t="s">
        <v>9</v>
      </c>
      <c r="BJ282">
        <v>-2.0473E-4</v>
      </c>
      <c r="BK282">
        <v>0</v>
      </c>
      <c r="BL282">
        <v>-2.9999999999999999E-7</v>
      </c>
      <c r="BM282" s="2">
        <f t="shared" si="4"/>
        <v>1.9137078277331872E-6</v>
      </c>
    </row>
    <row r="283" spans="1:65" x14ac:dyDescent="0.35">
      <c r="A283">
        <v>0</v>
      </c>
      <c r="B283" t="s">
        <v>3</v>
      </c>
      <c r="C283" t="s">
        <v>4</v>
      </c>
      <c r="D283">
        <v>0</v>
      </c>
      <c r="E283" t="s">
        <v>3</v>
      </c>
      <c r="F283" t="s">
        <v>5</v>
      </c>
      <c r="G283">
        <v>3530.7061130000002</v>
      </c>
      <c r="H283" t="s">
        <v>4</v>
      </c>
      <c r="I283">
        <v>990.16341899999998</v>
      </c>
      <c r="J283">
        <v>2540.5426940000002</v>
      </c>
      <c r="K283" t="s">
        <v>6</v>
      </c>
      <c r="L283" t="s">
        <v>7</v>
      </c>
      <c r="M283" t="s">
        <v>8</v>
      </c>
      <c r="N283" t="s">
        <v>6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 t="s">
        <v>7</v>
      </c>
      <c r="U283">
        <v>0</v>
      </c>
      <c r="V283">
        <v>0</v>
      </c>
      <c r="W283">
        <v>0</v>
      </c>
      <c r="X283">
        <v>4</v>
      </c>
      <c r="Y283">
        <v>0</v>
      </c>
      <c r="Z283" t="s">
        <v>21</v>
      </c>
      <c r="AA283" t="s">
        <v>4</v>
      </c>
      <c r="AB283" t="s">
        <v>6</v>
      </c>
      <c r="AC283" t="s">
        <v>7</v>
      </c>
      <c r="AD283" t="s">
        <v>8</v>
      </c>
      <c r="AE283" t="s">
        <v>6</v>
      </c>
      <c r="AF283" t="s">
        <v>3</v>
      </c>
      <c r="AG283" t="s">
        <v>3</v>
      </c>
      <c r="AH283" t="s">
        <v>3</v>
      </c>
      <c r="AI283" t="s">
        <v>3</v>
      </c>
      <c r="AJ283" t="s">
        <v>3</v>
      </c>
      <c r="AK283" t="s">
        <v>7</v>
      </c>
      <c r="AL283">
        <v>0</v>
      </c>
      <c r="AM283">
        <v>0</v>
      </c>
      <c r="AN283">
        <v>0</v>
      </c>
      <c r="AO283">
        <v>0</v>
      </c>
      <c r="AP283">
        <v>0</v>
      </c>
      <c r="AQ283" t="s">
        <v>9</v>
      </c>
      <c r="AR283" s="1">
        <v>3.0817818099999998E-3</v>
      </c>
      <c r="AS283" s="1">
        <v>6.4825278400000004E-23</v>
      </c>
      <c r="AT283">
        <v>12</v>
      </c>
      <c r="AU283" t="s">
        <v>10</v>
      </c>
      <c r="AV283">
        <v>0</v>
      </c>
      <c r="AW283">
        <v>0</v>
      </c>
      <c r="AX283">
        <v>0</v>
      </c>
      <c r="AY283">
        <v>4</v>
      </c>
      <c r="AZ283">
        <v>0</v>
      </c>
      <c r="BA283" t="s">
        <v>21</v>
      </c>
      <c r="BB283" t="s">
        <v>4</v>
      </c>
      <c r="BC283" t="s">
        <v>10</v>
      </c>
      <c r="BD283">
        <v>0</v>
      </c>
      <c r="BE283">
        <v>0</v>
      </c>
      <c r="BF283">
        <v>0</v>
      </c>
      <c r="BG283">
        <v>0</v>
      </c>
      <c r="BH283">
        <v>0</v>
      </c>
      <c r="BI283" t="s">
        <v>9</v>
      </c>
      <c r="BJ283">
        <v>-2.3637200000000001E-3</v>
      </c>
      <c r="BK283">
        <v>0</v>
      </c>
      <c r="BL283">
        <v>1.9774200000000001E-3</v>
      </c>
      <c r="BM283" s="2">
        <f t="shared" si="4"/>
        <v>3.9038695392399876E-4</v>
      </c>
    </row>
    <row r="284" spans="1:65" x14ac:dyDescent="0.35">
      <c r="A284">
        <v>0</v>
      </c>
      <c r="B284" t="s">
        <v>11</v>
      </c>
      <c r="C284" t="s">
        <v>4</v>
      </c>
      <c r="D284">
        <v>0</v>
      </c>
      <c r="E284" t="s">
        <v>3</v>
      </c>
      <c r="F284" t="s">
        <v>5</v>
      </c>
      <c r="G284">
        <v>2985.4024180000001</v>
      </c>
      <c r="H284" t="s">
        <v>4</v>
      </c>
      <c r="I284">
        <v>990.16341899999998</v>
      </c>
      <c r="J284">
        <v>1995.2389989999999</v>
      </c>
      <c r="K284" t="s">
        <v>6</v>
      </c>
      <c r="L284" t="s">
        <v>7</v>
      </c>
      <c r="M284" t="s">
        <v>8</v>
      </c>
      <c r="N284" t="s">
        <v>6</v>
      </c>
      <c r="O284" t="s">
        <v>3</v>
      </c>
      <c r="P284" t="s">
        <v>3</v>
      </c>
      <c r="Q284" t="s">
        <v>3</v>
      </c>
      <c r="R284" t="s">
        <v>3</v>
      </c>
      <c r="S284" t="s">
        <v>11</v>
      </c>
      <c r="T284" t="s">
        <v>7</v>
      </c>
      <c r="U284">
        <v>0</v>
      </c>
      <c r="V284">
        <v>0</v>
      </c>
      <c r="W284">
        <v>0</v>
      </c>
      <c r="X284">
        <v>1</v>
      </c>
      <c r="Y284">
        <v>1</v>
      </c>
      <c r="Z284" t="s">
        <v>13</v>
      </c>
      <c r="AA284" t="s">
        <v>4</v>
      </c>
      <c r="AB284" t="s">
        <v>6</v>
      </c>
      <c r="AC284" t="s">
        <v>7</v>
      </c>
      <c r="AD284" t="s">
        <v>8</v>
      </c>
      <c r="AE284" t="s">
        <v>6</v>
      </c>
      <c r="AF284" t="s">
        <v>3</v>
      </c>
      <c r="AG284" t="s">
        <v>3</v>
      </c>
      <c r="AH284" t="s">
        <v>3</v>
      </c>
      <c r="AI284" t="s">
        <v>3</v>
      </c>
      <c r="AJ284" t="s">
        <v>3</v>
      </c>
      <c r="AK284" t="s">
        <v>7</v>
      </c>
      <c r="AL284">
        <v>0</v>
      </c>
      <c r="AM284">
        <v>0</v>
      </c>
      <c r="AN284">
        <v>0</v>
      </c>
      <c r="AO284">
        <v>0</v>
      </c>
      <c r="AP284">
        <v>0</v>
      </c>
      <c r="AQ284" t="s">
        <v>9</v>
      </c>
      <c r="AR284" s="1">
        <v>1.2763365900000001E-4</v>
      </c>
      <c r="AS284" s="1">
        <v>8.73198677E-26</v>
      </c>
      <c r="AT284">
        <v>13</v>
      </c>
      <c r="AU284" t="s">
        <v>10</v>
      </c>
      <c r="AV284">
        <v>0</v>
      </c>
      <c r="AW284">
        <v>0</v>
      </c>
      <c r="AX284">
        <v>0</v>
      </c>
      <c r="AY284">
        <v>1</v>
      </c>
      <c r="AZ284">
        <v>1</v>
      </c>
      <c r="BA284" t="s">
        <v>13</v>
      </c>
      <c r="BB284" t="s">
        <v>4</v>
      </c>
      <c r="BC284" t="s">
        <v>10</v>
      </c>
      <c r="BD284">
        <v>0</v>
      </c>
      <c r="BE284">
        <v>0</v>
      </c>
      <c r="BF284">
        <v>0</v>
      </c>
      <c r="BG284">
        <v>0</v>
      </c>
      <c r="BH284">
        <v>0</v>
      </c>
      <c r="BI284" t="s">
        <v>9</v>
      </c>
      <c r="BJ284">
        <v>0</v>
      </c>
      <c r="BK284">
        <v>1.2763E-4</v>
      </c>
      <c r="BL284">
        <v>0</v>
      </c>
      <c r="BM284" s="2">
        <f t="shared" si="4"/>
        <v>5.258525379267721E-7</v>
      </c>
    </row>
    <row r="285" spans="1:65" x14ac:dyDescent="0.35">
      <c r="A285">
        <v>0</v>
      </c>
      <c r="B285" t="s">
        <v>3</v>
      </c>
      <c r="C285" t="s">
        <v>4</v>
      </c>
      <c r="D285">
        <v>0</v>
      </c>
      <c r="E285" t="s">
        <v>3</v>
      </c>
      <c r="F285" t="s">
        <v>5</v>
      </c>
      <c r="G285">
        <v>3396.3686200000002</v>
      </c>
      <c r="H285" t="s">
        <v>4</v>
      </c>
      <c r="I285">
        <v>990.16341899999998</v>
      </c>
      <c r="J285">
        <v>2406.2052010000002</v>
      </c>
      <c r="K285" t="s">
        <v>6</v>
      </c>
      <c r="L285" t="s">
        <v>7</v>
      </c>
      <c r="M285" t="s">
        <v>8</v>
      </c>
      <c r="N285" t="s">
        <v>6</v>
      </c>
      <c r="O285" t="s">
        <v>3</v>
      </c>
      <c r="P285" t="s">
        <v>3</v>
      </c>
      <c r="Q285" t="s">
        <v>3</v>
      </c>
      <c r="R285" t="s">
        <v>3</v>
      </c>
      <c r="S285" t="s">
        <v>3</v>
      </c>
      <c r="T285" t="s">
        <v>7</v>
      </c>
      <c r="U285">
        <v>4</v>
      </c>
      <c r="V285">
        <v>0</v>
      </c>
      <c r="W285">
        <v>0</v>
      </c>
      <c r="X285">
        <v>0</v>
      </c>
      <c r="Y285">
        <v>0</v>
      </c>
      <c r="Z285" t="s">
        <v>8</v>
      </c>
      <c r="AA285" t="s">
        <v>4</v>
      </c>
      <c r="AB285" t="s">
        <v>6</v>
      </c>
      <c r="AC285" t="s">
        <v>7</v>
      </c>
      <c r="AD285" t="s">
        <v>8</v>
      </c>
      <c r="AE285" t="s">
        <v>6</v>
      </c>
      <c r="AF285" t="s">
        <v>3</v>
      </c>
      <c r="AG285" t="s">
        <v>3</v>
      </c>
      <c r="AH285" t="s">
        <v>3</v>
      </c>
      <c r="AI285" t="s">
        <v>3</v>
      </c>
      <c r="AJ285" t="s">
        <v>3</v>
      </c>
      <c r="AK285" t="s">
        <v>7</v>
      </c>
      <c r="AL285">
        <v>0</v>
      </c>
      <c r="AM285">
        <v>0</v>
      </c>
      <c r="AN285">
        <v>0</v>
      </c>
      <c r="AO285">
        <v>0</v>
      </c>
      <c r="AP285">
        <v>0</v>
      </c>
      <c r="AQ285" t="s">
        <v>9</v>
      </c>
      <c r="AR285" s="1">
        <v>1.83279857E-3</v>
      </c>
      <c r="AS285" s="1">
        <v>2.17157277E-23</v>
      </c>
      <c r="AT285">
        <v>14</v>
      </c>
      <c r="AU285" t="s">
        <v>10</v>
      </c>
      <c r="AV285">
        <v>4</v>
      </c>
      <c r="AW285">
        <v>0</v>
      </c>
      <c r="AX285">
        <v>0</v>
      </c>
      <c r="AY285">
        <v>0</v>
      </c>
      <c r="AZ285">
        <v>0</v>
      </c>
      <c r="BA285" t="s">
        <v>8</v>
      </c>
      <c r="BB285" t="s">
        <v>4</v>
      </c>
      <c r="BC285" t="s">
        <v>10</v>
      </c>
      <c r="BD285">
        <v>0</v>
      </c>
      <c r="BE285">
        <v>0</v>
      </c>
      <c r="BF285">
        <v>0</v>
      </c>
      <c r="BG285">
        <v>0</v>
      </c>
      <c r="BH285">
        <v>0</v>
      </c>
      <c r="BI285" t="s">
        <v>9</v>
      </c>
      <c r="BJ285">
        <v>-1.8050399999999999E-3</v>
      </c>
      <c r="BK285">
        <v>0</v>
      </c>
      <c r="BL285">
        <v>3.1780000000000003E-4</v>
      </c>
      <c r="BM285" s="2">
        <f t="shared" si="4"/>
        <v>1.3077516978386017E-4</v>
      </c>
    </row>
    <row r="286" spans="1:65" x14ac:dyDescent="0.35">
      <c r="A286">
        <v>0</v>
      </c>
      <c r="B286" t="s">
        <v>3</v>
      </c>
      <c r="C286" t="s">
        <v>4</v>
      </c>
      <c r="D286">
        <v>0</v>
      </c>
      <c r="E286" t="s">
        <v>3</v>
      </c>
      <c r="F286" t="s">
        <v>5</v>
      </c>
      <c r="G286">
        <v>2271.9658469999999</v>
      </c>
      <c r="H286" t="s">
        <v>4</v>
      </c>
      <c r="I286">
        <v>990.16341899999998</v>
      </c>
      <c r="J286">
        <v>1281.802428</v>
      </c>
      <c r="K286" t="s">
        <v>6</v>
      </c>
      <c r="L286" t="s">
        <v>7</v>
      </c>
      <c r="M286" t="s">
        <v>8</v>
      </c>
      <c r="N286" t="s">
        <v>6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 t="s">
        <v>7</v>
      </c>
      <c r="U286">
        <v>0</v>
      </c>
      <c r="V286">
        <v>0</v>
      </c>
      <c r="W286">
        <v>0</v>
      </c>
      <c r="X286">
        <v>1</v>
      </c>
      <c r="Y286">
        <v>0</v>
      </c>
      <c r="Z286" t="s">
        <v>24</v>
      </c>
      <c r="AA286" t="s">
        <v>4</v>
      </c>
      <c r="AB286" t="s">
        <v>6</v>
      </c>
      <c r="AC286" t="s">
        <v>7</v>
      </c>
      <c r="AD286" t="s">
        <v>8</v>
      </c>
      <c r="AE286" t="s">
        <v>6</v>
      </c>
      <c r="AF286" t="s">
        <v>3</v>
      </c>
      <c r="AG286" t="s">
        <v>3</v>
      </c>
      <c r="AH286" t="s">
        <v>3</v>
      </c>
      <c r="AI286" t="s">
        <v>3</v>
      </c>
      <c r="AJ286" t="s">
        <v>3</v>
      </c>
      <c r="AK286" t="s">
        <v>7</v>
      </c>
      <c r="AL286">
        <v>0</v>
      </c>
      <c r="AM286">
        <v>0</v>
      </c>
      <c r="AN286">
        <v>0</v>
      </c>
      <c r="AO286">
        <v>0</v>
      </c>
      <c r="AP286">
        <v>0</v>
      </c>
      <c r="AQ286" t="s">
        <v>9</v>
      </c>
      <c r="AR286" s="1">
        <v>6.0244205599999998E-5</v>
      </c>
      <c r="AS286" s="1">
        <v>1.2473130399999999E-26</v>
      </c>
      <c r="AT286">
        <v>12</v>
      </c>
      <c r="AU286" t="s">
        <v>10</v>
      </c>
      <c r="AV286">
        <v>0</v>
      </c>
      <c r="AW286">
        <v>0</v>
      </c>
      <c r="AX286">
        <v>0</v>
      </c>
      <c r="AY286">
        <v>1</v>
      </c>
      <c r="AZ286">
        <v>0</v>
      </c>
      <c r="BA286" t="s">
        <v>24</v>
      </c>
      <c r="BB286" t="s">
        <v>4</v>
      </c>
      <c r="BC286" t="s">
        <v>10</v>
      </c>
      <c r="BD286">
        <v>0</v>
      </c>
      <c r="BE286">
        <v>0</v>
      </c>
      <c r="BF286">
        <v>0</v>
      </c>
      <c r="BG286">
        <v>0</v>
      </c>
      <c r="BH286">
        <v>0</v>
      </c>
      <c r="BI286" t="s">
        <v>9</v>
      </c>
      <c r="BJ286">
        <v>5.384E-5</v>
      </c>
      <c r="BK286">
        <v>0</v>
      </c>
      <c r="BL286">
        <v>2.703E-5</v>
      </c>
      <c r="BM286" s="2">
        <f t="shared" si="4"/>
        <v>7.5114947485560301E-8</v>
      </c>
    </row>
    <row r="287" spans="1:65" x14ac:dyDescent="0.35">
      <c r="A287">
        <v>0</v>
      </c>
      <c r="B287" t="s">
        <v>11</v>
      </c>
      <c r="C287" t="s">
        <v>4</v>
      </c>
      <c r="D287">
        <v>0</v>
      </c>
      <c r="E287" t="s">
        <v>3</v>
      </c>
      <c r="F287" t="s">
        <v>5</v>
      </c>
      <c r="G287">
        <v>3924.148623</v>
      </c>
      <c r="H287" t="s">
        <v>4</v>
      </c>
      <c r="I287">
        <v>990.16341899999998</v>
      </c>
      <c r="J287">
        <v>2933.9852040000001</v>
      </c>
      <c r="K287" t="s">
        <v>6</v>
      </c>
      <c r="L287" t="s">
        <v>7</v>
      </c>
      <c r="M287" t="s">
        <v>8</v>
      </c>
      <c r="N287" t="s">
        <v>6</v>
      </c>
      <c r="O287" t="s">
        <v>3</v>
      </c>
      <c r="P287" t="s">
        <v>3</v>
      </c>
      <c r="Q287" t="s">
        <v>3</v>
      </c>
      <c r="R287" t="s">
        <v>3</v>
      </c>
      <c r="S287" t="s">
        <v>11</v>
      </c>
      <c r="T287" t="s">
        <v>7</v>
      </c>
      <c r="U287">
        <v>0</v>
      </c>
      <c r="V287">
        <v>1</v>
      </c>
      <c r="W287">
        <v>0</v>
      </c>
      <c r="X287">
        <v>1</v>
      </c>
      <c r="Y287">
        <v>0</v>
      </c>
      <c r="Z287" t="s">
        <v>19</v>
      </c>
      <c r="AA287" t="s">
        <v>4</v>
      </c>
      <c r="AB287" t="s">
        <v>6</v>
      </c>
      <c r="AC287" t="s">
        <v>7</v>
      </c>
      <c r="AD287" t="s">
        <v>8</v>
      </c>
      <c r="AE287" t="s">
        <v>6</v>
      </c>
      <c r="AF287" t="s">
        <v>3</v>
      </c>
      <c r="AG287" t="s">
        <v>3</v>
      </c>
      <c r="AH287" t="s">
        <v>3</v>
      </c>
      <c r="AI287" t="s">
        <v>3</v>
      </c>
      <c r="AJ287" t="s">
        <v>3</v>
      </c>
      <c r="AK287" t="s">
        <v>7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9</v>
      </c>
      <c r="AR287" s="1">
        <v>4.0864920399999997E-5</v>
      </c>
      <c r="AS287" s="1">
        <v>1.3163612600000001E-26</v>
      </c>
      <c r="AT287">
        <v>12</v>
      </c>
      <c r="AU287" t="s">
        <v>10</v>
      </c>
      <c r="AV287">
        <v>0</v>
      </c>
      <c r="AW287">
        <v>1</v>
      </c>
      <c r="AX287">
        <v>0</v>
      </c>
      <c r="AY287">
        <v>1</v>
      </c>
      <c r="AZ287">
        <v>0</v>
      </c>
      <c r="BA287" t="s">
        <v>19</v>
      </c>
      <c r="BB287" t="s">
        <v>4</v>
      </c>
      <c r="BC287" t="s">
        <v>10</v>
      </c>
      <c r="BD287">
        <v>0</v>
      </c>
      <c r="BE287">
        <v>0</v>
      </c>
      <c r="BF287">
        <v>0</v>
      </c>
      <c r="BG287">
        <v>0</v>
      </c>
      <c r="BH287">
        <v>0</v>
      </c>
      <c r="BI287" t="s">
        <v>9</v>
      </c>
      <c r="BJ287">
        <v>0</v>
      </c>
      <c r="BK287">
        <v>-4.0859999999999998E-5</v>
      </c>
      <c r="BL287">
        <v>0</v>
      </c>
      <c r="BM287" s="2">
        <f t="shared" si="4"/>
        <v>7.9273128513854072E-8</v>
      </c>
    </row>
    <row r="288" spans="1:65" x14ac:dyDescent="0.35">
      <c r="A288">
        <v>0</v>
      </c>
      <c r="B288" t="s">
        <v>3</v>
      </c>
      <c r="C288" t="s">
        <v>4</v>
      </c>
      <c r="D288">
        <v>0</v>
      </c>
      <c r="E288" t="s">
        <v>3</v>
      </c>
      <c r="F288" t="s">
        <v>5</v>
      </c>
      <c r="G288">
        <v>3183.432499</v>
      </c>
      <c r="H288" t="s">
        <v>4</v>
      </c>
      <c r="I288">
        <v>990.16341899999998</v>
      </c>
      <c r="J288">
        <v>2193.26908</v>
      </c>
      <c r="K288" t="s">
        <v>6</v>
      </c>
      <c r="L288" t="s">
        <v>7</v>
      </c>
      <c r="M288" t="s">
        <v>8</v>
      </c>
      <c r="N288" t="s">
        <v>6</v>
      </c>
      <c r="O288" t="s">
        <v>3</v>
      </c>
      <c r="P288" t="s">
        <v>3</v>
      </c>
      <c r="Q288" t="s">
        <v>3</v>
      </c>
      <c r="R288" t="s">
        <v>3</v>
      </c>
      <c r="S288" t="s">
        <v>3</v>
      </c>
      <c r="T288" t="s">
        <v>7</v>
      </c>
      <c r="U288">
        <v>1</v>
      </c>
      <c r="V288">
        <v>1</v>
      </c>
      <c r="W288">
        <v>0</v>
      </c>
      <c r="X288">
        <v>0</v>
      </c>
      <c r="Y288">
        <v>0</v>
      </c>
      <c r="Z288" t="s">
        <v>15</v>
      </c>
      <c r="AA288" t="s">
        <v>4</v>
      </c>
      <c r="AB288" t="s">
        <v>6</v>
      </c>
      <c r="AC288" t="s">
        <v>7</v>
      </c>
      <c r="AD288" t="s">
        <v>8</v>
      </c>
      <c r="AE288" t="s">
        <v>6</v>
      </c>
      <c r="AF288" t="s">
        <v>3</v>
      </c>
      <c r="AG288" t="s">
        <v>3</v>
      </c>
      <c r="AH288" t="s">
        <v>3</v>
      </c>
      <c r="AI288" t="s">
        <v>3</v>
      </c>
      <c r="AJ288" t="s">
        <v>3</v>
      </c>
      <c r="AK288" t="s">
        <v>7</v>
      </c>
      <c r="AL288">
        <v>0</v>
      </c>
      <c r="AM288">
        <v>0</v>
      </c>
      <c r="AN288">
        <v>0</v>
      </c>
      <c r="AO288">
        <v>0</v>
      </c>
      <c r="AP288">
        <v>0</v>
      </c>
      <c r="AQ288" t="s">
        <v>9</v>
      </c>
      <c r="AR288" s="1">
        <v>4.6260171400000002E-5</v>
      </c>
      <c r="AS288" s="1">
        <v>1.26098993E-26</v>
      </c>
      <c r="AT288">
        <v>14</v>
      </c>
      <c r="AU288" t="s">
        <v>10</v>
      </c>
      <c r="AV288">
        <v>1</v>
      </c>
      <c r="AW288">
        <v>1</v>
      </c>
      <c r="AX288">
        <v>0</v>
      </c>
      <c r="AY288">
        <v>0</v>
      </c>
      <c r="AZ288">
        <v>0</v>
      </c>
      <c r="BA288" t="s">
        <v>15</v>
      </c>
      <c r="BB288" t="s">
        <v>4</v>
      </c>
      <c r="BC288" t="s">
        <v>10</v>
      </c>
      <c r="BD288">
        <v>0</v>
      </c>
      <c r="BE288">
        <v>0</v>
      </c>
      <c r="BF288">
        <v>0</v>
      </c>
      <c r="BG288">
        <v>0</v>
      </c>
      <c r="BH288">
        <v>0</v>
      </c>
      <c r="BI288" t="s">
        <v>9</v>
      </c>
      <c r="BJ288">
        <v>2.811E-5</v>
      </c>
      <c r="BK288">
        <v>0</v>
      </c>
      <c r="BL288">
        <v>-3.6739999999999997E-5</v>
      </c>
      <c r="BM288" s="2">
        <f t="shared" si="4"/>
        <v>7.5938589058421445E-8</v>
      </c>
    </row>
    <row r="289" spans="1:65" x14ac:dyDescent="0.35">
      <c r="A289">
        <v>0</v>
      </c>
      <c r="B289" t="s">
        <v>3</v>
      </c>
      <c r="C289" t="s">
        <v>4</v>
      </c>
      <c r="D289">
        <v>0</v>
      </c>
      <c r="E289" t="s">
        <v>3</v>
      </c>
      <c r="F289" t="s">
        <v>5</v>
      </c>
      <c r="G289">
        <v>4955.3431119999996</v>
      </c>
      <c r="H289" t="s">
        <v>4</v>
      </c>
      <c r="I289">
        <v>990.16341899999998</v>
      </c>
      <c r="J289">
        <v>3965.179693</v>
      </c>
      <c r="K289" t="s">
        <v>6</v>
      </c>
      <c r="L289" t="s">
        <v>7</v>
      </c>
      <c r="M289" t="s">
        <v>8</v>
      </c>
      <c r="N289" t="s">
        <v>6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 t="s">
        <v>7</v>
      </c>
      <c r="U289">
        <v>2</v>
      </c>
      <c r="V289">
        <v>0</v>
      </c>
      <c r="W289">
        <v>0</v>
      </c>
      <c r="X289">
        <v>0</v>
      </c>
      <c r="Y289">
        <v>0</v>
      </c>
      <c r="Z289" t="s">
        <v>17</v>
      </c>
      <c r="AA289" t="s">
        <v>4</v>
      </c>
      <c r="AB289" t="s">
        <v>6</v>
      </c>
      <c r="AC289" t="s">
        <v>7</v>
      </c>
      <c r="AD289" t="s">
        <v>8</v>
      </c>
      <c r="AE289" t="s">
        <v>6</v>
      </c>
      <c r="AF289" t="s">
        <v>3</v>
      </c>
      <c r="AG289" t="s">
        <v>3</v>
      </c>
      <c r="AH289" t="s">
        <v>3</v>
      </c>
      <c r="AI289" t="s">
        <v>3</v>
      </c>
      <c r="AJ289" t="s">
        <v>3</v>
      </c>
      <c r="AK289" t="s">
        <v>7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9</v>
      </c>
      <c r="AR289" s="1">
        <v>5.4826704300000001E-5</v>
      </c>
      <c r="AS289" s="1">
        <v>3.2023095899999997E-26</v>
      </c>
      <c r="AT289">
        <v>13</v>
      </c>
      <c r="AU289" t="s">
        <v>10</v>
      </c>
      <c r="AV289">
        <v>2</v>
      </c>
      <c r="AW289">
        <v>0</v>
      </c>
      <c r="AX289">
        <v>0</v>
      </c>
      <c r="AY289">
        <v>0</v>
      </c>
      <c r="AZ289">
        <v>0</v>
      </c>
      <c r="BA289" t="s">
        <v>17</v>
      </c>
      <c r="BB289" t="s">
        <v>4</v>
      </c>
      <c r="BC289" t="s">
        <v>10</v>
      </c>
      <c r="BD289">
        <v>0</v>
      </c>
      <c r="BE289">
        <v>0</v>
      </c>
      <c r="BF289">
        <v>0</v>
      </c>
      <c r="BG289">
        <v>0</v>
      </c>
      <c r="BH289">
        <v>0</v>
      </c>
      <c r="BI289" t="s">
        <v>9</v>
      </c>
      <c r="BJ289">
        <v>7.52E-6</v>
      </c>
      <c r="BK289">
        <v>0</v>
      </c>
      <c r="BL289">
        <v>-5.431E-5</v>
      </c>
      <c r="BM289" s="2">
        <f t="shared" si="4"/>
        <v>1.9284759236170269E-7</v>
      </c>
    </row>
    <row r="290" spans="1:65" x14ac:dyDescent="0.35">
      <c r="A290">
        <v>0</v>
      </c>
      <c r="B290" t="s">
        <v>3</v>
      </c>
      <c r="C290" t="s">
        <v>4</v>
      </c>
      <c r="D290">
        <v>0</v>
      </c>
      <c r="E290" t="s">
        <v>3</v>
      </c>
      <c r="F290" t="s">
        <v>5</v>
      </c>
      <c r="G290">
        <v>1638.1110819999999</v>
      </c>
      <c r="H290" t="s">
        <v>4</v>
      </c>
      <c r="I290">
        <v>990.16341899999998</v>
      </c>
      <c r="J290">
        <v>647.94766300000003</v>
      </c>
      <c r="K290" t="s">
        <v>6</v>
      </c>
      <c r="L290" t="s">
        <v>7</v>
      </c>
      <c r="M290" t="s">
        <v>8</v>
      </c>
      <c r="N290" t="s">
        <v>6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 t="s">
        <v>7</v>
      </c>
      <c r="U290">
        <v>1</v>
      </c>
      <c r="V290">
        <v>0</v>
      </c>
      <c r="W290">
        <v>0</v>
      </c>
      <c r="X290">
        <v>2</v>
      </c>
      <c r="Y290">
        <v>0</v>
      </c>
      <c r="Z290" t="s">
        <v>8</v>
      </c>
      <c r="AA290" t="s">
        <v>4</v>
      </c>
      <c r="AB290" t="s">
        <v>6</v>
      </c>
      <c r="AC290" t="s">
        <v>7</v>
      </c>
      <c r="AD290" t="s">
        <v>8</v>
      </c>
      <c r="AE290" t="s">
        <v>6</v>
      </c>
      <c r="AF290" t="s">
        <v>3</v>
      </c>
      <c r="AG290" t="s">
        <v>3</v>
      </c>
      <c r="AH290" t="s">
        <v>3</v>
      </c>
      <c r="AI290" t="s">
        <v>3</v>
      </c>
      <c r="AJ290" t="s">
        <v>3</v>
      </c>
      <c r="AK290" t="s">
        <v>7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9</v>
      </c>
      <c r="AR290" s="1">
        <v>2.3491804499999999E-6</v>
      </c>
      <c r="AS290" s="1">
        <v>9.1863284400000001E-30</v>
      </c>
      <c r="AT290">
        <v>15</v>
      </c>
      <c r="AU290" t="s">
        <v>10</v>
      </c>
      <c r="AV290">
        <v>1</v>
      </c>
      <c r="AW290">
        <v>0</v>
      </c>
      <c r="AX290">
        <v>0</v>
      </c>
      <c r="AY290">
        <v>2</v>
      </c>
      <c r="AZ290">
        <v>0</v>
      </c>
      <c r="BA290" t="s">
        <v>8</v>
      </c>
      <c r="BB290" t="s">
        <v>4</v>
      </c>
      <c r="BC290" t="s">
        <v>10</v>
      </c>
      <c r="BD290">
        <v>0</v>
      </c>
      <c r="BE290">
        <v>0</v>
      </c>
      <c r="BF290">
        <v>0</v>
      </c>
      <c r="BG290">
        <v>0</v>
      </c>
      <c r="BH290">
        <v>0</v>
      </c>
      <c r="BI290" t="s">
        <v>9</v>
      </c>
      <c r="BJ290">
        <v>1.6700000000000001E-6</v>
      </c>
      <c r="BK290">
        <v>0</v>
      </c>
      <c r="BL290">
        <v>1.6500000000000001E-6</v>
      </c>
      <c r="BM290" s="2">
        <f t="shared" si="4"/>
        <v>5.5321363300724356E-11</v>
      </c>
    </row>
    <row r="291" spans="1:65" x14ac:dyDescent="0.35">
      <c r="A291">
        <v>0</v>
      </c>
      <c r="B291" t="s">
        <v>3</v>
      </c>
      <c r="C291" t="s">
        <v>4</v>
      </c>
      <c r="D291">
        <v>0</v>
      </c>
      <c r="E291" t="s">
        <v>3</v>
      </c>
      <c r="F291" t="s">
        <v>5</v>
      </c>
      <c r="G291">
        <v>2680.1276699999999</v>
      </c>
      <c r="H291" t="s">
        <v>4</v>
      </c>
      <c r="I291">
        <v>990.16341899999998</v>
      </c>
      <c r="J291">
        <v>1689.9642510000001</v>
      </c>
      <c r="K291" t="s">
        <v>6</v>
      </c>
      <c r="L291" t="s">
        <v>7</v>
      </c>
      <c r="M291" t="s">
        <v>8</v>
      </c>
      <c r="N291" t="s">
        <v>6</v>
      </c>
      <c r="O291" t="s">
        <v>3</v>
      </c>
      <c r="P291" t="s">
        <v>3</v>
      </c>
      <c r="Q291" t="s">
        <v>3</v>
      </c>
      <c r="R291" t="s">
        <v>3</v>
      </c>
      <c r="S291" t="s">
        <v>3</v>
      </c>
      <c r="T291" t="s">
        <v>7</v>
      </c>
      <c r="U291">
        <v>1</v>
      </c>
      <c r="V291">
        <v>0</v>
      </c>
      <c r="W291">
        <v>0</v>
      </c>
      <c r="X291">
        <v>0</v>
      </c>
      <c r="Y291">
        <v>1</v>
      </c>
      <c r="Z291" t="s">
        <v>15</v>
      </c>
      <c r="AA291" t="s">
        <v>4</v>
      </c>
      <c r="AB291" t="s">
        <v>6</v>
      </c>
      <c r="AC291" t="s">
        <v>7</v>
      </c>
      <c r="AD291" t="s">
        <v>8</v>
      </c>
      <c r="AE291" t="s">
        <v>6</v>
      </c>
      <c r="AF291" t="s">
        <v>3</v>
      </c>
      <c r="AG291" t="s">
        <v>3</v>
      </c>
      <c r="AH291" t="s">
        <v>3</v>
      </c>
      <c r="AI291" t="s">
        <v>3</v>
      </c>
      <c r="AJ291" t="s">
        <v>3</v>
      </c>
      <c r="AK291" t="s">
        <v>7</v>
      </c>
      <c r="AL291">
        <v>0</v>
      </c>
      <c r="AM291">
        <v>0</v>
      </c>
      <c r="AN291">
        <v>0</v>
      </c>
      <c r="AO291">
        <v>0</v>
      </c>
      <c r="AP291">
        <v>0</v>
      </c>
      <c r="AQ291" t="s">
        <v>9</v>
      </c>
      <c r="AR291" s="1">
        <v>9.6857979599999997E-4</v>
      </c>
      <c r="AS291" s="1">
        <v>4.2583390399999997E-24</v>
      </c>
      <c r="AT291">
        <v>12</v>
      </c>
      <c r="AU291" t="s">
        <v>10</v>
      </c>
      <c r="AV291">
        <v>1</v>
      </c>
      <c r="AW291">
        <v>0</v>
      </c>
      <c r="AX291">
        <v>0</v>
      </c>
      <c r="AY291">
        <v>0</v>
      </c>
      <c r="AZ291">
        <v>1</v>
      </c>
      <c r="BA291" t="s">
        <v>15</v>
      </c>
      <c r="BB291" t="s">
        <v>4</v>
      </c>
      <c r="BC291" t="s">
        <v>10</v>
      </c>
      <c r="BD291">
        <v>0</v>
      </c>
      <c r="BE291">
        <v>0</v>
      </c>
      <c r="BF291">
        <v>0</v>
      </c>
      <c r="BG291">
        <v>0</v>
      </c>
      <c r="BH291">
        <v>0</v>
      </c>
      <c r="BI291" t="s">
        <v>9</v>
      </c>
      <c r="BJ291">
        <v>-3.2225E-4</v>
      </c>
      <c r="BK291">
        <v>0</v>
      </c>
      <c r="BL291">
        <v>9.1339999999999998E-4</v>
      </c>
      <c r="BM291" s="2">
        <f t="shared" si="4"/>
        <v>2.5644317273016829E-5</v>
      </c>
    </row>
    <row r="292" spans="1:65" x14ac:dyDescent="0.35">
      <c r="A292">
        <v>0</v>
      </c>
      <c r="B292" t="s">
        <v>11</v>
      </c>
      <c r="C292" t="s">
        <v>4</v>
      </c>
      <c r="D292">
        <v>0</v>
      </c>
      <c r="E292" t="s">
        <v>3</v>
      </c>
      <c r="F292" t="s">
        <v>5</v>
      </c>
      <c r="G292">
        <v>4894.8196719999996</v>
      </c>
      <c r="H292" t="s">
        <v>4</v>
      </c>
      <c r="I292">
        <v>990.16341899999998</v>
      </c>
      <c r="J292">
        <v>3904.6562530000001</v>
      </c>
      <c r="K292" t="s">
        <v>6</v>
      </c>
      <c r="L292" t="s">
        <v>7</v>
      </c>
      <c r="M292" t="s">
        <v>8</v>
      </c>
      <c r="N292" t="s">
        <v>6</v>
      </c>
      <c r="O292" t="s">
        <v>3</v>
      </c>
      <c r="P292" t="s">
        <v>3</v>
      </c>
      <c r="Q292" t="s">
        <v>3</v>
      </c>
      <c r="R292" t="s">
        <v>3</v>
      </c>
      <c r="S292" t="s">
        <v>11</v>
      </c>
      <c r="T292" t="s">
        <v>7</v>
      </c>
      <c r="U292">
        <v>1</v>
      </c>
      <c r="V292">
        <v>0</v>
      </c>
      <c r="W292">
        <v>0</v>
      </c>
      <c r="X292">
        <v>4</v>
      </c>
      <c r="Y292">
        <v>0</v>
      </c>
      <c r="Z292" t="s">
        <v>19</v>
      </c>
      <c r="AA292" t="s">
        <v>4</v>
      </c>
      <c r="AB292" t="s">
        <v>6</v>
      </c>
      <c r="AC292" t="s">
        <v>7</v>
      </c>
      <c r="AD292" t="s">
        <v>8</v>
      </c>
      <c r="AE292" t="s">
        <v>6</v>
      </c>
      <c r="AF292" t="s">
        <v>3</v>
      </c>
      <c r="AG292" t="s">
        <v>3</v>
      </c>
      <c r="AH292" t="s">
        <v>3</v>
      </c>
      <c r="AI292" t="s">
        <v>3</v>
      </c>
      <c r="AJ292" t="s">
        <v>3</v>
      </c>
      <c r="AK292" t="s">
        <v>7</v>
      </c>
      <c r="AL292">
        <v>0</v>
      </c>
      <c r="AM292">
        <v>0</v>
      </c>
      <c r="AN292">
        <v>0</v>
      </c>
      <c r="AO292">
        <v>0</v>
      </c>
      <c r="AP292">
        <v>0</v>
      </c>
      <c r="AQ292" t="s">
        <v>9</v>
      </c>
      <c r="AR292" s="1">
        <v>2.78494329E-5</v>
      </c>
      <c r="AS292" s="1">
        <v>8.1363885499999997E-27</v>
      </c>
      <c r="AT292">
        <v>13</v>
      </c>
      <c r="AU292" t="s">
        <v>10</v>
      </c>
      <c r="AV292">
        <v>1</v>
      </c>
      <c r="AW292">
        <v>0</v>
      </c>
      <c r="AX292">
        <v>0</v>
      </c>
      <c r="AY292">
        <v>4</v>
      </c>
      <c r="AZ292">
        <v>0</v>
      </c>
      <c r="BA292" t="s">
        <v>19</v>
      </c>
      <c r="BB292" t="s">
        <v>4</v>
      </c>
      <c r="BC292" t="s">
        <v>10</v>
      </c>
      <c r="BD292">
        <v>0</v>
      </c>
      <c r="BE292">
        <v>0</v>
      </c>
      <c r="BF292">
        <v>0</v>
      </c>
      <c r="BG292">
        <v>0</v>
      </c>
      <c r="BH292">
        <v>0</v>
      </c>
      <c r="BI292" t="s">
        <v>9</v>
      </c>
      <c r="BJ292">
        <v>0</v>
      </c>
      <c r="BK292">
        <v>-2.7849999999999999E-5</v>
      </c>
      <c r="BL292">
        <v>0</v>
      </c>
      <c r="BM292" s="2">
        <f t="shared" si="4"/>
        <v>4.8998477451607835E-8</v>
      </c>
    </row>
    <row r="293" spans="1:65" x14ac:dyDescent="0.35">
      <c r="A293">
        <v>0</v>
      </c>
      <c r="B293" t="s">
        <v>11</v>
      </c>
      <c r="C293" t="s">
        <v>4</v>
      </c>
      <c r="D293">
        <v>0</v>
      </c>
      <c r="E293" t="s">
        <v>3</v>
      </c>
      <c r="F293" t="s">
        <v>5</v>
      </c>
      <c r="G293">
        <v>4517.7232469999999</v>
      </c>
      <c r="H293" t="s">
        <v>4</v>
      </c>
      <c r="I293">
        <v>990.16341899999998</v>
      </c>
      <c r="J293">
        <v>3527.5598279999999</v>
      </c>
      <c r="K293" t="s">
        <v>6</v>
      </c>
      <c r="L293" t="s">
        <v>7</v>
      </c>
      <c r="M293" t="s">
        <v>8</v>
      </c>
      <c r="N293" t="s">
        <v>6</v>
      </c>
      <c r="O293" t="s">
        <v>3</v>
      </c>
      <c r="P293" t="s">
        <v>3</v>
      </c>
      <c r="Q293" t="s">
        <v>3</v>
      </c>
      <c r="R293" t="s">
        <v>3</v>
      </c>
      <c r="S293" t="s">
        <v>11</v>
      </c>
      <c r="T293" t="s">
        <v>7</v>
      </c>
      <c r="U293">
        <v>1</v>
      </c>
      <c r="V293">
        <v>1</v>
      </c>
      <c r="W293">
        <v>0</v>
      </c>
      <c r="X293">
        <v>0</v>
      </c>
      <c r="Y293">
        <v>1</v>
      </c>
      <c r="Z293" t="s">
        <v>14</v>
      </c>
      <c r="AA293" t="s">
        <v>4</v>
      </c>
      <c r="AB293" t="s">
        <v>6</v>
      </c>
      <c r="AC293" t="s">
        <v>7</v>
      </c>
      <c r="AD293" t="s">
        <v>8</v>
      </c>
      <c r="AE293" t="s">
        <v>6</v>
      </c>
      <c r="AF293" t="s">
        <v>3</v>
      </c>
      <c r="AG293" t="s">
        <v>3</v>
      </c>
      <c r="AH293" t="s">
        <v>3</v>
      </c>
      <c r="AI293" t="s">
        <v>3</v>
      </c>
      <c r="AJ293" t="s">
        <v>3</v>
      </c>
      <c r="AK293" t="s">
        <v>7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9</v>
      </c>
      <c r="AR293" s="1">
        <v>6.7847574600000001E-6</v>
      </c>
      <c r="AS293" s="1">
        <v>4.3627385599999998E-28</v>
      </c>
      <c r="AT293">
        <v>12</v>
      </c>
      <c r="AU293" t="s">
        <v>10</v>
      </c>
      <c r="AV293">
        <v>1</v>
      </c>
      <c r="AW293">
        <v>1</v>
      </c>
      <c r="AX293">
        <v>0</v>
      </c>
      <c r="AY293">
        <v>0</v>
      </c>
      <c r="AZ293">
        <v>1</v>
      </c>
      <c r="BA293" t="s">
        <v>14</v>
      </c>
      <c r="BB293" t="s">
        <v>4</v>
      </c>
      <c r="BC293" t="s">
        <v>10</v>
      </c>
      <c r="BD293">
        <v>0</v>
      </c>
      <c r="BE293">
        <v>0</v>
      </c>
      <c r="BF293">
        <v>0</v>
      </c>
      <c r="BG293">
        <v>0</v>
      </c>
      <c r="BH293">
        <v>0</v>
      </c>
      <c r="BI293" t="s">
        <v>9</v>
      </c>
      <c r="BJ293">
        <v>0</v>
      </c>
      <c r="BK293">
        <v>6.7800000000000003E-6</v>
      </c>
      <c r="BL293">
        <v>0</v>
      </c>
      <c r="BM293" s="2">
        <f t="shared" si="4"/>
        <v>2.627302588190925E-9</v>
      </c>
    </row>
    <row r="294" spans="1:65" x14ac:dyDescent="0.35">
      <c r="A294">
        <v>0</v>
      </c>
      <c r="B294" t="s">
        <v>11</v>
      </c>
      <c r="C294" t="s">
        <v>4</v>
      </c>
      <c r="D294">
        <v>0</v>
      </c>
      <c r="E294" t="s">
        <v>3</v>
      </c>
      <c r="F294" t="s">
        <v>5</v>
      </c>
      <c r="G294">
        <v>3690.9369710000001</v>
      </c>
      <c r="H294" t="s">
        <v>4</v>
      </c>
      <c r="I294">
        <v>990.16341899999998</v>
      </c>
      <c r="J294">
        <v>2700.7735520000001</v>
      </c>
      <c r="K294" t="s">
        <v>6</v>
      </c>
      <c r="L294" t="s">
        <v>7</v>
      </c>
      <c r="M294" t="s">
        <v>8</v>
      </c>
      <c r="N294" t="s">
        <v>6</v>
      </c>
      <c r="O294" t="s">
        <v>3</v>
      </c>
      <c r="P294" t="s">
        <v>3</v>
      </c>
      <c r="Q294" t="s">
        <v>3</v>
      </c>
      <c r="R294" t="s">
        <v>3</v>
      </c>
      <c r="S294" t="s">
        <v>11</v>
      </c>
      <c r="T294" t="s">
        <v>7</v>
      </c>
      <c r="U294">
        <v>1</v>
      </c>
      <c r="V294">
        <v>1</v>
      </c>
      <c r="W294">
        <v>0</v>
      </c>
      <c r="X294">
        <v>0</v>
      </c>
      <c r="Y294">
        <v>0</v>
      </c>
      <c r="Z294" t="s">
        <v>13</v>
      </c>
      <c r="AA294" t="s">
        <v>4</v>
      </c>
      <c r="AB294" t="s">
        <v>6</v>
      </c>
      <c r="AC294" t="s">
        <v>7</v>
      </c>
      <c r="AD294" t="s">
        <v>8</v>
      </c>
      <c r="AE294" t="s">
        <v>6</v>
      </c>
      <c r="AF294" t="s">
        <v>3</v>
      </c>
      <c r="AG294" t="s">
        <v>3</v>
      </c>
      <c r="AH294" t="s">
        <v>3</v>
      </c>
      <c r="AI294" t="s">
        <v>3</v>
      </c>
      <c r="AJ294" t="s">
        <v>3</v>
      </c>
      <c r="AK294" t="s">
        <v>7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9</v>
      </c>
      <c r="AR294" s="1">
        <v>1.7210824299999998E-5</v>
      </c>
      <c r="AS294" s="1">
        <v>2.1493479800000001E-27</v>
      </c>
      <c r="AT294">
        <v>15</v>
      </c>
      <c r="AU294" t="s">
        <v>10</v>
      </c>
      <c r="AV294">
        <v>1</v>
      </c>
      <c r="AW294">
        <v>1</v>
      </c>
      <c r="AX294">
        <v>0</v>
      </c>
      <c r="AY294">
        <v>0</v>
      </c>
      <c r="AZ294">
        <v>0</v>
      </c>
      <c r="BA294" t="s">
        <v>13</v>
      </c>
      <c r="BB294" t="s">
        <v>4</v>
      </c>
      <c r="BC294" t="s">
        <v>10</v>
      </c>
      <c r="BD294">
        <v>0</v>
      </c>
      <c r="BE294">
        <v>0</v>
      </c>
      <c r="BF294">
        <v>0</v>
      </c>
      <c r="BG294">
        <v>0</v>
      </c>
      <c r="BH294">
        <v>0</v>
      </c>
      <c r="BI294" t="s">
        <v>9</v>
      </c>
      <c r="BJ294">
        <v>0</v>
      </c>
      <c r="BK294">
        <v>-1.721E-5</v>
      </c>
      <c r="BL294">
        <v>0</v>
      </c>
      <c r="BM294" s="2">
        <f t="shared" si="4"/>
        <v>1.2943676163755585E-8</v>
      </c>
    </row>
    <row r="295" spans="1:65" x14ac:dyDescent="0.35">
      <c r="A295">
        <v>0</v>
      </c>
      <c r="B295" t="s">
        <v>11</v>
      </c>
      <c r="C295" t="s">
        <v>4</v>
      </c>
      <c r="D295">
        <v>0</v>
      </c>
      <c r="E295" t="s">
        <v>3</v>
      </c>
      <c r="F295" t="s">
        <v>5</v>
      </c>
      <c r="G295">
        <v>4666.0307519999997</v>
      </c>
      <c r="H295" t="s">
        <v>4</v>
      </c>
      <c r="I295">
        <v>990.16341899999998</v>
      </c>
      <c r="J295">
        <v>3675.8673330000001</v>
      </c>
      <c r="K295" t="s">
        <v>6</v>
      </c>
      <c r="L295" t="s">
        <v>7</v>
      </c>
      <c r="M295" t="s">
        <v>8</v>
      </c>
      <c r="N295" t="s">
        <v>6</v>
      </c>
      <c r="O295" t="s">
        <v>3</v>
      </c>
      <c r="P295" t="s">
        <v>3</v>
      </c>
      <c r="Q295" t="s">
        <v>3</v>
      </c>
      <c r="R295" t="s">
        <v>3</v>
      </c>
      <c r="S295" t="s">
        <v>11</v>
      </c>
      <c r="T295" t="s">
        <v>7</v>
      </c>
      <c r="U295">
        <v>0</v>
      </c>
      <c r="V295">
        <v>0</v>
      </c>
      <c r="W295">
        <v>0</v>
      </c>
      <c r="X295">
        <v>5</v>
      </c>
      <c r="Y295">
        <v>0</v>
      </c>
      <c r="Z295" t="s">
        <v>12</v>
      </c>
      <c r="AA295" t="s">
        <v>4</v>
      </c>
      <c r="AB295" t="s">
        <v>6</v>
      </c>
      <c r="AC295" t="s">
        <v>7</v>
      </c>
      <c r="AD295" t="s">
        <v>8</v>
      </c>
      <c r="AE295" t="s">
        <v>6</v>
      </c>
      <c r="AF295" t="s">
        <v>3</v>
      </c>
      <c r="AG295" t="s">
        <v>3</v>
      </c>
      <c r="AH295" t="s">
        <v>3</v>
      </c>
      <c r="AI295" t="s">
        <v>3</v>
      </c>
      <c r="AJ295" t="s">
        <v>3</v>
      </c>
      <c r="AK295" t="s">
        <v>7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9</v>
      </c>
      <c r="AR295" s="1">
        <v>8.8970714800000006E-6</v>
      </c>
      <c r="AS295" s="1">
        <v>7.8175405600000001E-28</v>
      </c>
      <c r="AT295">
        <v>13</v>
      </c>
      <c r="AU295" t="s">
        <v>10</v>
      </c>
      <c r="AV295">
        <v>0</v>
      </c>
      <c r="AW295">
        <v>0</v>
      </c>
      <c r="AX295">
        <v>0</v>
      </c>
      <c r="AY295">
        <v>5</v>
      </c>
      <c r="AZ295">
        <v>0</v>
      </c>
      <c r="BA295" t="s">
        <v>12</v>
      </c>
      <c r="BB295" t="s">
        <v>4</v>
      </c>
      <c r="BC295" t="s">
        <v>10</v>
      </c>
      <c r="BD295">
        <v>0</v>
      </c>
      <c r="BE295">
        <v>0</v>
      </c>
      <c r="BF295">
        <v>0</v>
      </c>
      <c r="BG295">
        <v>0</v>
      </c>
      <c r="BH295">
        <v>0</v>
      </c>
      <c r="BI295" t="s">
        <v>9</v>
      </c>
      <c r="BJ295">
        <v>0</v>
      </c>
      <c r="BK295">
        <v>8.8999999999999995E-6</v>
      </c>
      <c r="BL295">
        <v>0</v>
      </c>
      <c r="BM295" s="2">
        <f t="shared" si="4"/>
        <v>4.7078329962030842E-9</v>
      </c>
    </row>
    <row r="296" spans="1:65" x14ac:dyDescent="0.35">
      <c r="A296">
        <v>0</v>
      </c>
      <c r="B296" t="s">
        <v>3</v>
      </c>
      <c r="C296" t="s">
        <v>4</v>
      </c>
      <c r="D296">
        <v>0</v>
      </c>
      <c r="E296" t="s">
        <v>3</v>
      </c>
      <c r="F296" t="s">
        <v>5</v>
      </c>
      <c r="G296">
        <v>4223.0424720000001</v>
      </c>
      <c r="H296" t="s">
        <v>4</v>
      </c>
      <c r="I296">
        <v>990.16341899999998</v>
      </c>
      <c r="J296">
        <v>3232.8790530000001</v>
      </c>
      <c r="K296" t="s">
        <v>6</v>
      </c>
      <c r="L296" t="s">
        <v>7</v>
      </c>
      <c r="M296" t="s">
        <v>8</v>
      </c>
      <c r="N296" t="s">
        <v>6</v>
      </c>
      <c r="O296" t="s">
        <v>3</v>
      </c>
      <c r="P296" t="s">
        <v>3</v>
      </c>
      <c r="Q296" t="s">
        <v>3</v>
      </c>
      <c r="R296" t="s">
        <v>3</v>
      </c>
      <c r="S296" t="s">
        <v>3</v>
      </c>
      <c r="T296" t="s">
        <v>7</v>
      </c>
      <c r="U296">
        <v>2</v>
      </c>
      <c r="V296">
        <v>2</v>
      </c>
      <c r="W296">
        <v>0</v>
      </c>
      <c r="X296">
        <v>0</v>
      </c>
      <c r="Y296">
        <v>0</v>
      </c>
      <c r="Z296" t="s">
        <v>8</v>
      </c>
      <c r="AA296" t="s">
        <v>4</v>
      </c>
      <c r="AB296" t="s">
        <v>6</v>
      </c>
      <c r="AC296" t="s">
        <v>7</v>
      </c>
      <c r="AD296" t="s">
        <v>8</v>
      </c>
      <c r="AE296" t="s">
        <v>6</v>
      </c>
      <c r="AF296" t="s">
        <v>3</v>
      </c>
      <c r="AG296" t="s">
        <v>3</v>
      </c>
      <c r="AH296" t="s">
        <v>3</v>
      </c>
      <c r="AI296" t="s">
        <v>3</v>
      </c>
      <c r="AJ296" t="s">
        <v>3</v>
      </c>
      <c r="AK296" t="s">
        <v>7</v>
      </c>
      <c r="AL296">
        <v>0</v>
      </c>
      <c r="AM296">
        <v>0</v>
      </c>
      <c r="AN296">
        <v>0</v>
      </c>
      <c r="AO296">
        <v>0</v>
      </c>
      <c r="AP296">
        <v>0</v>
      </c>
      <c r="AQ296" t="s">
        <v>9</v>
      </c>
      <c r="AR296" s="1">
        <v>2.3240853299999999E-5</v>
      </c>
      <c r="AS296" s="1">
        <v>4.6914780299999997E-27</v>
      </c>
      <c r="AT296">
        <v>13</v>
      </c>
      <c r="AU296" t="s">
        <v>10</v>
      </c>
      <c r="AV296">
        <v>2</v>
      </c>
      <c r="AW296">
        <v>2</v>
      </c>
      <c r="AX296">
        <v>0</v>
      </c>
      <c r="AY296">
        <v>0</v>
      </c>
      <c r="AZ296">
        <v>0</v>
      </c>
      <c r="BA296" t="s">
        <v>8</v>
      </c>
      <c r="BB296" t="s">
        <v>4</v>
      </c>
      <c r="BC296" t="s">
        <v>10</v>
      </c>
      <c r="BD296">
        <v>0</v>
      </c>
      <c r="BE296">
        <v>0</v>
      </c>
      <c r="BF296">
        <v>0</v>
      </c>
      <c r="BG296">
        <v>0</v>
      </c>
      <c r="BH296">
        <v>0</v>
      </c>
      <c r="BI296" t="s">
        <v>9</v>
      </c>
      <c r="BJ296">
        <v>-1.3689999999999999E-5</v>
      </c>
      <c r="BK296">
        <v>0</v>
      </c>
      <c r="BL296">
        <v>1.878E-5</v>
      </c>
      <c r="BM296" s="2">
        <f t="shared" si="4"/>
        <v>2.8252741256766621E-8</v>
      </c>
    </row>
    <row r="297" spans="1:65" x14ac:dyDescent="0.35">
      <c r="A297">
        <v>0</v>
      </c>
      <c r="B297" t="s">
        <v>11</v>
      </c>
      <c r="C297" t="s">
        <v>4</v>
      </c>
      <c r="D297">
        <v>0</v>
      </c>
      <c r="E297" t="s">
        <v>3</v>
      </c>
      <c r="F297" t="s">
        <v>5</v>
      </c>
      <c r="G297">
        <v>4307.9541360000003</v>
      </c>
      <c r="H297" t="s">
        <v>4</v>
      </c>
      <c r="I297">
        <v>990.16341899999998</v>
      </c>
      <c r="J297">
        <v>3317.7907169999999</v>
      </c>
      <c r="K297" t="s">
        <v>6</v>
      </c>
      <c r="L297" t="s">
        <v>7</v>
      </c>
      <c r="M297" t="s">
        <v>8</v>
      </c>
      <c r="N297" t="s">
        <v>6</v>
      </c>
      <c r="O297" t="s">
        <v>3</v>
      </c>
      <c r="P297" t="s">
        <v>3</v>
      </c>
      <c r="Q297" t="s">
        <v>3</v>
      </c>
      <c r="R297" t="s">
        <v>3</v>
      </c>
      <c r="S297" t="s">
        <v>11</v>
      </c>
      <c r="T297" t="s">
        <v>7</v>
      </c>
      <c r="U297">
        <v>0</v>
      </c>
      <c r="V297">
        <v>0</v>
      </c>
      <c r="W297">
        <v>0</v>
      </c>
      <c r="X297">
        <v>8</v>
      </c>
      <c r="Y297">
        <v>0</v>
      </c>
      <c r="Z297" t="s">
        <v>18</v>
      </c>
      <c r="AA297" t="s">
        <v>4</v>
      </c>
      <c r="AB297" t="s">
        <v>6</v>
      </c>
      <c r="AC297" t="s">
        <v>7</v>
      </c>
      <c r="AD297" t="s">
        <v>8</v>
      </c>
      <c r="AE297" t="s">
        <v>6</v>
      </c>
      <c r="AF297" t="s">
        <v>3</v>
      </c>
      <c r="AG297" t="s">
        <v>3</v>
      </c>
      <c r="AH297" t="s">
        <v>3</v>
      </c>
      <c r="AI297" t="s">
        <v>3</v>
      </c>
      <c r="AJ297" t="s">
        <v>3</v>
      </c>
      <c r="AK297" t="s">
        <v>7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9</v>
      </c>
      <c r="AR297" s="1">
        <v>4.8852878500000002E-6</v>
      </c>
      <c r="AS297" s="1">
        <v>2.1273816999999998E-28</v>
      </c>
      <c r="AT297">
        <v>13</v>
      </c>
      <c r="AU297" t="s">
        <v>10</v>
      </c>
      <c r="AV297">
        <v>0</v>
      </c>
      <c r="AW297">
        <v>0</v>
      </c>
      <c r="AX297">
        <v>0</v>
      </c>
      <c r="AY297">
        <v>8</v>
      </c>
      <c r="AZ297">
        <v>0</v>
      </c>
      <c r="BA297" t="s">
        <v>18</v>
      </c>
      <c r="BB297" t="s">
        <v>4</v>
      </c>
      <c r="BC297" t="s">
        <v>10</v>
      </c>
      <c r="BD297">
        <v>0</v>
      </c>
      <c r="BE297">
        <v>0</v>
      </c>
      <c r="BF297">
        <v>0</v>
      </c>
      <c r="BG297">
        <v>0</v>
      </c>
      <c r="BH297">
        <v>0</v>
      </c>
      <c r="BI297" t="s">
        <v>9</v>
      </c>
      <c r="BJ297">
        <v>0</v>
      </c>
      <c r="BK297">
        <v>4.8899999999999998E-6</v>
      </c>
      <c r="BL297">
        <v>0</v>
      </c>
      <c r="BM297" s="2">
        <f t="shared" si="4"/>
        <v>1.2811392132743359E-9</v>
      </c>
    </row>
    <row r="298" spans="1:65" x14ac:dyDescent="0.35">
      <c r="A298">
        <v>0</v>
      </c>
      <c r="B298" t="s">
        <v>3</v>
      </c>
      <c r="C298" t="s">
        <v>4</v>
      </c>
      <c r="D298">
        <v>0</v>
      </c>
      <c r="E298" t="s">
        <v>3</v>
      </c>
      <c r="F298" t="s">
        <v>5</v>
      </c>
      <c r="G298">
        <v>4836.1754520000004</v>
      </c>
      <c r="H298" t="s">
        <v>4</v>
      </c>
      <c r="I298">
        <v>990.16341899999998</v>
      </c>
      <c r="J298">
        <v>3846.012033</v>
      </c>
      <c r="K298" t="s">
        <v>6</v>
      </c>
      <c r="L298" t="s">
        <v>7</v>
      </c>
      <c r="M298" t="s">
        <v>8</v>
      </c>
      <c r="N298" t="s">
        <v>6</v>
      </c>
      <c r="O298" t="s">
        <v>3</v>
      </c>
      <c r="P298" t="s">
        <v>3</v>
      </c>
      <c r="Q298" t="s">
        <v>3</v>
      </c>
      <c r="R298" t="s">
        <v>3</v>
      </c>
      <c r="S298" t="s">
        <v>3</v>
      </c>
      <c r="T298" t="s">
        <v>7</v>
      </c>
      <c r="U298">
        <v>1</v>
      </c>
      <c r="V298">
        <v>0</v>
      </c>
      <c r="W298">
        <v>0</v>
      </c>
      <c r="X298">
        <v>1</v>
      </c>
      <c r="Y298">
        <v>3</v>
      </c>
      <c r="Z298" t="s">
        <v>9</v>
      </c>
      <c r="AA298" t="s">
        <v>4</v>
      </c>
      <c r="AB298" t="s">
        <v>6</v>
      </c>
      <c r="AC298" t="s">
        <v>7</v>
      </c>
      <c r="AD298" t="s">
        <v>8</v>
      </c>
      <c r="AE298" t="s">
        <v>6</v>
      </c>
      <c r="AF298" t="s">
        <v>3</v>
      </c>
      <c r="AG298" t="s">
        <v>3</v>
      </c>
      <c r="AH298" t="s">
        <v>3</v>
      </c>
      <c r="AI298" t="s">
        <v>3</v>
      </c>
      <c r="AJ298" t="s">
        <v>3</v>
      </c>
      <c r="AK298" t="s">
        <v>7</v>
      </c>
      <c r="AL298">
        <v>0</v>
      </c>
      <c r="AM298">
        <v>0</v>
      </c>
      <c r="AN298">
        <v>0</v>
      </c>
      <c r="AO298">
        <v>0</v>
      </c>
      <c r="AP298">
        <v>0</v>
      </c>
      <c r="AQ298" t="s">
        <v>9</v>
      </c>
      <c r="AR298" s="1">
        <v>1.56454343E-4</v>
      </c>
      <c r="AS298" s="1">
        <v>2.5293099200000001E-25</v>
      </c>
      <c r="AT298">
        <v>13</v>
      </c>
      <c r="AU298" t="s">
        <v>10</v>
      </c>
      <c r="AV298">
        <v>1</v>
      </c>
      <c r="AW298">
        <v>0</v>
      </c>
      <c r="AX298">
        <v>0</v>
      </c>
      <c r="AY298">
        <v>1</v>
      </c>
      <c r="AZ298">
        <v>3</v>
      </c>
      <c r="BA298" t="s">
        <v>9</v>
      </c>
      <c r="BB298" t="s">
        <v>4</v>
      </c>
      <c r="BC298" t="s">
        <v>10</v>
      </c>
      <c r="BD298">
        <v>0</v>
      </c>
      <c r="BE298">
        <v>0</v>
      </c>
      <c r="BF298">
        <v>0</v>
      </c>
      <c r="BG298">
        <v>0</v>
      </c>
      <c r="BH298">
        <v>0</v>
      </c>
      <c r="BI298" t="s">
        <v>9</v>
      </c>
      <c r="BJ298">
        <v>-1.0806000000000001E-4</v>
      </c>
      <c r="BK298">
        <v>0</v>
      </c>
      <c r="BL298">
        <v>1.1315E-4</v>
      </c>
      <c r="BM298" s="2">
        <f t="shared" si="4"/>
        <v>1.5231860465076737E-6</v>
      </c>
    </row>
    <row r="299" spans="1:65" x14ac:dyDescent="0.35">
      <c r="A299">
        <v>0</v>
      </c>
      <c r="B299" t="s">
        <v>3</v>
      </c>
      <c r="C299" t="s">
        <v>4</v>
      </c>
      <c r="D299">
        <v>0</v>
      </c>
      <c r="E299" t="s">
        <v>3</v>
      </c>
      <c r="F299" t="s">
        <v>5</v>
      </c>
      <c r="G299">
        <v>4124.452147</v>
      </c>
      <c r="H299" t="s">
        <v>4</v>
      </c>
      <c r="I299">
        <v>990.16341899999998</v>
      </c>
      <c r="J299">
        <v>3134.288728</v>
      </c>
      <c r="K299" t="s">
        <v>6</v>
      </c>
      <c r="L299" t="s">
        <v>7</v>
      </c>
      <c r="M299" t="s">
        <v>8</v>
      </c>
      <c r="N299" t="s">
        <v>6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 t="s">
        <v>7</v>
      </c>
      <c r="U299">
        <v>0</v>
      </c>
      <c r="V299">
        <v>3</v>
      </c>
      <c r="W299">
        <v>0</v>
      </c>
      <c r="X299">
        <v>1</v>
      </c>
      <c r="Y299">
        <v>0</v>
      </c>
      <c r="Z299" t="s">
        <v>8</v>
      </c>
      <c r="AA299" t="s">
        <v>4</v>
      </c>
      <c r="AB299" t="s">
        <v>6</v>
      </c>
      <c r="AC299" t="s">
        <v>7</v>
      </c>
      <c r="AD299" t="s">
        <v>8</v>
      </c>
      <c r="AE299" t="s">
        <v>6</v>
      </c>
      <c r="AF299" t="s">
        <v>3</v>
      </c>
      <c r="AG299" t="s">
        <v>3</v>
      </c>
      <c r="AH299" t="s">
        <v>3</v>
      </c>
      <c r="AI299" t="s">
        <v>3</v>
      </c>
      <c r="AJ299" t="s">
        <v>3</v>
      </c>
      <c r="AK299" t="s">
        <v>7</v>
      </c>
      <c r="AL299">
        <v>0</v>
      </c>
      <c r="AM299">
        <v>0</v>
      </c>
      <c r="AN299">
        <v>0</v>
      </c>
      <c r="AO299">
        <v>0</v>
      </c>
      <c r="AP299">
        <v>0</v>
      </c>
      <c r="AQ299" t="s">
        <v>9</v>
      </c>
      <c r="AR299" s="1">
        <v>2.5783604300000001E-5</v>
      </c>
      <c r="AS299" s="1">
        <v>5.5981212899999997E-27</v>
      </c>
      <c r="AT299">
        <v>15</v>
      </c>
      <c r="AU299" t="s">
        <v>10</v>
      </c>
      <c r="AV299">
        <v>0</v>
      </c>
      <c r="AW299">
        <v>3</v>
      </c>
      <c r="AX299">
        <v>0</v>
      </c>
      <c r="AY299">
        <v>1</v>
      </c>
      <c r="AZ299">
        <v>0</v>
      </c>
      <c r="BA299" t="s">
        <v>8</v>
      </c>
      <c r="BB299" t="s">
        <v>4</v>
      </c>
      <c r="BC299" t="s">
        <v>10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9</v>
      </c>
      <c r="BJ299">
        <v>2.525E-5</v>
      </c>
      <c r="BK299">
        <v>0</v>
      </c>
      <c r="BL299">
        <v>5.2100000000000001E-6</v>
      </c>
      <c r="BM299" s="2">
        <f t="shared" si="4"/>
        <v>3.3712674623857634E-8</v>
      </c>
    </row>
    <row r="300" spans="1:65" x14ac:dyDescent="0.35">
      <c r="A300">
        <v>0</v>
      </c>
      <c r="B300" t="s">
        <v>11</v>
      </c>
      <c r="C300" t="s">
        <v>4</v>
      </c>
      <c r="D300">
        <v>0</v>
      </c>
      <c r="E300" t="s">
        <v>3</v>
      </c>
      <c r="F300" t="s">
        <v>5</v>
      </c>
      <c r="G300">
        <v>4009.045145</v>
      </c>
      <c r="H300" t="s">
        <v>4</v>
      </c>
      <c r="I300">
        <v>990.16341899999998</v>
      </c>
      <c r="J300">
        <v>3018.8817260000001</v>
      </c>
      <c r="K300" t="s">
        <v>6</v>
      </c>
      <c r="L300" t="s">
        <v>7</v>
      </c>
      <c r="M300" t="s">
        <v>8</v>
      </c>
      <c r="N300" t="s">
        <v>6</v>
      </c>
      <c r="O300" t="s">
        <v>3</v>
      </c>
      <c r="P300" t="s">
        <v>3</v>
      </c>
      <c r="Q300" t="s">
        <v>3</v>
      </c>
      <c r="R300" t="s">
        <v>3</v>
      </c>
      <c r="S300" t="s">
        <v>11</v>
      </c>
      <c r="T300" t="s">
        <v>7</v>
      </c>
      <c r="U300">
        <v>1</v>
      </c>
      <c r="V300">
        <v>0</v>
      </c>
      <c r="W300">
        <v>0</v>
      </c>
      <c r="X300">
        <v>4</v>
      </c>
      <c r="Y300">
        <v>0</v>
      </c>
      <c r="Z300" t="s">
        <v>13</v>
      </c>
      <c r="AA300" t="s">
        <v>4</v>
      </c>
      <c r="AB300" t="s">
        <v>6</v>
      </c>
      <c r="AC300" t="s">
        <v>7</v>
      </c>
      <c r="AD300" t="s">
        <v>8</v>
      </c>
      <c r="AE300" t="s">
        <v>6</v>
      </c>
      <c r="AF300" t="s">
        <v>3</v>
      </c>
      <c r="AG300" t="s">
        <v>3</v>
      </c>
      <c r="AH300" t="s">
        <v>3</v>
      </c>
      <c r="AI300" t="s">
        <v>3</v>
      </c>
      <c r="AJ300" t="s">
        <v>3</v>
      </c>
      <c r="AK300" t="s">
        <v>7</v>
      </c>
      <c r="AL300">
        <v>0</v>
      </c>
      <c r="AM300">
        <v>0</v>
      </c>
      <c r="AN300">
        <v>0</v>
      </c>
      <c r="AO300">
        <v>0</v>
      </c>
      <c r="AP300">
        <v>0</v>
      </c>
      <c r="AQ300" t="s">
        <v>9</v>
      </c>
      <c r="AR300" s="1">
        <v>1.4257300999999999E-4</v>
      </c>
      <c r="AS300" s="1">
        <v>1.64868123E-25</v>
      </c>
      <c r="AT300">
        <v>13</v>
      </c>
      <c r="AU300" t="s">
        <v>10</v>
      </c>
      <c r="AV300">
        <v>1</v>
      </c>
      <c r="AW300">
        <v>0</v>
      </c>
      <c r="AX300">
        <v>0</v>
      </c>
      <c r="AY300">
        <v>4</v>
      </c>
      <c r="AZ300">
        <v>0</v>
      </c>
      <c r="BA300" t="s">
        <v>13</v>
      </c>
      <c r="BB300" t="s">
        <v>4</v>
      </c>
      <c r="BC300" t="s">
        <v>10</v>
      </c>
      <c r="BD300">
        <v>0</v>
      </c>
      <c r="BE300">
        <v>0</v>
      </c>
      <c r="BF300">
        <v>0</v>
      </c>
      <c r="BG300">
        <v>0</v>
      </c>
      <c r="BH300">
        <v>0</v>
      </c>
      <c r="BI300" t="s">
        <v>9</v>
      </c>
      <c r="BJ300">
        <v>0</v>
      </c>
      <c r="BK300">
        <v>1.4257000000000001E-4</v>
      </c>
      <c r="BL300">
        <v>0</v>
      </c>
      <c r="BM300" s="2">
        <f t="shared" si="4"/>
        <v>9.928590501377184E-7</v>
      </c>
    </row>
    <row r="301" spans="1:65" x14ac:dyDescent="0.35">
      <c r="A301">
        <v>0</v>
      </c>
      <c r="B301" t="s">
        <v>3</v>
      </c>
      <c r="C301" t="s">
        <v>4</v>
      </c>
      <c r="D301">
        <v>0</v>
      </c>
      <c r="E301" t="s">
        <v>3</v>
      </c>
      <c r="F301" t="s">
        <v>5</v>
      </c>
      <c r="G301">
        <v>4732.5038569999997</v>
      </c>
      <c r="H301" t="s">
        <v>4</v>
      </c>
      <c r="I301">
        <v>990.16341899999998</v>
      </c>
      <c r="J301">
        <v>3742.3404380000002</v>
      </c>
      <c r="K301" t="s">
        <v>6</v>
      </c>
      <c r="L301" t="s">
        <v>7</v>
      </c>
      <c r="M301" t="s">
        <v>8</v>
      </c>
      <c r="N301" t="s">
        <v>6</v>
      </c>
      <c r="O301" t="s">
        <v>3</v>
      </c>
      <c r="P301" t="s">
        <v>3</v>
      </c>
      <c r="Q301" t="s">
        <v>3</v>
      </c>
      <c r="R301" t="s">
        <v>3</v>
      </c>
      <c r="S301" t="s">
        <v>3</v>
      </c>
      <c r="T301" t="s">
        <v>7</v>
      </c>
      <c r="U301">
        <v>0</v>
      </c>
      <c r="V301">
        <v>1</v>
      </c>
      <c r="W301">
        <v>0</v>
      </c>
      <c r="X301">
        <v>8</v>
      </c>
      <c r="Y301">
        <v>0</v>
      </c>
      <c r="Z301" t="s">
        <v>8</v>
      </c>
      <c r="AA301" t="s">
        <v>4</v>
      </c>
      <c r="AB301" t="s">
        <v>6</v>
      </c>
      <c r="AC301" t="s">
        <v>7</v>
      </c>
      <c r="AD301" t="s">
        <v>8</v>
      </c>
      <c r="AE301" t="s">
        <v>6</v>
      </c>
      <c r="AF301" t="s">
        <v>3</v>
      </c>
      <c r="AG301" t="s">
        <v>3</v>
      </c>
      <c r="AH301" t="s">
        <v>3</v>
      </c>
      <c r="AI301" t="s">
        <v>3</v>
      </c>
      <c r="AJ301" t="s">
        <v>3</v>
      </c>
      <c r="AK301" t="s">
        <v>7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9</v>
      </c>
      <c r="AR301" s="1">
        <v>3.3153250599999999E-5</v>
      </c>
      <c r="AS301" s="1">
        <v>1.10512571E-26</v>
      </c>
      <c r="AT301">
        <v>13</v>
      </c>
      <c r="AU301" t="s">
        <v>10</v>
      </c>
      <c r="AV301">
        <v>0</v>
      </c>
      <c r="AW301">
        <v>1</v>
      </c>
      <c r="AX301">
        <v>0</v>
      </c>
      <c r="AY301">
        <v>8</v>
      </c>
      <c r="AZ301">
        <v>0</v>
      </c>
      <c r="BA301" t="s">
        <v>8</v>
      </c>
      <c r="BB301" t="s">
        <v>4</v>
      </c>
      <c r="BC301" t="s">
        <v>10</v>
      </c>
      <c r="BD301">
        <v>0</v>
      </c>
      <c r="BE301">
        <v>0</v>
      </c>
      <c r="BF301">
        <v>0</v>
      </c>
      <c r="BG301">
        <v>0</v>
      </c>
      <c r="BH301">
        <v>0</v>
      </c>
      <c r="BI301" t="s">
        <v>9</v>
      </c>
      <c r="BJ301">
        <v>2.003E-5</v>
      </c>
      <c r="BK301">
        <v>0</v>
      </c>
      <c r="BL301">
        <v>-2.6420000000000001E-5</v>
      </c>
      <c r="BM301" s="2">
        <f t="shared" si="4"/>
        <v>6.6552226273199676E-8</v>
      </c>
    </row>
    <row r="302" spans="1:65" x14ac:dyDescent="0.35">
      <c r="A302">
        <v>0</v>
      </c>
      <c r="B302" t="s">
        <v>3</v>
      </c>
      <c r="C302" t="s">
        <v>4</v>
      </c>
      <c r="D302">
        <v>0</v>
      </c>
      <c r="E302" t="s">
        <v>3</v>
      </c>
      <c r="F302" t="s">
        <v>5</v>
      </c>
      <c r="G302">
        <v>4603.8068979999998</v>
      </c>
      <c r="H302" t="s">
        <v>4</v>
      </c>
      <c r="I302">
        <v>990.16341899999998</v>
      </c>
      <c r="J302">
        <v>3613.6434789999998</v>
      </c>
      <c r="K302" t="s">
        <v>6</v>
      </c>
      <c r="L302" t="s">
        <v>7</v>
      </c>
      <c r="M302" t="s">
        <v>8</v>
      </c>
      <c r="N302" t="s">
        <v>6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 t="s">
        <v>7</v>
      </c>
      <c r="U302">
        <v>1</v>
      </c>
      <c r="V302">
        <v>3</v>
      </c>
      <c r="W302">
        <v>0</v>
      </c>
      <c r="X302">
        <v>0</v>
      </c>
      <c r="Y302">
        <v>0</v>
      </c>
      <c r="Z302" t="s">
        <v>8</v>
      </c>
      <c r="AA302" t="s">
        <v>4</v>
      </c>
      <c r="AB302" t="s">
        <v>6</v>
      </c>
      <c r="AC302" t="s">
        <v>7</v>
      </c>
      <c r="AD302" t="s">
        <v>8</v>
      </c>
      <c r="AE302" t="s">
        <v>6</v>
      </c>
      <c r="AF302" t="s">
        <v>3</v>
      </c>
      <c r="AG302" t="s">
        <v>3</v>
      </c>
      <c r="AH302" t="s">
        <v>3</v>
      </c>
      <c r="AI302" t="s">
        <v>3</v>
      </c>
      <c r="AJ302" t="s">
        <v>3</v>
      </c>
      <c r="AK302" t="s">
        <v>7</v>
      </c>
      <c r="AL302">
        <v>0</v>
      </c>
      <c r="AM302">
        <v>0</v>
      </c>
      <c r="AN302">
        <v>0</v>
      </c>
      <c r="AO302">
        <v>0</v>
      </c>
      <c r="AP302">
        <v>0</v>
      </c>
      <c r="AQ302" t="s">
        <v>9</v>
      </c>
      <c r="AR302" s="1">
        <v>1.8684582099999999E-4</v>
      </c>
      <c r="AS302" s="1">
        <v>3.3894422000000002E-25</v>
      </c>
      <c r="AT302">
        <v>15</v>
      </c>
      <c r="AU302" t="s">
        <v>10</v>
      </c>
      <c r="AV302">
        <v>1</v>
      </c>
      <c r="AW302">
        <v>3</v>
      </c>
      <c r="AX302">
        <v>0</v>
      </c>
      <c r="AY302">
        <v>0</v>
      </c>
      <c r="AZ302">
        <v>0</v>
      </c>
      <c r="BA302" t="s">
        <v>8</v>
      </c>
      <c r="BB302" t="s">
        <v>4</v>
      </c>
      <c r="BC302" t="s">
        <v>10</v>
      </c>
      <c r="BD302">
        <v>0</v>
      </c>
      <c r="BE302">
        <v>0</v>
      </c>
      <c r="BF302">
        <v>0</v>
      </c>
      <c r="BG302">
        <v>0</v>
      </c>
      <c r="BH302">
        <v>0</v>
      </c>
      <c r="BI302" t="s">
        <v>9</v>
      </c>
      <c r="BJ302">
        <v>1.3676000000000001E-4</v>
      </c>
      <c r="BK302">
        <v>0</v>
      </c>
      <c r="BL302">
        <v>-1.2731E-4</v>
      </c>
      <c r="BM302" s="2">
        <f t="shared" si="4"/>
        <v>2.041169816186176E-6</v>
      </c>
    </row>
    <row r="303" spans="1:65" x14ac:dyDescent="0.35">
      <c r="A303">
        <v>0</v>
      </c>
      <c r="B303" t="s">
        <v>11</v>
      </c>
      <c r="C303" t="s">
        <v>4</v>
      </c>
      <c r="D303">
        <v>0</v>
      </c>
      <c r="E303" t="s">
        <v>3</v>
      </c>
      <c r="F303" t="s">
        <v>5</v>
      </c>
      <c r="G303">
        <v>4791.2034199999998</v>
      </c>
      <c r="H303" t="s">
        <v>4</v>
      </c>
      <c r="I303">
        <v>990.16341899999998</v>
      </c>
      <c r="J303">
        <v>3801.0400009999998</v>
      </c>
      <c r="K303" t="s">
        <v>6</v>
      </c>
      <c r="L303" t="s">
        <v>7</v>
      </c>
      <c r="M303" t="s">
        <v>8</v>
      </c>
      <c r="N303" t="s">
        <v>6</v>
      </c>
      <c r="O303" t="s">
        <v>3</v>
      </c>
      <c r="P303" t="s">
        <v>3</v>
      </c>
      <c r="Q303" t="s">
        <v>3</v>
      </c>
      <c r="R303" t="s">
        <v>3</v>
      </c>
      <c r="S303" t="s">
        <v>11</v>
      </c>
      <c r="T303" t="s">
        <v>7</v>
      </c>
      <c r="U303">
        <v>4</v>
      </c>
      <c r="V303">
        <v>0</v>
      </c>
      <c r="W303">
        <v>0</v>
      </c>
      <c r="X303">
        <v>0</v>
      </c>
      <c r="Y303">
        <v>0</v>
      </c>
      <c r="Z303" t="s">
        <v>13</v>
      </c>
      <c r="AA303" t="s">
        <v>4</v>
      </c>
      <c r="AB303" t="s">
        <v>6</v>
      </c>
      <c r="AC303" t="s">
        <v>7</v>
      </c>
      <c r="AD303" t="s">
        <v>8</v>
      </c>
      <c r="AE303" t="s">
        <v>6</v>
      </c>
      <c r="AF303" t="s">
        <v>3</v>
      </c>
      <c r="AG303" t="s">
        <v>3</v>
      </c>
      <c r="AH303" t="s">
        <v>3</v>
      </c>
      <c r="AI303" t="s">
        <v>3</v>
      </c>
      <c r="AJ303" t="s">
        <v>3</v>
      </c>
      <c r="AK303" t="s">
        <v>7</v>
      </c>
      <c r="AL303">
        <v>0</v>
      </c>
      <c r="AM303">
        <v>0</v>
      </c>
      <c r="AN303">
        <v>0</v>
      </c>
      <c r="AO303">
        <v>0</v>
      </c>
      <c r="AP303">
        <v>0</v>
      </c>
      <c r="AQ303" t="s">
        <v>9</v>
      </c>
      <c r="AR303" s="1">
        <v>1.6521141599999999E-5</v>
      </c>
      <c r="AS303" s="1">
        <v>2.78739622E-27</v>
      </c>
      <c r="AT303">
        <v>14</v>
      </c>
      <c r="AU303" t="s">
        <v>10</v>
      </c>
      <c r="AV303">
        <v>4</v>
      </c>
      <c r="AW303">
        <v>0</v>
      </c>
      <c r="AX303">
        <v>0</v>
      </c>
      <c r="AY303">
        <v>0</v>
      </c>
      <c r="AZ303">
        <v>0</v>
      </c>
      <c r="BA303" t="s">
        <v>13</v>
      </c>
      <c r="BB303" t="s">
        <v>4</v>
      </c>
      <c r="BC303" t="s">
        <v>10</v>
      </c>
      <c r="BD303">
        <v>0</v>
      </c>
      <c r="BE303">
        <v>0</v>
      </c>
      <c r="BF303">
        <v>0</v>
      </c>
      <c r="BG303">
        <v>0</v>
      </c>
      <c r="BH303">
        <v>0</v>
      </c>
      <c r="BI303" t="s">
        <v>9</v>
      </c>
      <c r="BJ303">
        <v>0</v>
      </c>
      <c r="BK303">
        <v>1.6520000000000001E-5</v>
      </c>
      <c r="BL303">
        <v>0</v>
      </c>
      <c r="BM303" s="2">
        <f t="shared" si="4"/>
        <v>1.6786092502227776E-8</v>
      </c>
    </row>
    <row r="304" spans="1:65" x14ac:dyDescent="0.35">
      <c r="A304">
        <v>0</v>
      </c>
      <c r="B304" t="s">
        <v>3</v>
      </c>
      <c r="C304" t="s">
        <v>4</v>
      </c>
      <c r="D304">
        <v>0</v>
      </c>
      <c r="E304" t="s">
        <v>3</v>
      </c>
      <c r="F304" t="s">
        <v>5</v>
      </c>
      <c r="G304">
        <v>4381.0039020000004</v>
      </c>
      <c r="H304" t="s">
        <v>4</v>
      </c>
      <c r="I304">
        <v>990.16341899999998</v>
      </c>
      <c r="J304">
        <v>3390.8404829999999</v>
      </c>
      <c r="K304" t="s">
        <v>6</v>
      </c>
      <c r="L304" t="s">
        <v>7</v>
      </c>
      <c r="M304" t="s">
        <v>8</v>
      </c>
      <c r="N304" t="s">
        <v>6</v>
      </c>
      <c r="O304" t="s">
        <v>3</v>
      </c>
      <c r="P304" t="s">
        <v>3</v>
      </c>
      <c r="Q304" t="s">
        <v>3</v>
      </c>
      <c r="R304" t="s">
        <v>3</v>
      </c>
      <c r="S304" t="s">
        <v>3</v>
      </c>
      <c r="T304" t="s">
        <v>7</v>
      </c>
      <c r="U304">
        <v>0</v>
      </c>
      <c r="V304">
        <v>2</v>
      </c>
      <c r="W304">
        <v>0</v>
      </c>
      <c r="X304">
        <v>0</v>
      </c>
      <c r="Y304">
        <v>0</v>
      </c>
      <c r="Z304" t="s">
        <v>24</v>
      </c>
      <c r="AA304" t="s">
        <v>4</v>
      </c>
      <c r="AB304" t="s">
        <v>6</v>
      </c>
      <c r="AC304" t="s">
        <v>7</v>
      </c>
      <c r="AD304" t="s">
        <v>8</v>
      </c>
      <c r="AE304" t="s">
        <v>6</v>
      </c>
      <c r="AF304" t="s">
        <v>3</v>
      </c>
      <c r="AG304" t="s">
        <v>3</v>
      </c>
      <c r="AH304" t="s">
        <v>3</v>
      </c>
      <c r="AI304" t="s">
        <v>3</v>
      </c>
      <c r="AJ304" t="s">
        <v>3</v>
      </c>
      <c r="AK304" t="s">
        <v>7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9</v>
      </c>
      <c r="AR304" s="1">
        <v>2.0547041299999999E-5</v>
      </c>
      <c r="AS304" s="1">
        <v>3.8461133300000001E-27</v>
      </c>
      <c r="AT304">
        <v>13</v>
      </c>
      <c r="AU304" t="s">
        <v>10</v>
      </c>
      <c r="AV304">
        <v>0</v>
      </c>
      <c r="AW304">
        <v>2</v>
      </c>
      <c r="AX304">
        <v>0</v>
      </c>
      <c r="AY304">
        <v>0</v>
      </c>
      <c r="AZ304">
        <v>0</v>
      </c>
      <c r="BA304" t="s">
        <v>24</v>
      </c>
      <c r="BB304" t="s">
        <v>4</v>
      </c>
      <c r="BC304" t="s">
        <v>10</v>
      </c>
      <c r="BD304">
        <v>0</v>
      </c>
      <c r="BE304">
        <v>0</v>
      </c>
      <c r="BF304">
        <v>0</v>
      </c>
      <c r="BG304">
        <v>0</v>
      </c>
      <c r="BH304">
        <v>0</v>
      </c>
      <c r="BI304" t="s">
        <v>9</v>
      </c>
      <c r="BJ304">
        <v>9.2399999999999996E-6</v>
      </c>
      <c r="BK304">
        <v>0</v>
      </c>
      <c r="BL304">
        <v>-1.8349999999999999E-5</v>
      </c>
      <c r="BM304" s="2">
        <f t="shared" si="4"/>
        <v>2.3161836006016865E-8</v>
      </c>
    </row>
    <row r="305" spans="1:65" x14ac:dyDescent="0.35">
      <c r="A305">
        <v>0</v>
      </c>
      <c r="B305" t="s">
        <v>3</v>
      </c>
      <c r="C305" t="s">
        <v>4</v>
      </c>
      <c r="D305">
        <v>0</v>
      </c>
      <c r="E305" t="s">
        <v>3</v>
      </c>
      <c r="F305" t="s">
        <v>5</v>
      </c>
      <c r="G305">
        <v>3397.3391310000002</v>
      </c>
      <c r="H305" t="s">
        <v>4</v>
      </c>
      <c r="I305">
        <v>990.16341899999998</v>
      </c>
      <c r="J305">
        <v>2407.1757120000002</v>
      </c>
      <c r="K305" t="s">
        <v>6</v>
      </c>
      <c r="L305" t="s">
        <v>7</v>
      </c>
      <c r="M305" t="s">
        <v>8</v>
      </c>
      <c r="N305" t="s">
        <v>6</v>
      </c>
      <c r="O305" t="s">
        <v>3</v>
      </c>
      <c r="P305" t="s">
        <v>3</v>
      </c>
      <c r="Q305" t="s">
        <v>3</v>
      </c>
      <c r="R305" t="s">
        <v>3</v>
      </c>
      <c r="S305" t="s">
        <v>3</v>
      </c>
      <c r="T305" t="s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 t="s">
        <v>29</v>
      </c>
      <c r="AA305" t="s">
        <v>4</v>
      </c>
      <c r="AB305" t="s">
        <v>6</v>
      </c>
      <c r="AC305" t="s">
        <v>7</v>
      </c>
      <c r="AD305" t="s">
        <v>8</v>
      </c>
      <c r="AE305" t="s">
        <v>6</v>
      </c>
      <c r="AF305" t="s">
        <v>3</v>
      </c>
      <c r="AG305" t="s">
        <v>3</v>
      </c>
      <c r="AH305" t="s">
        <v>3</v>
      </c>
      <c r="AI305" t="s">
        <v>3</v>
      </c>
      <c r="AJ305" t="s">
        <v>3</v>
      </c>
      <c r="AK305" t="s">
        <v>7</v>
      </c>
      <c r="AL305">
        <v>0</v>
      </c>
      <c r="AM305">
        <v>0</v>
      </c>
      <c r="AN305">
        <v>0</v>
      </c>
      <c r="AO305">
        <v>0</v>
      </c>
      <c r="AP305">
        <v>0</v>
      </c>
      <c r="AQ305" t="s">
        <v>9</v>
      </c>
      <c r="AR305" s="1">
        <v>1.48204282E-3</v>
      </c>
      <c r="AS305" s="1">
        <v>1.42050107E-23</v>
      </c>
      <c r="AT305">
        <v>15</v>
      </c>
      <c r="AU305" t="s">
        <v>10</v>
      </c>
      <c r="AV305">
        <v>1</v>
      </c>
      <c r="AW305">
        <v>0</v>
      </c>
      <c r="AX305">
        <v>0</v>
      </c>
      <c r="AY305">
        <v>0</v>
      </c>
      <c r="AZ305">
        <v>0</v>
      </c>
      <c r="BA305" t="s">
        <v>29</v>
      </c>
      <c r="BB305" t="s">
        <v>4</v>
      </c>
      <c r="BC305" t="s">
        <v>10</v>
      </c>
      <c r="BD305">
        <v>0</v>
      </c>
      <c r="BE305">
        <v>0</v>
      </c>
      <c r="BF305">
        <v>0</v>
      </c>
      <c r="BG305">
        <v>0</v>
      </c>
      <c r="BH305">
        <v>0</v>
      </c>
      <c r="BI305" t="s">
        <v>9</v>
      </c>
      <c r="BJ305">
        <v>1.4501399999999999E-3</v>
      </c>
      <c r="BK305">
        <v>0</v>
      </c>
      <c r="BL305">
        <v>-3.0582999999999999E-4</v>
      </c>
      <c r="BM305" s="2">
        <f t="shared" si="4"/>
        <v>8.5544574500906557E-5</v>
      </c>
    </row>
    <row r="306" spans="1:65" x14ac:dyDescent="0.35">
      <c r="A306">
        <v>0</v>
      </c>
      <c r="B306" t="s">
        <v>11</v>
      </c>
      <c r="C306" t="s">
        <v>4</v>
      </c>
      <c r="D306">
        <v>0</v>
      </c>
      <c r="E306" t="s">
        <v>3</v>
      </c>
      <c r="F306" t="s">
        <v>5</v>
      </c>
      <c r="G306">
        <v>3533.39336</v>
      </c>
      <c r="H306" t="s">
        <v>4</v>
      </c>
      <c r="I306">
        <v>990.16341899999998</v>
      </c>
      <c r="J306">
        <v>2543.2299410000001</v>
      </c>
      <c r="K306" t="s">
        <v>6</v>
      </c>
      <c r="L306" t="s">
        <v>7</v>
      </c>
      <c r="M306" t="s">
        <v>8</v>
      </c>
      <c r="N306" t="s">
        <v>6</v>
      </c>
      <c r="O306" t="s">
        <v>3</v>
      </c>
      <c r="P306" t="s">
        <v>3</v>
      </c>
      <c r="Q306" t="s">
        <v>3</v>
      </c>
      <c r="R306" t="s">
        <v>3</v>
      </c>
      <c r="S306" t="s">
        <v>11</v>
      </c>
      <c r="T306" t="s">
        <v>7</v>
      </c>
      <c r="U306">
        <v>2</v>
      </c>
      <c r="V306">
        <v>0</v>
      </c>
      <c r="W306">
        <v>0</v>
      </c>
      <c r="X306">
        <v>1</v>
      </c>
      <c r="Y306">
        <v>0</v>
      </c>
      <c r="Z306" t="s">
        <v>14</v>
      </c>
      <c r="AA306" t="s">
        <v>4</v>
      </c>
      <c r="AB306" t="s">
        <v>6</v>
      </c>
      <c r="AC306" t="s">
        <v>7</v>
      </c>
      <c r="AD306" t="s">
        <v>8</v>
      </c>
      <c r="AE306" t="s">
        <v>6</v>
      </c>
      <c r="AF306" t="s">
        <v>3</v>
      </c>
      <c r="AG306" t="s">
        <v>3</v>
      </c>
      <c r="AH306" t="s">
        <v>3</v>
      </c>
      <c r="AI306" t="s">
        <v>3</v>
      </c>
      <c r="AJ306" t="s">
        <v>3</v>
      </c>
      <c r="AK306" t="s">
        <v>7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9</v>
      </c>
      <c r="AR306" s="1">
        <v>4.4912380799999999E-5</v>
      </c>
      <c r="AS306" s="1">
        <v>1.3782624600000001E-26</v>
      </c>
      <c r="AT306">
        <v>13</v>
      </c>
      <c r="AU306" t="s">
        <v>10</v>
      </c>
      <c r="AV306">
        <v>2</v>
      </c>
      <c r="AW306">
        <v>0</v>
      </c>
      <c r="AX306">
        <v>0</v>
      </c>
      <c r="AY306">
        <v>1</v>
      </c>
      <c r="AZ306">
        <v>0</v>
      </c>
      <c r="BA306" t="s">
        <v>14</v>
      </c>
      <c r="BB306" t="s">
        <v>4</v>
      </c>
      <c r="BC306" t="s">
        <v>10</v>
      </c>
      <c r="BD306">
        <v>0</v>
      </c>
      <c r="BE306">
        <v>0</v>
      </c>
      <c r="BF306">
        <v>0</v>
      </c>
      <c r="BG306">
        <v>0</v>
      </c>
      <c r="BH306">
        <v>0</v>
      </c>
      <c r="BI306" t="s">
        <v>9</v>
      </c>
      <c r="BJ306">
        <v>0</v>
      </c>
      <c r="BK306">
        <v>-4.4910000000000002E-5</v>
      </c>
      <c r="BL306">
        <v>0</v>
      </c>
      <c r="BM306" s="2">
        <f t="shared" si="4"/>
        <v>8.3000905934743688E-8</v>
      </c>
    </row>
    <row r="307" spans="1:65" x14ac:dyDescent="0.35">
      <c r="A307">
        <v>0</v>
      </c>
      <c r="B307" t="s">
        <v>3</v>
      </c>
      <c r="C307" t="s">
        <v>4</v>
      </c>
      <c r="D307">
        <v>0</v>
      </c>
      <c r="E307" t="s">
        <v>3</v>
      </c>
      <c r="F307" t="s">
        <v>5</v>
      </c>
      <c r="G307">
        <v>3817.8641400000001</v>
      </c>
      <c r="H307" t="s">
        <v>4</v>
      </c>
      <c r="I307">
        <v>990.16341899999998</v>
      </c>
      <c r="J307">
        <v>2827.7007210000002</v>
      </c>
      <c r="K307" t="s">
        <v>6</v>
      </c>
      <c r="L307" t="s">
        <v>7</v>
      </c>
      <c r="M307" t="s">
        <v>8</v>
      </c>
      <c r="N307" t="s">
        <v>6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 t="s">
        <v>7</v>
      </c>
      <c r="U307">
        <v>3</v>
      </c>
      <c r="V307">
        <v>1</v>
      </c>
      <c r="W307">
        <v>0</v>
      </c>
      <c r="X307">
        <v>0</v>
      </c>
      <c r="Y307">
        <v>0</v>
      </c>
      <c r="Z307" t="s">
        <v>8</v>
      </c>
      <c r="AA307" t="s">
        <v>4</v>
      </c>
      <c r="AB307" t="s">
        <v>6</v>
      </c>
      <c r="AC307" t="s">
        <v>7</v>
      </c>
      <c r="AD307" t="s">
        <v>8</v>
      </c>
      <c r="AE307" t="s">
        <v>6</v>
      </c>
      <c r="AF307" t="s">
        <v>3</v>
      </c>
      <c r="AG307" t="s">
        <v>3</v>
      </c>
      <c r="AH307" t="s">
        <v>3</v>
      </c>
      <c r="AI307" t="s">
        <v>3</v>
      </c>
      <c r="AJ307" t="s">
        <v>3</v>
      </c>
      <c r="AK307" t="s">
        <v>7</v>
      </c>
      <c r="AL307">
        <v>0</v>
      </c>
      <c r="AM307">
        <v>0</v>
      </c>
      <c r="AN307">
        <v>0</v>
      </c>
      <c r="AO307">
        <v>0</v>
      </c>
      <c r="AP307">
        <v>0</v>
      </c>
      <c r="AQ307" t="s">
        <v>9</v>
      </c>
      <c r="AR307" s="1">
        <v>1.1101558999999999E-4</v>
      </c>
      <c r="AS307" s="1">
        <v>9.3630434600000002E-26</v>
      </c>
      <c r="AT307">
        <v>13</v>
      </c>
      <c r="AU307" t="s">
        <v>10</v>
      </c>
      <c r="AV307">
        <v>3</v>
      </c>
      <c r="AW307">
        <v>1</v>
      </c>
      <c r="AX307">
        <v>0</v>
      </c>
      <c r="AY307">
        <v>0</v>
      </c>
      <c r="AZ307">
        <v>0</v>
      </c>
      <c r="BA307" t="s">
        <v>8</v>
      </c>
      <c r="BB307" t="s">
        <v>4</v>
      </c>
      <c r="BC307" t="s">
        <v>10</v>
      </c>
      <c r="BD307">
        <v>0</v>
      </c>
      <c r="BE307">
        <v>0</v>
      </c>
      <c r="BF307">
        <v>0</v>
      </c>
      <c r="BG307">
        <v>0</v>
      </c>
      <c r="BH307">
        <v>0</v>
      </c>
      <c r="BI307" t="s">
        <v>9</v>
      </c>
      <c r="BJ307">
        <v>1.0825E-4</v>
      </c>
      <c r="BK307">
        <v>0</v>
      </c>
      <c r="BL307">
        <v>2.463E-5</v>
      </c>
      <c r="BM307" s="2">
        <f t="shared" si="4"/>
        <v>5.6385566032639165E-7</v>
      </c>
    </row>
    <row r="308" spans="1:65" x14ac:dyDescent="0.35">
      <c r="A308">
        <v>0</v>
      </c>
      <c r="B308" t="s">
        <v>3</v>
      </c>
      <c r="C308" t="s">
        <v>4</v>
      </c>
      <c r="D308">
        <v>0</v>
      </c>
      <c r="E308" t="s">
        <v>3</v>
      </c>
      <c r="F308" t="s">
        <v>5</v>
      </c>
      <c r="G308">
        <v>2991.3118899999999</v>
      </c>
      <c r="H308" t="s">
        <v>4</v>
      </c>
      <c r="I308">
        <v>990.16341899999998</v>
      </c>
      <c r="J308">
        <v>2001.148471</v>
      </c>
      <c r="K308" t="s">
        <v>6</v>
      </c>
      <c r="L308" t="s">
        <v>7</v>
      </c>
      <c r="M308" t="s">
        <v>8</v>
      </c>
      <c r="N308" t="s">
        <v>6</v>
      </c>
      <c r="O308" t="s">
        <v>3</v>
      </c>
      <c r="P308" t="s">
        <v>3</v>
      </c>
      <c r="Q308" t="s">
        <v>3</v>
      </c>
      <c r="R308" t="s">
        <v>3</v>
      </c>
      <c r="S308" t="s">
        <v>3</v>
      </c>
      <c r="T308" t="s">
        <v>7</v>
      </c>
      <c r="U308">
        <v>0</v>
      </c>
      <c r="V308">
        <v>0</v>
      </c>
      <c r="W308">
        <v>0</v>
      </c>
      <c r="X308">
        <v>4</v>
      </c>
      <c r="Y308">
        <v>1</v>
      </c>
      <c r="Z308" t="s">
        <v>8</v>
      </c>
      <c r="AA308" t="s">
        <v>4</v>
      </c>
      <c r="AB308" t="s">
        <v>6</v>
      </c>
      <c r="AC308" t="s">
        <v>7</v>
      </c>
      <c r="AD308" t="s">
        <v>8</v>
      </c>
      <c r="AE308" t="s">
        <v>6</v>
      </c>
      <c r="AF308" t="s">
        <v>3</v>
      </c>
      <c r="AG308" t="s">
        <v>3</v>
      </c>
      <c r="AH308" t="s">
        <v>3</v>
      </c>
      <c r="AI308" t="s">
        <v>3</v>
      </c>
      <c r="AJ308" t="s">
        <v>3</v>
      </c>
      <c r="AK308" t="s">
        <v>7</v>
      </c>
      <c r="AL308">
        <v>0</v>
      </c>
      <c r="AM308">
        <v>0</v>
      </c>
      <c r="AN308">
        <v>0</v>
      </c>
      <c r="AO308">
        <v>0</v>
      </c>
      <c r="AP308">
        <v>0</v>
      </c>
      <c r="AQ308" t="s">
        <v>9</v>
      </c>
      <c r="AR308" s="1">
        <v>3.67210515E-5</v>
      </c>
      <c r="AS308" s="1">
        <v>7.2493327799999997E-27</v>
      </c>
      <c r="AT308">
        <v>14</v>
      </c>
      <c r="AU308" t="s">
        <v>10</v>
      </c>
      <c r="AV308">
        <v>0</v>
      </c>
      <c r="AW308">
        <v>0</v>
      </c>
      <c r="AX308">
        <v>0</v>
      </c>
      <c r="AY308">
        <v>4</v>
      </c>
      <c r="AZ308">
        <v>1</v>
      </c>
      <c r="BA308" t="s">
        <v>8</v>
      </c>
      <c r="BB308" t="s">
        <v>4</v>
      </c>
      <c r="BC308" t="s">
        <v>10</v>
      </c>
      <c r="BD308">
        <v>0</v>
      </c>
      <c r="BE308">
        <v>0</v>
      </c>
      <c r="BF308">
        <v>0</v>
      </c>
      <c r="BG308">
        <v>0</v>
      </c>
      <c r="BH308">
        <v>0</v>
      </c>
      <c r="BI308" t="s">
        <v>9</v>
      </c>
      <c r="BJ308">
        <v>-3.642E-5</v>
      </c>
      <c r="BK308">
        <v>0</v>
      </c>
      <c r="BL308">
        <v>-4.6999999999999999E-6</v>
      </c>
      <c r="BM308" s="2">
        <f t="shared" si="4"/>
        <v>4.3656502707215427E-8</v>
      </c>
    </row>
    <row r="309" spans="1:65" x14ac:dyDescent="0.35">
      <c r="A309">
        <v>0</v>
      </c>
      <c r="B309" t="s">
        <v>11</v>
      </c>
      <c r="C309" t="s">
        <v>4</v>
      </c>
      <c r="D309">
        <v>0</v>
      </c>
      <c r="E309" t="s">
        <v>3</v>
      </c>
      <c r="F309" t="s">
        <v>5</v>
      </c>
      <c r="G309">
        <v>2273.9269210000002</v>
      </c>
      <c r="H309" t="s">
        <v>4</v>
      </c>
      <c r="I309">
        <v>990.16341899999998</v>
      </c>
      <c r="J309">
        <v>1283.763502</v>
      </c>
      <c r="K309" t="s">
        <v>6</v>
      </c>
      <c r="L309" t="s">
        <v>7</v>
      </c>
      <c r="M309" t="s">
        <v>8</v>
      </c>
      <c r="N309" t="s">
        <v>6</v>
      </c>
      <c r="O309" t="s">
        <v>3</v>
      </c>
      <c r="P309" t="s">
        <v>3</v>
      </c>
      <c r="Q309" t="s">
        <v>3</v>
      </c>
      <c r="R309" t="s">
        <v>3</v>
      </c>
      <c r="S309" t="s">
        <v>11</v>
      </c>
      <c r="T309" t="s">
        <v>7</v>
      </c>
      <c r="U309">
        <v>2</v>
      </c>
      <c r="V309">
        <v>0</v>
      </c>
      <c r="W309">
        <v>0</v>
      </c>
      <c r="X309">
        <v>0</v>
      </c>
      <c r="Y309">
        <v>0</v>
      </c>
      <c r="Z309" t="s">
        <v>18</v>
      </c>
      <c r="AA309" t="s">
        <v>4</v>
      </c>
      <c r="AB309" t="s">
        <v>6</v>
      </c>
      <c r="AC309" t="s">
        <v>7</v>
      </c>
      <c r="AD309" t="s">
        <v>8</v>
      </c>
      <c r="AE309" t="s">
        <v>6</v>
      </c>
      <c r="AF309" t="s">
        <v>3</v>
      </c>
      <c r="AG309" t="s">
        <v>3</v>
      </c>
      <c r="AH309" t="s">
        <v>3</v>
      </c>
      <c r="AI309" t="s">
        <v>3</v>
      </c>
      <c r="AJ309" t="s">
        <v>3</v>
      </c>
      <c r="AK309" t="s">
        <v>7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9</v>
      </c>
      <c r="AR309" s="1">
        <v>1.9027025600000001E-5</v>
      </c>
      <c r="AS309" s="1">
        <v>1.24611767E-27</v>
      </c>
      <c r="AT309">
        <v>13</v>
      </c>
      <c r="AU309" t="s">
        <v>10</v>
      </c>
      <c r="AV309">
        <v>2</v>
      </c>
      <c r="AW309">
        <v>0</v>
      </c>
      <c r="AX309">
        <v>0</v>
      </c>
      <c r="AY309">
        <v>0</v>
      </c>
      <c r="AZ309">
        <v>0</v>
      </c>
      <c r="BA309" t="s">
        <v>18</v>
      </c>
      <c r="BB309" t="s">
        <v>4</v>
      </c>
      <c r="BC309" t="s">
        <v>10</v>
      </c>
      <c r="BD309">
        <v>0</v>
      </c>
      <c r="BE309">
        <v>0</v>
      </c>
      <c r="BF309">
        <v>0</v>
      </c>
      <c r="BG309">
        <v>0</v>
      </c>
      <c r="BH309">
        <v>0</v>
      </c>
      <c r="BI309" t="s">
        <v>9</v>
      </c>
      <c r="BJ309">
        <v>0</v>
      </c>
      <c r="BK309">
        <v>-1.9029999999999999E-5</v>
      </c>
      <c r="BL309">
        <v>0</v>
      </c>
      <c r="BM309" s="2">
        <f t="shared" si="4"/>
        <v>7.5042960621079354E-9</v>
      </c>
    </row>
    <row r="310" spans="1:65" x14ac:dyDescent="0.35">
      <c r="A310">
        <v>0</v>
      </c>
      <c r="B310" t="s">
        <v>3</v>
      </c>
      <c r="C310" t="s">
        <v>4</v>
      </c>
      <c r="D310">
        <v>0</v>
      </c>
      <c r="E310" t="s">
        <v>3</v>
      </c>
      <c r="F310" t="s">
        <v>5</v>
      </c>
      <c r="G310">
        <v>3185.4527560000001</v>
      </c>
      <c r="H310" t="s">
        <v>4</v>
      </c>
      <c r="I310">
        <v>990.16341899999998</v>
      </c>
      <c r="J310">
        <v>2195.2893370000002</v>
      </c>
      <c r="K310" t="s">
        <v>6</v>
      </c>
      <c r="L310" t="s">
        <v>7</v>
      </c>
      <c r="M310" t="s">
        <v>8</v>
      </c>
      <c r="N310" t="s">
        <v>6</v>
      </c>
      <c r="O310" t="s">
        <v>3</v>
      </c>
      <c r="P310" t="s">
        <v>3</v>
      </c>
      <c r="Q310" t="s">
        <v>3</v>
      </c>
      <c r="R310" t="s">
        <v>3</v>
      </c>
      <c r="S310" t="s">
        <v>3</v>
      </c>
      <c r="T310" t="s">
        <v>7</v>
      </c>
      <c r="U310">
        <v>1</v>
      </c>
      <c r="V310">
        <v>0</v>
      </c>
      <c r="W310">
        <v>0</v>
      </c>
      <c r="X310">
        <v>1</v>
      </c>
      <c r="Y310">
        <v>1</v>
      </c>
      <c r="Z310" t="s">
        <v>9</v>
      </c>
      <c r="AA310" t="s">
        <v>4</v>
      </c>
      <c r="AB310" t="s">
        <v>6</v>
      </c>
      <c r="AC310" t="s">
        <v>7</v>
      </c>
      <c r="AD310" t="s">
        <v>8</v>
      </c>
      <c r="AE310" t="s">
        <v>6</v>
      </c>
      <c r="AF310" t="s">
        <v>3</v>
      </c>
      <c r="AG310" t="s">
        <v>3</v>
      </c>
      <c r="AH310" t="s">
        <v>3</v>
      </c>
      <c r="AI310" t="s">
        <v>3</v>
      </c>
      <c r="AJ310" t="s">
        <v>3</v>
      </c>
      <c r="AK310" t="s">
        <v>7</v>
      </c>
      <c r="AL310">
        <v>0</v>
      </c>
      <c r="AM310">
        <v>0</v>
      </c>
      <c r="AN310">
        <v>0</v>
      </c>
      <c r="AO310">
        <v>0</v>
      </c>
      <c r="AP310">
        <v>0</v>
      </c>
      <c r="AQ310" t="s">
        <v>9</v>
      </c>
      <c r="AR310" s="1">
        <v>1.5959041E-3</v>
      </c>
      <c r="AS310" s="1">
        <v>1.5021409200000001E-23</v>
      </c>
      <c r="AT310">
        <v>15</v>
      </c>
      <c r="AU310" t="s">
        <v>10</v>
      </c>
      <c r="AV310">
        <v>1</v>
      </c>
      <c r="AW310">
        <v>0</v>
      </c>
      <c r="AX310">
        <v>0</v>
      </c>
      <c r="AY310">
        <v>1</v>
      </c>
      <c r="AZ310">
        <v>1</v>
      </c>
      <c r="BA310" t="s">
        <v>9</v>
      </c>
      <c r="BB310" t="s">
        <v>4</v>
      </c>
      <c r="BC310" t="s">
        <v>10</v>
      </c>
      <c r="BD310">
        <v>0</v>
      </c>
      <c r="BE310">
        <v>0</v>
      </c>
      <c r="BF310">
        <v>0</v>
      </c>
      <c r="BG310">
        <v>0</v>
      </c>
      <c r="BH310">
        <v>0</v>
      </c>
      <c r="BI310" t="s">
        <v>9</v>
      </c>
      <c r="BJ310">
        <v>-1.3486500000000001E-3</v>
      </c>
      <c r="BK310">
        <v>0</v>
      </c>
      <c r="BL310">
        <v>8.5327000000000005E-4</v>
      </c>
      <c r="BM310" s="2">
        <f t="shared" si="4"/>
        <v>9.0461041216815375E-5</v>
      </c>
    </row>
    <row r="311" spans="1:65" x14ac:dyDescent="0.35">
      <c r="A311">
        <v>0</v>
      </c>
      <c r="B311" t="s">
        <v>3</v>
      </c>
      <c r="C311" t="s">
        <v>4</v>
      </c>
      <c r="D311">
        <v>0</v>
      </c>
      <c r="E311" t="s">
        <v>3</v>
      </c>
      <c r="F311" t="s">
        <v>5</v>
      </c>
      <c r="G311">
        <v>1655.1957640000001</v>
      </c>
      <c r="H311" t="s">
        <v>4</v>
      </c>
      <c r="I311">
        <v>990.16341899999998</v>
      </c>
      <c r="J311">
        <v>665.03234499999996</v>
      </c>
      <c r="K311" t="s">
        <v>6</v>
      </c>
      <c r="L311" t="s">
        <v>7</v>
      </c>
      <c r="M311" t="s">
        <v>8</v>
      </c>
      <c r="N311" t="s">
        <v>6</v>
      </c>
      <c r="O311" t="s">
        <v>3</v>
      </c>
      <c r="P311" t="s">
        <v>3</v>
      </c>
      <c r="Q311" t="s">
        <v>3</v>
      </c>
      <c r="R311" t="s">
        <v>3</v>
      </c>
      <c r="S311" t="s">
        <v>3</v>
      </c>
      <c r="T311" t="s">
        <v>7</v>
      </c>
      <c r="U311">
        <v>0</v>
      </c>
      <c r="V311">
        <v>1</v>
      </c>
      <c r="W311">
        <v>0</v>
      </c>
      <c r="X311">
        <v>1</v>
      </c>
      <c r="Y311">
        <v>0</v>
      </c>
      <c r="Z311" t="s">
        <v>8</v>
      </c>
      <c r="AA311" t="s">
        <v>4</v>
      </c>
      <c r="AB311" t="s">
        <v>6</v>
      </c>
      <c r="AC311" t="s">
        <v>7</v>
      </c>
      <c r="AD311" t="s">
        <v>8</v>
      </c>
      <c r="AE311" t="s">
        <v>6</v>
      </c>
      <c r="AF311" t="s">
        <v>3</v>
      </c>
      <c r="AG311" t="s">
        <v>3</v>
      </c>
      <c r="AH311" t="s">
        <v>3</v>
      </c>
      <c r="AI311" t="s">
        <v>3</v>
      </c>
      <c r="AJ311" t="s">
        <v>3</v>
      </c>
      <c r="AK311" t="s">
        <v>7</v>
      </c>
      <c r="AL311">
        <v>0</v>
      </c>
      <c r="AM311">
        <v>0</v>
      </c>
      <c r="AN311">
        <v>0</v>
      </c>
      <c r="AO311">
        <v>0</v>
      </c>
      <c r="AP311">
        <v>0</v>
      </c>
      <c r="AQ311" t="s">
        <v>9</v>
      </c>
      <c r="AR311" s="1">
        <v>4.1552948600000003E-6</v>
      </c>
      <c r="AS311" s="1">
        <v>2.9606537199999999E-29</v>
      </c>
      <c r="AT311">
        <v>16</v>
      </c>
      <c r="AU311" t="s">
        <v>10</v>
      </c>
      <c r="AV311">
        <v>0</v>
      </c>
      <c r="AW311">
        <v>1</v>
      </c>
      <c r="AX311">
        <v>0</v>
      </c>
      <c r="AY311">
        <v>1</v>
      </c>
      <c r="AZ311">
        <v>0</v>
      </c>
      <c r="BA311" t="s">
        <v>8</v>
      </c>
      <c r="BB311" t="s">
        <v>4</v>
      </c>
      <c r="BC311" t="s">
        <v>10</v>
      </c>
      <c r="BD311">
        <v>0</v>
      </c>
      <c r="BE311">
        <v>0</v>
      </c>
      <c r="BF311">
        <v>0</v>
      </c>
      <c r="BG311">
        <v>0</v>
      </c>
      <c r="BH311">
        <v>0</v>
      </c>
      <c r="BI311" t="s">
        <v>9</v>
      </c>
      <c r="BJ311">
        <v>2.9900000000000002E-6</v>
      </c>
      <c r="BK311">
        <v>0</v>
      </c>
      <c r="BL311">
        <v>2.8899999999999999E-6</v>
      </c>
      <c r="BM311" s="2">
        <f t="shared" si="4"/>
        <v>1.7829473561883774E-10</v>
      </c>
    </row>
    <row r="312" spans="1:65" x14ac:dyDescent="0.35">
      <c r="A312">
        <v>0</v>
      </c>
      <c r="B312" t="s">
        <v>11</v>
      </c>
      <c r="C312" t="s">
        <v>4</v>
      </c>
      <c r="D312">
        <v>0</v>
      </c>
      <c r="E312" t="s">
        <v>3</v>
      </c>
      <c r="F312" t="s">
        <v>5</v>
      </c>
      <c r="G312">
        <v>4955.6567560000003</v>
      </c>
      <c r="H312" t="s">
        <v>4</v>
      </c>
      <c r="I312">
        <v>990.16341899999998</v>
      </c>
      <c r="J312">
        <v>3965.4933369999999</v>
      </c>
      <c r="K312" t="s">
        <v>6</v>
      </c>
      <c r="L312" t="s">
        <v>7</v>
      </c>
      <c r="M312" t="s">
        <v>8</v>
      </c>
      <c r="N312" t="s">
        <v>6</v>
      </c>
      <c r="O312" t="s">
        <v>3</v>
      </c>
      <c r="P312" t="s">
        <v>3</v>
      </c>
      <c r="Q312" t="s">
        <v>3</v>
      </c>
      <c r="R312" t="s">
        <v>3</v>
      </c>
      <c r="S312" t="s">
        <v>11</v>
      </c>
      <c r="T312" t="s">
        <v>7</v>
      </c>
      <c r="U312">
        <v>1</v>
      </c>
      <c r="V312">
        <v>2</v>
      </c>
      <c r="W312">
        <v>0</v>
      </c>
      <c r="X312">
        <v>0</v>
      </c>
      <c r="Y312">
        <v>0</v>
      </c>
      <c r="Z312" t="s">
        <v>13</v>
      </c>
      <c r="AA312" t="s">
        <v>4</v>
      </c>
      <c r="AB312" t="s">
        <v>6</v>
      </c>
      <c r="AC312" t="s">
        <v>7</v>
      </c>
      <c r="AD312" t="s">
        <v>8</v>
      </c>
      <c r="AE312" t="s">
        <v>6</v>
      </c>
      <c r="AF312" t="s">
        <v>3</v>
      </c>
      <c r="AG312" t="s">
        <v>3</v>
      </c>
      <c r="AH312" t="s">
        <v>3</v>
      </c>
      <c r="AI312" t="s">
        <v>3</v>
      </c>
      <c r="AJ312" t="s">
        <v>3</v>
      </c>
      <c r="AK312" t="s">
        <v>7</v>
      </c>
      <c r="AL312">
        <v>0</v>
      </c>
      <c r="AM312">
        <v>0</v>
      </c>
      <c r="AN312">
        <v>0</v>
      </c>
      <c r="AO312">
        <v>0</v>
      </c>
      <c r="AP312">
        <v>0</v>
      </c>
      <c r="AQ312" t="s">
        <v>9</v>
      </c>
      <c r="AR312" s="1">
        <v>2.14986112E-7</v>
      </c>
      <c r="AS312" s="1">
        <v>4.9241831400000001E-31</v>
      </c>
      <c r="AT312">
        <v>14</v>
      </c>
      <c r="AU312" t="s">
        <v>10</v>
      </c>
      <c r="AV312">
        <v>1</v>
      </c>
      <c r="AW312">
        <v>2</v>
      </c>
      <c r="AX312">
        <v>0</v>
      </c>
      <c r="AY312">
        <v>0</v>
      </c>
      <c r="AZ312">
        <v>0</v>
      </c>
      <c r="BA312" t="s">
        <v>13</v>
      </c>
      <c r="BB312" t="s">
        <v>4</v>
      </c>
      <c r="BC312" t="s">
        <v>10</v>
      </c>
      <c r="BD312">
        <v>0</v>
      </c>
      <c r="BE312">
        <v>0</v>
      </c>
      <c r="BF312">
        <v>0</v>
      </c>
      <c r="BG312">
        <v>0</v>
      </c>
      <c r="BH312">
        <v>0</v>
      </c>
      <c r="BI312" t="s">
        <v>9</v>
      </c>
      <c r="BJ312">
        <v>0</v>
      </c>
      <c r="BK312">
        <v>2.1E-7</v>
      </c>
      <c r="BL312">
        <v>0</v>
      </c>
      <c r="BM312" s="2">
        <f t="shared" si="4"/>
        <v>2.9654124194066113E-12</v>
      </c>
    </row>
    <row r="313" spans="1:65" x14ac:dyDescent="0.35">
      <c r="A313">
        <v>0</v>
      </c>
      <c r="B313" t="s">
        <v>3</v>
      </c>
      <c r="C313" t="s">
        <v>4</v>
      </c>
      <c r="D313">
        <v>0</v>
      </c>
      <c r="E313" t="s">
        <v>3</v>
      </c>
      <c r="F313" t="s">
        <v>5</v>
      </c>
      <c r="G313">
        <v>3930.3089650000002</v>
      </c>
      <c r="H313" t="s">
        <v>4</v>
      </c>
      <c r="I313">
        <v>990.16341899999998</v>
      </c>
      <c r="J313">
        <v>2940.1455460000002</v>
      </c>
      <c r="K313" t="s">
        <v>6</v>
      </c>
      <c r="L313" t="s">
        <v>7</v>
      </c>
      <c r="M313" t="s">
        <v>8</v>
      </c>
      <c r="N313" t="s">
        <v>6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 t="s">
        <v>7</v>
      </c>
      <c r="U313">
        <v>1</v>
      </c>
      <c r="V313">
        <v>1</v>
      </c>
      <c r="W313">
        <v>0</v>
      </c>
      <c r="X313">
        <v>2</v>
      </c>
      <c r="Y313">
        <v>0</v>
      </c>
      <c r="Z313" t="s">
        <v>15</v>
      </c>
      <c r="AA313" t="s">
        <v>4</v>
      </c>
      <c r="AB313" t="s">
        <v>6</v>
      </c>
      <c r="AC313" t="s">
        <v>7</v>
      </c>
      <c r="AD313" t="s">
        <v>8</v>
      </c>
      <c r="AE313" t="s">
        <v>6</v>
      </c>
      <c r="AF313" t="s">
        <v>3</v>
      </c>
      <c r="AG313" t="s">
        <v>3</v>
      </c>
      <c r="AH313" t="s">
        <v>3</v>
      </c>
      <c r="AI313" t="s">
        <v>3</v>
      </c>
      <c r="AJ313" t="s">
        <v>3</v>
      </c>
      <c r="AK313" t="s">
        <v>7</v>
      </c>
      <c r="AL313">
        <v>0</v>
      </c>
      <c r="AM313">
        <v>0</v>
      </c>
      <c r="AN313">
        <v>0</v>
      </c>
      <c r="AO313">
        <v>0</v>
      </c>
      <c r="AP313">
        <v>0</v>
      </c>
      <c r="AQ313" t="s">
        <v>9</v>
      </c>
      <c r="AR313" s="1">
        <v>4.0343335399999999E-5</v>
      </c>
      <c r="AS313" s="1">
        <v>1.28566641E-26</v>
      </c>
      <c r="AT313">
        <v>13</v>
      </c>
      <c r="AU313" t="s">
        <v>10</v>
      </c>
      <c r="AV313">
        <v>1</v>
      </c>
      <c r="AW313">
        <v>1</v>
      </c>
      <c r="AX313">
        <v>0</v>
      </c>
      <c r="AY313">
        <v>2</v>
      </c>
      <c r="AZ313">
        <v>0</v>
      </c>
      <c r="BA313" t="s">
        <v>15</v>
      </c>
      <c r="BB313" t="s">
        <v>4</v>
      </c>
      <c r="BC313" t="s">
        <v>10</v>
      </c>
      <c r="BD313">
        <v>0</v>
      </c>
      <c r="BE313">
        <v>0</v>
      </c>
      <c r="BF313">
        <v>0</v>
      </c>
      <c r="BG313">
        <v>0</v>
      </c>
      <c r="BH313">
        <v>0</v>
      </c>
      <c r="BI313" t="s">
        <v>9</v>
      </c>
      <c r="BJ313">
        <v>-3.9490000000000003E-5</v>
      </c>
      <c r="BK313">
        <v>0</v>
      </c>
      <c r="BL313">
        <v>8.2400000000000007E-6</v>
      </c>
      <c r="BM313" s="2">
        <f t="shared" si="4"/>
        <v>7.7424641428505274E-8</v>
      </c>
    </row>
    <row r="314" spans="1:65" x14ac:dyDescent="0.35">
      <c r="A314">
        <v>0</v>
      </c>
      <c r="B314" t="s">
        <v>3</v>
      </c>
      <c r="C314" t="s">
        <v>4</v>
      </c>
      <c r="D314">
        <v>0</v>
      </c>
      <c r="E314" t="s">
        <v>3</v>
      </c>
      <c r="F314" t="s">
        <v>5</v>
      </c>
      <c r="G314">
        <v>3691.7216389999999</v>
      </c>
      <c r="H314" t="s">
        <v>4</v>
      </c>
      <c r="I314">
        <v>990.16341899999998</v>
      </c>
      <c r="J314">
        <v>2701.5582199999999</v>
      </c>
      <c r="K314" t="s">
        <v>6</v>
      </c>
      <c r="L314" t="s">
        <v>7</v>
      </c>
      <c r="M314" t="s">
        <v>8</v>
      </c>
      <c r="N314" t="s">
        <v>6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 t="s">
        <v>7</v>
      </c>
      <c r="U314">
        <v>0</v>
      </c>
      <c r="V314">
        <v>2</v>
      </c>
      <c r="W314">
        <v>0</v>
      </c>
      <c r="X314">
        <v>3</v>
      </c>
      <c r="Y314">
        <v>0</v>
      </c>
      <c r="Z314" t="s">
        <v>8</v>
      </c>
      <c r="AA314" t="s">
        <v>4</v>
      </c>
      <c r="AB314" t="s">
        <v>6</v>
      </c>
      <c r="AC314" t="s">
        <v>7</v>
      </c>
      <c r="AD314" t="s">
        <v>8</v>
      </c>
      <c r="AE314" t="s">
        <v>6</v>
      </c>
      <c r="AF314" t="s">
        <v>3</v>
      </c>
      <c r="AG314" t="s">
        <v>3</v>
      </c>
      <c r="AH314" t="s">
        <v>3</v>
      </c>
      <c r="AI314" t="s">
        <v>3</v>
      </c>
      <c r="AJ314" t="s">
        <v>3</v>
      </c>
      <c r="AK314" t="s">
        <v>7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9</v>
      </c>
      <c r="AR314" s="1">
        <v>1.08712624E-5</v>
      </c>
      <c r="AS314" s="1">
        <v>8.5780684899999994E-28</v>
      </c>
      <c r="AT314">
        <v>16</v>
      </c>
      <c r="AU314" t="s">
        <v>10</v>
      </c>
      <c r="AV314">
        <v>0</v>
      </c>
      <c r="AW314">
        <v>2</v>
      </c>
      <c r="AX314">
        <v>0</v>
      </c>
      <c r="AY314">
        <v>3</v>
      </c>
      <c r="AZ314">
        <v>0</v>
      </c>
      <c r="BA314" t="s">
        <v>8</v>
      </c>
      <c r="BB314" t="s">
        <v>4</v>
      </c>
      <c r="BC314" t="s">
        <v>10</v>
      </c>
      <c r="BD314">
        <v>0</v>
      </c>
      <c r="BE314">
        <v>0</v>
      </c>
      <c r="BF314">
        <v>0</v>
      </c>
      <c r="BG314">
        <v>0</v>
      </c>
      <c r="BH314">
        <v>0</v>
      </c>
      <c r="BI314" t="s">
        <v>9</v>
      </c>
      <c r="BJ314">
        <v>-1.084E-5</v>
      </c>
      <c r="BK314">
        <v>0</v>
      </c>
      <c r="BL314">
        <v>7.7000000000000004E-7</v>
      </c>
      <c r="BM314" s="2">
        <f t="shared" si="4"/>
        <v>5.1658336238823384E-9</v>
      </c>
    </row>
    <row r="315" spans="1:65" x14ac:dyDescent="0.35">
      <c r="A315">
        <v>0</v>
      </c>
      <c r="B315" t="s">
        <v>3</v>
      </c>
      <c r="C315" t="s">
        <v>4</v>
      </c>
      <c r="D315">
        <v>0</v>
      </c>
      <c r="E315" t="s">
        <v>3</v>
      </c>
      <c r="F315" t="s">
        <v>5</v>
      </c>
      <c r="G315">
        <v>4896.2683450000004</v>
      </c>
      <c r="H315" t="s">
        <v>4</v>
      </c>
      <c r="I315">
        <v>990.16341899999998</v>
      </c>
      <c r="J315">
        <v>3906.104926</v>
      </c>
      <c r="K315" t="s">
        <v>6</v>
      </c>
      <c r="L315" t="s">
        <v>7</v>
      </c>
      <c r="M315" t="s">
        <v>8</v>
      </c>
      <c r="N315" t="s">
        <v>6</v>
      </c>
      <c r="O315" t="s">
        <v>3</v>
      </c>
      <c r="P315" t="s">
        <v>3</v>
      </c>
      <c r="Q315" t="s">
        <v>3</v>
      </c>
      <c r="R315" t="s">
        <v>3</v>
      </c>
      <c r="S315" t="s">
        <v>3</v>
      </c>
      <c r="T315" t="s">
        <v>7</v>
      </c>
      <c r="U315">
        <v>2</v>
      </c>
      <c r="V315">
        <v>1</v>
      </c>
      <c r="W315">
        <v>0</v>
      </c>
      <c r="X315">
        <v>0</v>
      </c>
      <c r="Y315">
        <v>1</v>
      </c>
      <c r="Z315" t="s">
        <v>9</v>
      </c>
      <c r="AA315" t="s">
        <v>4</v>
      </c>
      <c r="AB315" t="s">
        <v>6</v>
      </c>
      <c r="AC315" t="s">
        <v>7</v>
      </c>
      <c r="AD315" t="s">
        <v>8</v>
      </c>
      <c r="AE315" t="s">
        <v>6</v>
      </c>
      <c r="AF315" t="s">
        <v>3</v>
      </c>
      <c r="AG315" t="s">
        <v>3</v>
      </c>
      <c r="AH315" t="s">
        <v>3</v>
      </c>
      <c r="AI315" t="s">
        <v>3</v>
      </c>
      <c r="AJ315" t="s">
        <v>3</v>
      </c>
      <c r="AK315" t="s">
        <v>7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9</v>
      </c>
      <c r="AR315" s="1">
        <v>1.2491808599999999E-4</v>
      </c>
      <c r="AS315" s="1">
        <v>1.63761084E-25</v>
      </c>
      <c r="AT315">
        <v>14</v>
      </c>
      <c r="AU315" t="s">
        <v>10</v>
      </c>
      <c r="AV315">
        <v>2</v>
      </c>
      <c r="AW315">
        <v>1</v>
      </c>
      <c r="AX315">
        <v>0</v>
      </c>
      <c r="AY315">
        <v>0</v>
      </c>
      <c r="AZ315">
        <v>1</v>
      </c>
      <c r="BA315" t="s">
        <v>9</v>
      </c>
      <c r="BB315" t="s">
        <v>4</v>
      </c>
      <c r="BC315" t="s">
        <v>10</v>
      </c>
      <c r="BD315">
        <v>0</v>
      </c>
      <c r="BE315">
        <v>0</v>
      </c>
      <c r="BF315">
        <v>0</v>
      </c>
      <c r="BG315">
        <v>0</v>
      </c>
      <c r="BH315">
        <v>0</v>
      </c>
      <c r="BI315" t="s">
        <v>9</v>
      </c>
      <c r="BJ315">
        <v>5.7049999999999998E-5</v>
      </c>
      <c r="BK315">
        <v>0</v>
      </c>
      <c r="BL315">
        <v>-1.1113E-4</v>
      </c>
      <c r="BM315" s="2">
        <f t="shared" si="4"/>
        <v>9.8619230540862724E-7</v>
      </c>
    </row>
    <row r="316" spans="1:65" x14ac:dyDescent="0.35">
      <c r="A316">
        <v>0</v>
      </c>
      <c r="B316" t="s">
        <v>3</v>
      </c>
      <c r="C316" t="s">
        <v>4</v>
      </c>
      <c r="D316">
        <v>0</v>
      </c>
      <c r="E316" t="s">
        <v>3</v>
      </c>
      <c r="F316" t="s">
        <v>5</v>
      </c>
      <c r="G316">
        <v>2680.441178</v>
      </c>
      <c r="H316" t="s">
        <v>4</v>
      </c>
      <c r="I316">
        <v>990.16341899999998</v>
      </c>
      <c r="J316">
        <v>1690.2777590000001</v>
      </c>
      <c r="K316" t="s">
        <v>6</v>
      </c>
      <c r="L316" t="s">
        <v>7</v>
      </c>
      <c r="M316" t="s">
        <v>8</v>
      </c>
      <c r="N316" t="s">
        <v>6</v>
      </c>
      <c r="O316" t="s">
        <v>3</v>
      </c>
      <c r="P316" t="s">
        <v>3</v>
      </c>
      <c r="Q316" t="s">
        <v>3</v>
      </c>
      <c r="R316" t="s">
        <v>3</v>
      </c>
      <c r="S316" t="s">
        <v>3</v>
      </c>
      <c r="T316" t="s">
        <v>7</v>
      </c>
      <c r="U316">
        <v>0</v>
      </c>
      <c r="V316">
        <v>0</v>
      </c>
      <c r="W316">
        <v>0</v>
      </c>
      <c r="X316">
        <v>2</v>
      </c>
      <c r="Y316">
        <v>0</v>
      </c>
      <c r="Z316" t="s">
        <v>21</v>
      </c>
      <c r="AA316" t="s">
        <v>4</v>
      </c>
      <c r="AB316" t="s">
        <v>6</v>
      </c>
      <c r="AC316" t="s">
        <v>7</v>
      </c>
      <c r="AD316" t="s">
        <v>8</v>
      </c>
      <c r="AE316" t="s">
        <v>6</v>
      </c>
      <c r="AF316" t="s">
        <v>3</v>
      </c>
      <c r="AG316" t="s">
        <v>3</v>
      </c>
      <c r="AH316" t="s">
        <v>3</v>
      </c>
      <c r="AI316" t="s">
        <v>3</v>
      </c>
      <c r="AJ316" t="s">
        <v>3</v>
      </c>
      <c r="AK316" t="s">
        <v>7</v>
      </c>
      <c r="AL316">
        <v>0</v>
      </c>
      <c r="AM316">
        <v>0</v>
      </c>
      <c r="AN316">
        <v>0</v>
      </c>
      <c r="AO316">
        <v>0</v>
      </c>
      <c r="AP316">
        <v>0</v>
      </c>
      <c r="AQ316" t="s">
        <v>9</v>
      </c>
      <c r="AR316" s="1">
        <v>2.58682827E-3</v>
      </c>
      <c r="AS316" s="1">
        <v>3.0379832200000002E-23</v>
      </c>
      <c r="AT316">
        <v>13</v>
      </c>
      <c r="AU316" t="s">
        <v>10</v>
      </c>
      <c r="AV316">
        <v>0</v>
      </c>
      <c r="AW316">
        <v>0</v>
      </c>
      <c r="AX316">
        <v>0</v>
      </c>
      <c r="AY316">
        <v>2</v>
      </c>
      <c r="AZ316">
        <v>0</v>
      </c>
      <c r="BA316" t="s">
        <v>21</v>
      </c>
      <c r="BB316" t="s">
        <v>4</v>
      </c>
      <c r="BC316" t="s">
        <v>10</v>
      </c>
      <c r="BD316">
        <v>0</v>
      </c>
      <c r="BE316">
        <v>0</v>
      </c>
      <c r="BF316">
        <v>0</v>
      </c>
      <c r="BG316">
        <v>0</v>
      </c>
      <c r="BH316">
        <v>0</v>
      </c>
      <c r="BI316" t="s">
        <v>9</v>
      </c>
      <c r="BJ316">
        <v>1.7760000000000001E-4</v>
      </c>
      <c r="BK316">
        <v>0</v>
      </c>
      <c r="BL316">
        <v>-2.5807199999999999E-3</v>
      </c>
      <c r="BM316" s="2">
        <f t="shared" si="4"/>
        <v>1.8295162698877377E-4</v>
      </c>
    </row>
    <row r="317" spans="1:65" x14ac:dyDescent="0.35">
      <c r="A317">
        <v>0</v>
      </c>
      <c r="B317" t="s">
        <v>11</v>
      </c>
      <c r="C317" t="s">
        <v>4</v>
      </c>
      <c r="D317">
        <v>0</v>
      </c>
      <c r="E317" t="s">
        <v>3</v>
      </c>
      <c r="F317" t="s">
        <v>5</v>
      </c>
      <c r="G317">
        <v>4520.4563399999997</v>
      </c>
      <c r="H317" t="s">
        <v>4</v>
      </c>
      <c r="I317">
        <v>990.16341899999998</v>
      </c>
      <c r="J317">
        <v>3530.2929210000002</v>
      </c>
      <c r="K317" t="s">
        <v>6</v>
      </c>
      <c r="L317" t="s">
        <v>7</v>
      </c>
      <c r="M317" t="s">
        <v>8</v>
      </c>
      <c r="N317" t="s">
        <v>6</v>
      </c>
      <c r="O317" t="s">
        <v>3</v>
      </c>
      <c r="P317" t="s">
        <v>3</v>
      </c>
      <c r="Q317" t="s">
        <v>3</v>
      </c>
      <c r="R317" t="s">
        <v>3</v>
      </c>
      <c r="S317" t="s">
        <v>11</v>
      </c>
      <c r="T317" t="s">
        <v>7</v>
      </c>
      <c r="U317">
        <v>0</v>
      </c>
      <c r="V317">
        <v>0</v>
      </c>
      <c r="W317">
        <v>0</v>
      </c>
      <c r="X317">
        <v>7</v>
      </c>
      <c r="Y317">
        <v>0</v>
      </c>
      <c r="Z317" t="s">
        <v>13</v>
      </c>
      <c r="AA317" t="s">
        <v>4</v>
      </c>
      <c r="AB317" t="s">
        <v>6</v>
      </c>
      <c r="AC317" t="s">
        <v>7</v>
      </c>
      <c r="AD317" t="s">
        <v>8</v>
      </c>
      <c r="AE317" t="s">
        <v>6</v>
      </c>
      <c r="AF317" t="s">
        <v>3</v>
      </c>
      <c r="AG317" t="s">
        <v>3</v>
      </c>
      <c r="AH317" t="s">
        <v>3</v>
      </c>
      <c r="AI317" t="s">
        <v>3</v>
      </c>
      <c r="AJ317" t="s">
        <v>3</v>
      </c>
      <c r="AK317" t="s">
        <v>7</v>
      </c>
      <c r="AL317">
        <v>0</v>
      </c>
      <c r="AM317">
        <v>0</v>
      </c>
      <c r="AN317">
        <v>0</v>
      </c>
      <c r="AO317">
        <v>0</v>
      </c>
      <c r="AP317">
        <v>0</v>
      </c>
      <c r="AQ317" t="s">
        <v>9</v>
      </c>
      <c r="AR317" s="1">
        <v>1.7979061399999998E-5</v>
      </c>
      <c r="AS317" s="1">
        <v>3.06592072E-27</v>
      </c>
      <c r="AT317">
        <v>13</v>
      </c>
      <c r="AU317" t="s">
        <v>10</v>
      </c>
      <c r="AV317">
        <v>0</v>
      </c>
      <c r="AW317">
        <v>0</v>
      </c>
      <c r="AX317">
        <v>0</v>
      </c>
      <c r="AY317">
        <v>7</v>
      </c>
      <c r="AZ317">
        <v>0</v>
      </c>
      <c r="BA317" t="s">
        <v>13</v>
      </c>
      <c r="BB317" t="s">
        <v>4</v>
      </c>
      <c r="BC317" t="s">
        <v>10</v>
      </c>
      <c r="BD317">
        <v>0</v>
      </c>
      <c r="BE317">
        <v>0</v>
      </c>
      <c r="BF317">
        <v>0</v>
      </c>
      <c r="BG317">
        <v>0</v>
      </c>
      <c r="BH317">
        <v>0</v>
      </c>
      <c r="BI317" t="s">
        <v>9</v>
      </c>
      <c r="BJ317">
        <v>0</v>
      </c>
      <c r="BK317">
        <v>1.7980000000000001E-5</v>
      </c>
      <c r="BL317">
        <v>0</v>
      </c>
      <c r="BM317" s="2">
        <f t="shared" si="4"/>
        <v>1.8463406257477375E-8</v>
      </c>
    </row>
    <row r="318" spans="1:65" x14ac:dyDescent="0.35">
      <c r="A318">
        <v>0</v>
      </c>
      <c r="B318" t="s">
        <v>3</v>
      </c>
      <c r="C318" t="s">
        <v>4</v>
      </c>
      <c r="D318">
        <v>0</v>
      </c>
      <c r="E318" t="s">
        <v>3</v>
      </c>
      <c r="F318" t="s">
        <v>5</v>
      </c>
      <c r="G318">
        <v>4666.3397489999998</v>
      </c>
      <c r="H318" t="s">
        <v>4</v>
      </c>
      <c r="I318">
        <v>990.16341899999998</v>
      </c>
      <c r="J318">
        <v>3676.1763299999998</v>
      </c>
      <c r="K318" t="s">
        <v>6</v>
      </c>
      <c r="L318" t="s">
        <v>7</v>
      </c>
      <c r="M318" t="s">
        <v>8</v>
      </c>
      <c r="N318" t="s">
        <v>6</v>
      </c>
      <c r="O318" t="s">
        <v>3</v>
      </c>
      <c r="P318" t="s">
        <v>3</v>
      </c>
      <c r="Q318" t="s">
        <v>3</v>
      </c>
      <c r="R318" t="s">
        <v>3</v>
      </c>
      <c r="S318" t="s">
        <v>3</v>
      </c>
      <c r="T318" t="s">
        <v>7</v>
      </c>
      <c r="U318">
        <v>0</v>
      </c>
      <c r="V318">
        <v>0</v>
      </c>
      <c r="W318">
        <v>0</v>
      </c>
      <c r="X318">
        <v>1</v>
      </c>
      <c r="Y318">
        <v>0</v>
      </c>
      <c r="Z318" t="s">
        <v>30</v>
      </c>
      <c r="AA318" t="s">
        <v>4</v>
      </c>
      <c r="AB318" t="s">
        <v>6</v>
      </c>
      <c r="AC318" t="s">
        <v>7</v>
      </c>
      <c r="AD318" t="s">
        <v>8</v>
      </c>
      <c r="AE318" t="s">
        <v>6</v>
      </c>
      <c r="AF318" t="s">
        <v>3</v>
      </c>
      <c r="AG318" t="s">
        <v>3</v>
      </c>
      <c r="AH318" t="s">
        <v>3</v>
      </c>
      <c r="AI318" t="s">
        <v>3</v>
      </c>
      <c r="AJ318" t="s">
        <v>3</v>
      </c>
      <c r="AK318" t="s">
        <v>7</v>
      </c>
      <c r="AL318">
        <v>0</v>
      </c>
      <c r="AM318">
        <v>0</v>
      </c>
      <c r="AN318">
        <v>0</v>
      </c>
      <c r="AO318">
        <v>0</v>
      </c>
      <c r="AP318">
        <v>0</v>
      </c>
      <c r="AQ318" t="s">
        <v>9</v>
      </c>
      <c r="AR318" s="1">
        <v>5.6749459100000002E-5</v>
      </c>
      <c r="AS318" s="1">
        <v>3.1807969199999997E-26</v>
      </c>
      <c r="AT318">
        <v>14</v>
      </c>
      <c r="AU318" t="s">
        <v>10</v>
      </c>
      <c r="AV318">
        <v>0</v>
      </c>
      <c r="AW318">
        <v>0</v>
      </c>
      <c r="AX318">
        <v>0</v>
      </c>
      <c r="AY318">
        <v>1</v>
      </c>
      <c r="AZ318">
        <v>0</v>
      </c>
      <c r="BA318" t="s">
        <v>30</v>
      </c>
      <c r="BB318" t="s">
        <v>4</v>
      </c>
      <c r="BC318" t="s">
        <v>10</v>
      </c>
      <c r="BD318">
        <v>0</v>
      </c>
      <c r="BE318">
        <v>0</v>
      </c>
      <c r="BF318">
        <v>0</v>
      </c>
      <c r="BG318">
        <v>0</v>
      </c>
      <c r="BH318">
        <v>0</v>
      </c>
      <c r="BI318" t="s">
        <v>9</v>
      </c>
      <c r="BJ318">
        <v>-2.8799999999999999E-5</v>
      </c>
      <c r="BK318">
        <v>0</v>
      </c>
      <c r="BL318">
        <v>4.8900000000000003E-5</v>
      </c>
      <c r="BM318" s="2">
        <f t="shared" si="4"/>
        <v>1.9155206908446333E-7</v>
      </c>
    </row>
    <row r="319" spans="1:65" x14ac:dyDescent="0.35">
      <c r="A319">
        <v>0</v>
      </c>
      <c r="B319" t="s">
        <v>3</v>
      </c>
      <c r="C319" t="s">
        <v>4</v>
      </c>
      <c r="D319">
        <v>0</v>
      </c>
      <c r="E319" t="s">
        <v>3</v>
      </c>
      <c r="F319" t="s">
        <v>5</v>
      </c>
      <c r="G319">
        <v>4128.6587980000004</v>
      </c>
      <c r="H319" t="s">
        <v>4</v>
      </c>
      <c r="I319">
        <v>990.16341899999998</v>
      </c>
      <c r="J319">
        <v>3138.495379</v>
      </c>
      <c r="K319" t="s">
        <v>6</v>
      </c>
      <c r="L319" t="s">
        <v>7</v>
      </c>
      <c r="M319" t="s">
        <v>8</v>
      </c>
      <c r="N319" t="s">
        <v>6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 t="s">
        <v>7</v>
      </c>
      <c r="U319">
        <v>0</v>
      </c>
      <c r="V319">
        <v>0</v>
      </c>
      <c r="W319">
        <v>0</v>
      </c>
      <c r="X319">
        <v>3</v>
      </c>
      <c r="Y319">
        <v>1</v>
      </c>
      <c r="Z319" t="s">
        <v>21</v>
      </c>
      <c r="AA319" t="s">
        <v>4</v>
      </c>
      <c r="AB319" t="s">
        <v>6</v>
      </c>
      <c r="AC319" t="s">
        <v>7</v>
      </c>
      <c r="AD319" t="s">
        <v>8</v>
      </c>
      <c r="AE319" t="s">
        <v>6</v>
      </c>
      <c r="AF319" t="s">
        <v>3</v>
      </c>
      <c r="AG319" t="s">
        <v>3</v>
      </c>
      <c r="AH319" t="s">
        <v>3</v>
      </c>
      <c r="AI319" t="s">
        <v>3</v>
      </c>
      <c r="AJ319" t="s">
        <v>3</v>
      </c>
      <c r="AK319" t="s">
        <v>7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9</v>
      </c>
      <c r="AR319" s="1">
        <v>6.6912825799999995E-5</v>
      </c>
      <c r="AS319" s="1">
        <v>3.7753418699999997E-26</v>
      </c>
      <c r="AT319">
        <v>16</v>
      </c>
      <c r="AU319" t="s">
        <v>10</v>
      </c>
      <c r="AV319">
        <v>0</v>
      </c>
      <c r="AW319">
        <v>0</v>
      </c>
      <c r="AX319">
        <v>0</v>
      </c>
      <c r="AY319">
        <v>3</v>
      </c>
      <c r="AZ319">
        <v>1</v>
      </c>
      <c r="BA319" t="s">
        <v>21</v>
      </c>
      <c r="BB319" t="s">
        <v>4</v>
      </c>
      <c r="BC319" t="s">
        <v>10</v>
      </c>
      <c r="BD319">
        <v>0</v>
      </c>
      <c r="BE319">
        <v>0</v>
      </c>
      <c r="BF319">
        <v>0</v>
      </c>
      <c r="BG319">
        <v>0</v>
      </c>
      <c r="BH319">
        <v>0</v>
      </c>
      <c r="BI319" t="s">
        <v>9</v>
      </c>
      <c r="BJ319">
        <v>-5.9559999999999999E-5</v>
      </c>
      <c r="BK319">
        <v>0</v>
      </c>
      <c r="BL319">
        <v>-3.0490000000000001E-5</v>
      </c>
      <c r="BM319" s="2">
        <f t="shared" si="4"/>
        <v>2.2735640309275293E-7</v>
      </c>
    </row>
    <row r="320" spans="1:65" x14ac:dyDescent="0.35">
      <c r="A320">
        <v>0</v>
      </c>
      <c r="B320" t="s">
        <v>11</v>
      </c>
      <c r="C320" t="s">
        <v>4</v>
      </c>
      <c r="D320">
        <v>0</v>
      </c>
      <c r="E320" t="s">
        <v>3</v>
      </c>
      <c r="F320" t="s">
        <v>5</v>
      </c>
      <c r="G320">
        <v>4838.5696809999999</v>
      </c>
      <c r="H320" t="s">
        <v>4</v>
      </c>
      <c r="I320">
        <v>990.16341899999998</v>
      </c>
      <c r="J320">
        <v>3848.406262</v>
      </c>
      <c r="K320" t="s">
        <v>6</v>
      </c>
      <c r="L320" t="s">
        <v>7</v>
      </c>
      <c r="M320" t="s">
        <v>8</v>
      </c>
      <c r="N320" t="s">
        <v>6</v>
      </c>
      <c r="O320" t="s">
        <v>3</v>
      </c>
      <c r="P320" t="s">
        <v>3</v>
      </c>
      <c r="Q320" t="s">
        <v>3</v>
      </c>
      <c r="R320" t="s">
        <v>3</v>
      </c>
      <c r="S320" t="s">
        <v>11</v>
      </c>
      <c r="T320" t="s">
        <v>7</v>
      </c>
      <c r="U320">
        <v>0</v>
      </c>
      <c r="V320">
        <v>1</v>
      </c>
      <c r="W320">
        <v>0</v>
      </c>
      <c r="X320">
        <v>0</v>
      </c>
      <c r="Y320">
        <v>2</v>
      </c>
      <c r="Z320" t="s">
        <v>13</v>
      </c>
      <c r="AA320" t="s">
        <v>4</v>
      </c>
      <c r="AB320" t="s">
        <v>6</v>
      </c>
      <c r="AC320" t="s">
        <v>7</v>
      </c>
      <c r="AD320" t="s">
        <v>8</v>
      </c>
      <c r="AE320" t="s">
        <v>6</v>
      </c>
      <c r="AF320" t="s">
        <v>3</v>
      </c>
      <c r="AG320" t="s">
        <v>3</v>
      </c>
      <c r="AH320" t="s">
        <v>3</v>
      </c>
      <c r="AI320" t="s">
        <v>3</v>
      </c>
      <c r="AJ320" t="s">
        <v>3</v>
      </c>
      <c r="AK320" t="s">
        <v>7</v>
      </c>
      <c r="AL320">
        <v>0</v>
      </c>
      <c r="AM320">
        <v>0</v>
      </c>
      <c r="AN320">
        <v>0</v>
      </c>
      <c r="AO320">
        <v>0</v>
      </c>
      <c r="AP320">
        <v>0</v>
      </c>
      <c r="AQ320" t="s">
        <v>9</v>
      </c>
      <c r="AR320" s="1">
        <v>6.7118649400000004E-6</v>
      </c>
      <c r="AS320" s="1">
        <v>4.6578284500000002E-28</v>
      </c>
      <c r="AT320">
        <v>14</v>
      </c>
      <c r="AU320" t="s">
        <v>10</v>
      </c>
      <c r="AV320">
        <v>0</v>
      </c>
      <c r="AW320">
        <v>1</v>
      </c>
      <c r="AX320">
        <v>0</v>
      </c>
      <c r="AY320">
        <v>0</v>
      </c>
      <c r="AZ320">
        <v>2</v>
      </c>
      <c r="BA320" t="s">
        <v>13</v>
      </c>
      <c r="BB320" t="s">
        <v>4</v>
      </c>
      <c r="BC320" t="s">
        <v>10</v>
      </c>
      <c r="BD320">
        <v>0</v>
      </c>
      <c r="BE320">
        <v>0</v>
      </c>
      <c r="BF320">
        <v>0</v>
      </c>
      <c r="BG320">
        <v>0</v>
      </c>
      <c r="BH320">
        <v>0</v>
      </c>
      <c r="BI320" t="s">
        <v>9</v>
      </c>
      <c r="BJ320">
        <v>0</v>
      </c>
      <c r="BK320">
        <v>6.7100000000000001E-6</v>
      </c>
      <c r="BL320">
        <v>0</v>
      </c>
      <c r="BM320" s="2">
        <f t="shared" si="4"/>
        <v>2.8050098748145763E-9</v>
      </c>
    </row>
    <row r="321" spans="1:65" x14ac:dyDescent="0.35">
      <c r="A321">
        <v>0</v>
      </c>
      <c r="B321" t="s">
        <v>11</v>
      </c>
      <c r="C321" t="s">
        <v>4</v>
      </c>
      <c r="D321">
        <v>0</v>
      </c>
      <c r="E321" t="s">
        <v>3</v>
      </c>
      <c r="F321" t="s">
        <v>5</v>
      </c>
      <c r="G321">
        <v>4308.6192650000003</v>
      </c>
      <c r="H321" t="s">
        <v>4</v>
      </c>
      <c r="I321">
        <v>990.16341899999998</v>
      </c>
      <c r="J321">
        <v>3318.4558459999998</v>
      </c>
      <c r="K321" t="s">
        <v>6</v>
      </c>
      <c r="L321" t="s">
        <v>7</v>
      </c>
      <c r="M321" t="s">
        <v>8</v>
      </c>
      <c r="N321" t="s">
        <v>6</v>
      </c>
      <c r="O321" t="s">
        <v>3</v>
      </c>
      <c r="P321" t="s">
        <v>3</v>
      </c>
      <c r="Q321" t="s">
        <v>3</v>
      </c>
      <c r="R321" t="s">
        <v>3</v>
      </c>
      <c r="S321" t="s">
        <v>11</v>
      </c>
      <c r="T321" t="s">
        <v>7</v>
      </c>
      <c r="U321">
        <v>0</v>
      </c>
      <c r="V321">
        <v>0</v>
      </c>
      <c r="W321">
        <v>0</v>
      </c>
      <c r="X321">
        <v>8</v>
      </c>
      <c r="Y321">
        <v>0</v>
      </c>
      <c r="Z321" t="s">
        <v>18</v>
      </c>
      <c r="AA321" t="s">
        <v>4</v>
      </c>
      <c r="AB321" t="s">
        <v>6</v>
      </c>
      <c r="AC321" t="s">
        <v>7</v>
      </c>
      <c r="AD321" t="s">
        <v>8</v>
      </c>
      <c r="AE321" t="s">
        <v>6</v>
      </c>
      <c r="AF321" t="s">
        <v>3</v>
      </c>
      <c r="AG321" t="s">
        <v>3</v>
      </c>
      <c r="AH321" t="s">
        <v>3</v>
      </c>
      <c r="AI321" t="s">
        <v>3</v>
      </c>
      <c r="AJ321" t="s">
        <v>3</v>
      </c>
      <c r="AK321" t="s">
        <v>7</v>
      </c>
      <c r="AL321">
        <v>0</v>
      </c>
      <c r="AM321">
        <v>0</v>
      </c>
      <c r="AN321">
        <v>0</v>
      </c>
      <c r="AO321">
        <v>0</v>
      </c>
      <c r="AP321">
        <v>0</v>
      </c>
      <c r="AQ321" t="s">
        <v>9</v>
      </c>
      <c r="AR321" s="1">
        <v>4.1553780300000002E-6</v>
      </c>
      <c r="AS321" s="1">
        <v>1.5394771199999999E-28</v>
      </c>
      <c r="AT321">
        <v>14</v>
      </c>
      <c r="AU321" t="s">
        <v>10</v>
      </c>
      <c r="AV321">
        <v>0</v>
      </c>
      <c r="AW321">
        <v>0</v>
      </c>
      <c r="AX321">
        <v>0</v>
      </c>
      <c r="AY321">
        <v>8</v>
      </c>
      <c r="AZ321">
        <v>0</v>
      </c>
      <c r="BA321" t="s">
        <v>18</v>
      </c>
      <c r="BB321" t="s">
        <v>4</v>
      </c>
      <c r="BC321" t="s">
        <v>10</v>
      </c>
      <c r="BD321">
        <v>0</v>
      </c>
      <c r="BE321">
        <v>0</v>
      </c>
      <c r="BF321">
        <v>0</v>
      </c>
      <c r="BG321">
        <v>0</v>
      </c>
      <c r="BH321">
        <v>0</v>
      </c>
      <c r="BI321" t="s">
        <v>9</v>
      </c>
      <c r="BJ321">
        <v>0</v>
      </c>
      <c r="BK321">
        <v>-4.16E-6</v>
      </c>
      <c r="BL321">
        <v>0</v>
      </c>
      <c r="BM321" s="2">
        <f t="shared" si="4"/>
        <v>9.2709479750184944E-10</v>
      </c>
    </row>
    <row r="322" spans="1:65" x14ac:dyDescent="0.35">
      <c r="A322">
        <v>0</v>
      </c>
      <c r="B322" t="s">
        <v>3</v>
      </c>
      <c r="C322" t="s">
        <v>4</v>
      </c>
      <c r="D322">
        <v>0</v>
      </c>
      <c r="E322" t="s">
        <v>3</v>
      </c>
      <c r="F322" t="s">
        <v>5</v>
      </c>
      <c r="G322">
        <v>4224.636579</v>
      </c>
      <c r="H322" t="s">
        <v>4</v>
      </c>
      <c r="I322">
        <v>990.16341899999998</v>
      </c>
      <c r="J322">
        <v>3234.47316</v>
      </c>
      <c r="K322" t="s">
        <v>6</v>
      </c>
      <c r="L322" t="s">
        <v>7</v>
      </c>
      <c r="M322" t="s">
        <v>8</v>
      </c>
      <c r="N322" t="s">
        <v>6</v>
      </c>
      <c r="O322" t="s">
        <v>3</v>
      </c>
      <c r="P322" t="s">
        <v>3</v>
      </c>
      <c r="Q322" t="s">
        <v>3</v>
      </c>
      <c r="R322" t="s">
        <v>3</v>
      </c>
      <c r="S322" t="s">
        <v>3</v>
      </c>
      <c r="T322" t="s">
        <v>7</v>
      </c>
      <c r="U322">
        <v>2</v>
      </c>
      <c r="V322">
        <v>1</v>
      </c>
      <c r="W322">
        <v>0</v>
      </c>
      <c r="X322">
        <v>3</v>
      </c>
      <c r="Y322">
        <v>0</v>
      </c>
      <c r="Z322" t="s">
        <v>8</v>
      </c>
      <c r="AA322" t="s">
        <v>4</v>
      </c>
      <c r="AB322" t="s">
        <v>6</v>
      </c>
      <c r="AC322" t="s">
        <v>7</v>
      </c>
      <c r="AD322" t="s">
        <v>8</v>
      </c>
      <c r="AE322" t="s">
        <v>6</v>
      </c>
      <c r="AF322" t="s">
        <v>3</v>
      </c>
      <c r="AG322" t="s">
        <v>3</v>
      </c>
      <c r="AH322" t="s">
        <v>3</v>
      </c>
      <c r="AI322" t="s">
        <v>3</v>
      </c>
      <c r="AJ322" t="s">
        <v>3</v>
      </c>
      <c r="AK322" t="s">
        <v>7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9</v>
      </c>
      <c r="AR322" s="1">
        <v>1.13867733E-4</v>
      </c>
      <c r="AS322" s="1">
        <v>1.12673295E-25</v>
      </c>
      <c r="AT322">
        <v>14</v>
      </c>
      <c r="AU322" t="s">
        <v>10</v>
      </c>
      <c r="AV322">
        <v>2</v>
      </c>
      <c r="AW322">
        <v>1</v>
      </c>
      <c r="AX322">
        <v>0</v>
      </c>
      <c r="AY322">
        <v>3</v>
      </c>
      <c r="AZ322">
        <v>0</v>
      </c>
      <c r="BA322" t="s">
        <v>8</v>
      </c>
      <c r="BB322" t="s">
        <v>4</v>
      </c>
      <c r="BC322" t="s">
        <v>10</v>
      </c>
      <c r="BD322">
        <v>0</v>
      </c>
      <c r="BE322">
        <v>0</v>
      </c>
      <c r="BF322">
        <v>0</v>
      </c>
      <c r="BG322">
        <v>0</v>
      </c>
      <c r="BH322">
        <v>0</v>
      </c>
      <c r="BI322" t="s">
        <v>9</v>
      </c>
      <c r="BJ322">
        <v>1.1369E-4</v>
      </c>
      <c r="BK322">
        <v>0</v>
      </c>
      <c r="BL322">
        <v>6.2999999999999998E-6</v>
      </c>
      <c r="BM322" s="2">
        <f t="shared" ref="BM322:BM385" si="5">AS322*10^(-5)*6.0221408*10^(23)</f>
        <v>6.7853444688993597E-7</v>
      </c>
    </row>
    <row r="323" spans="1:65" x14ac:dyDescent="0.35">
      <c r="A323">
        <v>0</v>
      </c>
      <c r="B323" t="s">
        <v>3</v>
      </c>
      <c r="C323" t="s">
        <v>4</v>
      </c>
      <c r="D323">
        <v>0</v>
      </c>
      <c r="E323" t="s">
        <v>3</v>
      </c>
      <c r="F323" t="s">
        <v>5</v>
      </c>
      <c r="G323">
        <v>4604.1865909999997</v>
      </c>
      <c r="H323" t="s">
        <v>4</v>
      </c>
      <c r="I323">
        <v>990.16341899999998</v>
      </c>
      <c r="J323">
        <v>3614.0231720000002</v>
      </c>
      <c r="K323" t="s">
        <v>6</v>
      </c>
      <c r="L323" t="s">
        <v>7</v>
      </c>
      <c r="M323" t="s">
        <v>8</v>
      </c>
      <c r="N323" t="s">
        <v>6</v>
      </c>
      <c r="O323" t="s">
        <v>3</v>
      </c>
      <c r="P323" t="s">
        <v>3</v>
      </c>
      <c r="Q323" t="s">
        <v>3</v>
      </c>
      <c r="R323" t="s">
        <v>3</v>
      </c>
      <c r="S323" t="s">
        <v>3</v>
      </c>
      <c r="T323" t="s">
        <v>7</v>
      </c>
      <c r="U323">
        <v>0</v>
      </c>
      <c r="V323">
        <v>2</v>
      </c>
      <c r="W323">
        <v>0</v>
      </c>
      <c r="X323">
        <v>5</v>
      </c>
      <c r="Y323">
        <v>0</v>
      </c>
      <c r="Z323" t="s">
        <v>8</v>
      </c>
      <c r="AA323" t="s">
        <v>4</v>
      </c>
      <c r="AB323" t="s">
        <v>6</v>
      </c>
      <c r="AC323" t="s">
        <v>7</v>
      </c>
      <c r="AD323" t="s">
        <v>8</v>
      </c>
      <c r="AE323" t="s">
        <v>6</v>
      </c>
      <c r="AF323" t="s">
        <v>3</v>
      </c>
      <c r="AG323" t="s">
        <v>3</v>
      </c>
      <c r="AH323" t="s">
        <v>3</v>
      </c>
      <c r="AI323" t="s">
        <v>3</v>
      </c>
      <c r="AJ323" t="s">
        <v>3</v>
      </c>
      <c r="AK323" t="s">
        <v>7</v>
      </c>
      <c r="AL323">
        <v>0</v>
      </c>
      <c r="AM323">
        <v>0</v>
      </c>
      <c r="AN323">
        <v>0</v>
      </c>
      <c r="AO323">
        <v>0</v>
      </c>
      <c r="AP323">
        <v>0</v>
      </c>
      <c r="AQ323" t="s">
        <v>9</v>
      </c>
      <c r="AR323" s="1">
        <v>5.8814679099999999E-5</v>
      </c>
      <c r="AS323" s="1">
        <v>3.3587567100000002E-26</v>
      </c>
      <c r="AT323">
        <v>16</v>
      </c>
      <c r="AU323" t="s">
        <v>10</v>
      </c>
      <c r="AV323">
        <v>0</v>
      </c>
      <c r="AW323">
        <v>2</v>
      </c>
      <c r="AX323">
        <v>0</v>
      </c>
      <c r="AY323">
        <v>5</v>
      </c>
      <c r="AZ323">
        <v>0</v>
      </c>
      <c r="BA323" t="s">
        <v>8</v>
      </c>
      <c r="BB323" t="s">
        <v>4</v>
      </c>
      <c r="BC323" t="s">
        <v>10</v>
      </c>
      <c r="BD323">
        <v>0</v>
      </c>
      <c r="BE323">
        <v>0</v>
      </c>
      <c r="BF323">
        <v>0</v>
      </c>
      <c r="BG323">
        <v>0</v>
      </c>
      <c r="BH323">
        <v>0</v>
      </c>
      <c r="BI323" t="s">
        <v>9</v>
      </c>
      <c r="BJ323">
        <v>-4.3010000000000003E-5</v>
      </c>
      <c r="BK323">
        <v>0</v>
      </c>
      <c r="BL323">
        <v>4.0110000000000001E-5</v>
      </c>
      <c r="BM323" s="2">
        <f t="shared" si="5"/>
        <v>2.0226905820564766E-7</v>
      </c>
    </row>
    <row r="324" spans="1:65" x14ac:dyDescent="0.35">
      <c r="A324">
        <v>0</v>
      </c>
      <c r="B324" t="s">
        <v>3</v>
      </c>
      <c r="C324" t="s">
        <v>4</v>
      </c>
      <c r="D324">
        <v>0</v>
      </c>
      <c r="E324" t="s">
        <v>3</v>
      </c>
      <c r="F324" t="s">
        <v>5</v>
      </c>
      <c r="G324">
        <v>4012.5949249999999</v>
      </c>
      <c r="H324" t="s">
        <v>4</v>
      </c>
      <c r="I324">
        <v>990.16341899999998</v>
      </c>
      <c r="J324">
        <v>3022.4315059999999</v>
      </c>
      <c r="K324" t="s">
        <v>6</v>
      </c>
      <c r="L324" t="s">
        <v>7</v>
      </c>
      <c r="M324" t="s">
        <v>8</v>
      </c>
      <c r="N324" t="s">
        <v>6</v>
      </c>
      <c r="O324" t="s">
        <v>3</v>
      </c>
      <c r="P324" t="s">
        <v>3</v>
      </c>
      <c r="Q324" t="s">
        <v>3</v>
      </c>
      <c r="R324" t="s">
        <v>3</v>
      </c>
      <c r="S324" t="s">
        <v>3</v>
      </c>
      <c r="T324" t="s">
        <v>7</v>
      </c>
      <c r="U324">
        <v>0</v>
      </c>
      <c r="V324">
        <v>1</v>
      </c>
      <c r="W324">
        <v>0</v>
      </c>
      <c r="X324">
        <v>0</v>
      </c>
      <c r="Y324">
        <v>2</v>
      </c>
      <c r="Z324" t="s">
        <v>9</v>
      </c>
      <c r="AA324" t="s">
        <v>4</v>
      </c>
      <c r="AB324" t="s">
        <v>6</v>
      </c>
      <c r="AC324" t="s">
        <v>7</v>
      </c>
      <c r="AD324" t="s">
        <v>8</v>
      </c>
      <c r="AE324" t="s">
        <v>6</v>
      </c>
      <c r="AF324" t="s">
        <v>3</v>
      </c>
      <c r="AG324" t="s">
        <v>3</v>
      </c>
      <c r="AH324" t="s">
        <v>3</v>
      </c>
      <c r="AI324" t="s">
        <v>3</v>
      </c>
      <c r="AJ324" t="s">
        <v>3</v>
      </c>
      <c r="AK324" t="s">
        <v>7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9</v>
      </c>
      <c r="AR324" s="1">
        <v>7.8709198200000005E-4</v>
      </c>
      <c r="AS324" s="1">
        <v>5.0306419499999997E-24</v>
      </c>
      <c r="AT324">
        <v>14</v>
      </c>
      <c r="AU324" t="s">
        <v>10</v>
      </c>
      <c r="AV324">
        <v>0</v>
      </c>
      <c r="AW324">
        <v>1</v>
      </c>
      <c r="AX324">
        <v>0</v>
      </c>
      <c r="AY324">
        <v>0</v>
      </c>
      <c r="AZ324">
        <v>2</v>
      </c>
      <c r="BA324" t="s">
        <v>9</v>
      </c>
      <c r="BB324" t="s">
        <v>4</v>
      </c>
      <c r="BC324" t="s">
        <v>10</v>
      </c>
      <c r="BD324">
        <v>0</v>
      </c>
      <c r="BE324">
        <v>0</v>
      </c>
      <c r="BF324">
        <v>0</v>
      </c>
      <c r="BG324">
        <v>0</v>
      </c>
      <c r="BH324">
        <v>0</v>
      </c>
      <c r="BI324" t="s">
        <v>9</v>
      </c>
      <c r="BJ324">
        <v>7.4722999999999999E-4</v>
      </c>
      <c r="BK324">
        <v>0</v>
      </c>
      <c r="BL324">
        <v>2.4730999999999999E-4</v>
      </c>
      <c r="BM324" s="2">
        <f t="shared" si="5"/>
        <v>3.0295234137286559E-5</v>
      </c>
    </row>
    <row r="325" spans="1:65" x14ac:dyDescent="0.35">
      <c r="A325">
        <v>0</v>
      </c>
      <c r="B325" t="s">
        <v>3</v>
      </c>
      <c r="C325" t="s">
        <v>4</v>
      </c>
      <c r="D325">
        <v>0</v>
      </c>
      <c r="E325" t="s">
        <v>3</v>
      </c>
      <c r="F325" t="s">
        <v>5</v>
      </c>
      <c r="G325">
        <v>4733.8746769999998</v>
      </c>
      <c r="H325" t="s">
        <v>4</v>
      </c>
      <c r="I325">
        <v>990.16341899999998</v>
      </c>
      <c r="J325">
        <v>3743.7112579999998</v>
      </c>
      <c r="K325" t="s">
        <v>6</v>
      </c>
      <c r="L325" t="s">
        <v>7</v>
      </c>
      <c r="M325" t="s">
        <v>8</v>
      </c>
      <c r="N325" t="s">
        <v>6</v>
      </c>
      <c r="O325" t="s">
        <v>3</v>
      </c>
      <c r="P325" t="s">
        <v>3</v>
      </c>
      <c r="Q325" t="s">
        <v>3</v>
      </c>
      <c r="R325" t="s">
        <v>3</v>
      </c>
      <c r="S325" t="s">
        <v>3</v>
      </c>
      <c r="T325" t="s">
        <v>7</v>
      </c>
      <c r="U325">
        <v>0</v>
      </c>
      <c r="V325">
        <v>0</v>
      </c>
      <c r="W325">
        <v>0</v>
      </c>
      <c r="X325">
        <v>0</v>
      </c>
      <c r="Y325">
        <v>3</v>
      </c>
      <c r="Z325" t="s">
        <v>21</v>
      </c>
      <c r="AA325" t="s">
        <v>4</v>
      </c>
      <c r="AB325" t="s">
        <v>6</v>
      </c>
      <c r="AC325" t="s">
        <v>7</v>
      </c>
      <c r="AD325" t="s">
        <v>8</v>
      </c>
      <c r="AE325" t="s">
        <v>6</v>
      </c>
      <c r="AF325" t="s">
        <v>3</v>
      </c>
      <c r="AG325" t="s">
        <v>3</v>
      </c>
      <c r="AH325" t="s">
        <v>3</v>
      </c>
      <c r="AI325" t="s">
        <v>3</v>
      </c>
      <c r="AJ325" t="s">
        <v>3</v>
      </c>
      <c r="AK325" t="s">
        <v>7</v>
      </c>
      <c r="AL325">
        <v>0</v>
      </c>
      <c r="AM325">
        <v>0</v>
      </c>
      <c r="AN325">
        <v>0</v>
      </c>
      <c r="AO325">
        <v>0</v>
      </c>
      <c r="AP325">
        <v>0</v>
      </c>
      <c r="AQ325" t="s">
        <v>9</v>
      </c>
      <c r="AR325" s="1">
        <v>3.43719055E-5</v>
      </c>
      <c r="AS325" s="1">
        <v>1.18829897E-26</v>
      </c>
      <c r="AT325">
        <v>14</v>
      </c>
      <c r="AU325" t="s">
        <v>10</v>
      </c>
      <c r="AV325">
        <v>0</v>
      </c>
      <c r="AW325">
        <v>0</v>
      </c>
      <c r="AX325">
        <v>0</v>
      </c>
      <c r="AY325">
        <v>0</v>
      </c>
      <c r="AZ325">
        <v>3</v>
      </c>
      <c r="BA325" t="s">
        <v>21</v>
      </c>
      <c r="BB325" t="s">
        <v>4</v>
      </c>
      <c r="BC325" t="s">
        <v>10</v>
      </c>
      <c r="BD325">
        <v>0</v>
      </c>
      <c r="BE325">
        <v>0</v>
      </c>
      <c r="BF325">
        <v>0</v>
      </c>
      <c r="BG325">
        <v>0</v>
      </c>
      <c r="BH325">
        <v>0</v>
      </c>
      <c r="BI325" t="s">
        <v>9</v>
      </c>
      <c r="BJ325">
        <v>3.0729999999999999E-5</v>
      </c>
      <c r="BK325">
        <v>0</v>
      </c>
      <c r="BL325">
        <v>1.541E-5</v>
      </c>
      <c r="BM325" s="2">
        <f t="shared" si="5"/>
        <v>7.1561037098349753E-8</v>
      </c>
    </row>
    <row r="326" spans="1:65" x14ac:dyDescent="0.35">
      <c r="A326">
        <v>0</v>
      </c>
      <c r="B326" t="s">
        <v>3</v>
      </c>
      <c r="C326" t="s">
        <v>4</v>
      </c>
      <c r="D326">
        <v>0</v>
      </c>
      <c r="E326" t="s">
        <v>3</v>
      </c>
      <c r="F326" t="s">
        <v>5</v>
      </c>
      <c r="G326">
        <v>3400.3217460000001</v>
      </c>
      <c r="H326" t="s">
        <v>4</v>
      </c>
      <c r="I326">
        <v>990.16341899999998</v>
      </c>
      <c r="J326">
        <v>2410.1583270000001</v>
      </c>
      <c r="K326" t="s">
        <v>6</v>
      </c>
      <c r="L326" t="s">
        <v>7</v>
      </c>
      <c r="M326" t="s">
        <v>8</v>
      </c>
      <c r="N326" t="s">
        <v>6</v>
      </c>
      <c r="O326" t="s">
        <v>3</v>
      </c>
      <c r="P326" t="s">
        <v>3</v>
      </c>
      <c r="Q326" t="s">
        <v>3</v>
      </c>
      <c r="R326" t="s">
        <v>3</v>
      </c>
      <c r="S326" t="s">
        <v>3</v>
      </c>
      <c r="T326" t="s">
        <v>7</v>
      </c>
      <c r="U326">
        <v>0</v>
      </c>
      <c r="V326">
        <v>0</v>
      </c>
      <c r="W326">
        <v>0</v>
      </c>
      <c r="X326">
        <v>2</v>
      </c>
      <c r="Y326">
        <v>0</v>
      </c>
      <c r="Z326" t="s">
        <v>29</v>
      </c>
      <c r="AA326" t="s">
        <v>4</v>
      </c>
      <c r="AB326" t="s">
        <v>6</v>
      </c>
      <c r="AC326" t="s">
        <v>7</v>
      </c>
      <c r="AD326" t="s">
        <v>8</v>
      </c>
      <c r="AE326" t="s">
        <v>6</v>
      </c>
      <c r="AF326" t="s">
        <v>3</v>
      </c>
      <c r="AG326" t="s">
        <v>3</v>
      </c>
      <c r="AH326" t="s">
        <v>3</v>
      </c>
      <c r="AI326" t="s">
        <v>3</v>
      </c>
      <c r="AJ326" t="s">
        <v>3</v>
      </c>
      <c r="AK326" t="s">
        <v>7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9</v>
      </c>
      <c r="AR326" s="1">
        <v>3.3267150099999999E-4</v>
      </c>
      <c r="AS326" s="1">
        <v>7.1662027700000001E-25</v>
      </c>
      <c r="AT326">
        <v>16</v>
      </c>
      <c r="AU326" t="s">
        <v>10</v>
      </c>
      <c r="AV326">
        <v>0</v>
      </c>
      <c r="AW326">
        <v>0</v>
      </c>
      <c r="AX326">
        <v>0</v>
      </c>
      <c r="AY326">
        <v>2</v>
      </c>
      <c r="AZ326">
        <v>0</v>
      </c>
      <c r="BA326" t="s">
        <v>29</v>
      </c>
      <c r="BB326" t="s">
        <v>4</v>
      </c>
      <c r="BC326" t="s">
        <v>10</v>
      </c>
      <c r="BD326">
        <v>0</v>
      </c>
      <c r="BE326">
        <v>0</v>
      </c>
      <c r="BF326">
        <v>0</v>
      </c>
      <c r="BG326">
        <v>0</v>
      </c>
      <c r="BH326">
        <v>0</v>
      </c>
      <c r="BI326" t="s">
        <v>9</v>
      </c>
      <c r="BJ326">
        <v>3.1431999999999999E-4</v>
      </c>
      <c r="BK326">
        <v>0</v>
      </c>
      <c r="BL326">
        <v>-1.0897E-4</v>
      </c>
      <c r="BM326" s="2">
        <f t="shared" si="5"/>
        <v>4.3155882082290024E-6</v>
      </c>
    </row>
    <row r="327" spans="1:65" x14ac:dyDescent="0.35">
      <c r="A327">
        <v>0</v>
      </c>
      <c r="B327" t="s">
        <v>3</v>
      </c>
      <c r="C327" t="s">
        <v>4</v>
      </c>
      <c r="D327">
        <v>0</v>
      </c>
      <c r="E327" t="s">
        <v>3</v>
      </c>
      <c r="F327" t="s">
        <v>5</v>
      </c>
      <c r="G327">
        <v>4791.5219219999999</v>
      </c>
      <c r="H327" t="s">
        <v>4</v>
      </c>
      <c r="I327">
        <v>990.16341899999998</v>
      </c>
      <c r="J327">
        <v>3801.3585029999999</v>
      </c>
      <c r="K327" t="s">
        <v>6</v>
      </c>
      <c r="L327" t="s">
        <v>7</v>
      </c>
      <c r="M327" t="s">
        <v>8</v>
      </c>
      <c r="N327" t="s">
        <v>6</v>
      </c>
      <c r="O327" t="s">
        <v>3</v>
      </c>
      <c r="P327" t="s">
        <v>3</v>
      </c>
      <c r="Q327" t="s">
        <v>3</v>
      </c>
      <c r="R327" t="s">
        <v>3</v>
      </c>
      <c r="S327" t="s">
        <v>3</v>
      </c>
      <c r="T327" t="s">
        <v>7</v>
      </c>
      <c r="U327">
        <v>3</v>
      </c>
      <c r="V327">
        <v>1</v>
      </c>
      <c r="W327">
        <v>0</v>
      </c>
      <c r="X327">
        <v>0</v>
      </c>
      <c r="Y327">
        <v>1</v>
      </c>
      <c r="Z327" t="s">
        <v>8</v>
      </c>
      <c r="AA327" t="s">
        <v>4</v>
      </c>
      <c r="AB327" t="s">
        <v>6</v>
      </c>
      <c r="AC327" t="s">
        <v>7</v>
      </c>
      <c r="AD327" t="s">
        <v>8</v>
      </c>
      <c r="AE327" t="s">
        <v>6</v>
      </c>
      <c r="AF327" t="s">
        <v>3</v>
      </c>
      <c r="AG327" t="s">
        <v>3</v>
      </c>
      <c r="AH327" t="s">
        <v>3</v>
      </c>
      <c r="AI327" t="s">
        <v>3</v>
      </c>
      <c r="AJ327" t="s">
        <v>3</v>
      </c>
      <c r="AK327" t="s">
        <v>7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9</v>
      </c>
      <c r="AR327" s="1">
        <v>6.2017597799999999E-5</v>
      </c>
      <c r="AS327" s="1">
        <v>3.9281211100000001E-26</v>
      </c>
      <c r="AT327">
        <v>15</v>
      </c>
      <c r="AU327" t="s">
        <v>10</v>
      </c>
      <c r="AV327">
        <v>3</v>
      </c>
      <c r="AW327">
        <v>1</v>
      </c>
      <c r="AX327">
        <v>0</v>
      </c>
      <c r="AY327">
        <v>0</v>
      </c>
      <c r="AZ327">
        <v>1</v>
      </c>
      <c r="BA327" t="s">
        <v>8</v>
      </c>
      <c r="BB327" t="s">
        <v>4</v>
      </c>
      <c r="BC327" t="s">
        <v>10</v>
      </c>
      <c r="BD327">
        <v>0</v>
      </c>
      <c r="BE327">
        <v>0</v>
      </c>
      <c r="BF327">
        <v>0</v>
      </c>
      <c r="BG327">
        <v>0</v>
      </c>
      <c r="BH327">
        <v>0</v>
      </c>
      <c r="BI327" t="s">
        <v>9</v>
      </c>
      <c r="BJ327">
        <v>1.7770000000000001E-5</v>
      </c>
      <c r="BK327">
        <v>0</v>
      </c>
      <c r="BL327">
        <v>-5.9419999999999997E-5</v>
      </c>
      <c r="BM327" s="2">
        <f t="shared" si="5"/>
        <v>2.3655698403872287E-7</v>
      </c>
    </row>
    <row r="328" spans="1:65" x14ac:dyDescent="0.35">
      <c r="A328">
        <v>0</v>
      </c>
      <c r="B328" t="s">
        <v>3</v>
      </c>
      <c r="C328" t="s">
        <v>4</v>
      </c>
      <c r="D328">
        <v>0</v>
      </c>
      <c r="E328" t="s">
        <v>3</v>
      </c>
      <c r="F328" t="s">
        <v>5</v>
      </c>
      <c r="G328">
        <v>4383.1102199999996</v>
      </c>
      <c r="H328" t="s">
        <v>4</v>
      </c>
      <c r="I328">
        <v>990.16341899999998</v>
      </c>
      <c r="J328">
        <v>3392.9468010000001</v>
      </c>
      <c r="K328" t="s">
        <v>6</v>
      </c>
      <c r="L328" t="s">
        <v>7</v>
      </c>
      <c r="M328" t="s">
        <v>8</v>
      </c>
      <c r="N328" t="s">
        <v>6</v>
      </c>
      <c r="O328" t="s">
        <v>3</v>
      </c>
      <c r="P328" t="s">
        <v>3</v>
      </c>
      <c r="Q328" t="s">
        <v>3</v>
      </c>
      <c r="R328" t="s">
        <v>3</v>
      </c>
      <c r="S328" t="s">
        <v>3</v>
      </c>
      <c r="T328" t="s">
        <v>7</v>
      </c>
      <c r="U328">
        <v>0</v>
      </c>
      <c r="V328">
        <v>2</v>
      </c>
      <c r="W328">
        <v>0</v>
      </c>
      <c r="X328">
        <v>2</v>
      </c>
      <c r="Y328">
        <v>0</v>
      </c>
      <c r="Z328" t="s">
        <v>9</v>
      </c>
      <c r="AA328" t="s">
        <v>4</v>
      </c>
      <c r="AB328" t="s">
        <v>6</v>
      </c>
      <c r="AC328" t="s">
        <v>7</v>
      </c>
      <c r="AD328" t="s">
        <v>8</v>
      </c>
      <c r="AE328" t="s">
        <v>6</v>
      </c>
      <c r="AF328" t="s">
        <v>3</v>
      </c>
      <c r="AG328" t="s">
        <v>3</v>
      </c>
      <c r="AH328" t="s">
        <v>3</v>
      </c>
      <c r="AI328" t="s">
        <v>3</v>
      </c>
      <c r="AJ328" t="s">
        <v>3</v>
      </c>
      <c r="AK328" t="s">
        <v>7</v>
      </c>
      <c r="AL328">
        <v>0</v>
      </c>
      <c r="AM328">
        <v>0</v>
      </c>
      <c r="AN328">
        <v>0</v>
      </c>
      <c r="AO328">
        <v>0</v>
      </c>
      <c r="AP328">
        <v>0</v>
      </c>
      <c r="AQ328" t="s">
        <v>9</v>
      </c>
      <c r="AR328" s="1">
        <v>5.5737905300000002E-5</v>
      </c>
      <c r="AS328" s="1">
        <v>2.8320079399999998E-26</v>
      </c>
      <c r="AT328">
        <v>14</v>
      </c>
      <c r="AU328" t="s">
        <v>10</v>
      </c>
      <c r="AV328">
        <v>0</v>
      </c>
      <c r="AW328">
        <v>2</v>
      </c>
      <c r="AX328">
        <v>0</v>
      </c>
      <c r="AY328">
        <v>2</v>
      </c>
      <c r="AZ328">
        <v>0</v>
      </c>
      <c r="BA328" t="s">
        <v>9</v>
      </c>
      <c r="BB328" t="s">
        <v>4</v>
      </c>
      <c r="BC328" t="s">
        <v>10</v>
      </c>
      <c r="BD328">
        <v>0</v>
      </c>
      <c r="BE328">
        <v>0</v>
      </c>
      <c r="BF328">
        <v>0</v>
      </c>
      <c r="BG328">
        <v>0</v>
      </c>
      <c r="BH328">
        <v>0</v>
      </c>
      <c r="BI328" t="s">
        <v>9</v>
      </c>
      <c r="BJ328">
        <v>5.3949999999999997E-5</v>
      </c>
      <c r="BK328">
        <v>0</v>
      </c>
      <c r="BL328">
        <v>-1.401E-5</v>
      </c>
      <c r="BM328" s="2">
        <f t="shared" si="5"/>
        <v>1.7054750561397951E-7</v>
      </c>
    </row>
    <row r="329" spans="1:65" x14ac:dyDescent="0.35">
      <c r="A329">
        <v>0</v>
      </c>
      <c r="B329" t="s">
        <v>11</v>
      </c>
      <c r="C329" t="s">
        <v>4</v>
      </c>
      <c r="D329">
        <v>0</v>
      </c>
      <c r="E329" t="s">
        <v>3</v>
      </c>
      <c r="F329" t="s">
        <v>5</v>
      </c>
      <c r="G329">
        <v>3535.266443</v>
      </c>
      <c r="H329" t="s">
        <v>4</v>
      </c>
      <c r="I329">
        <v>990.16341899999998</v>
      </c>
      <c r="J329">
        <v>2545.103024</v>
      </c>
      <c r="K329" t="s">
        <v>6</v>
      </c>
      <c r="L329" t="s">
        <v>7</v>
      </c>
      <c r="M329" t="s">
        <v>8</v>
      </c>
      <c r="N329" t="s">
        <v>6</v>
      </c>
      <c r="O329" t="s">
        <v>3</v>
      </c>
      <c r="P329" t="s">
        <v>3</v>
      </c>
      <c r="Q329" t="s">
        <v>3</v>
      </c>
      <c r="R329" t="s">
        <v>3</v>
      </c>
      <c r="S329" t="s">
        <v>11</v>
      </c>
      <c r="T329" t="s">
        <v>7</v>
      </c>
      <c r="U329">
        <v>2</v>
      </c>
      <c r="V329">
        <v>0</v>
      </c>
      <c r="W329">
        <v>0</v>
      </c>
      <c r="X329">
        <v>2</v>
      </c>
      <c r="Y329">
        <v>0</v>
      </c>
      <c r="Z329" t="s">
        <v>14</v>
      </c>
      <c r="AA329" t="s">
        <v>4</v>
      </c>
      <c r="AB329" t="s">
        <v>6</v>
      </c>
      <c r="AC329" t="s">
        <v>7</v>
      </c>
      <c r="AD329" t="s">
        <v>8</v>
      </c>
      <c r="AE329" t="s">
        <v>6</v>
      </c>
      <c r="AF329" t="s">
        <v>3</v>
      </c>
      <c r="AG329" t="s">
        <v>3</v>
      </c>
      <c r="AH329" t="s">
        <v>3</v>
      </c>
      <c r="AI329" t="s">
        <v>3</v>
      </c>
      <c r="AJ329" t="s">
        <v>3</v>
      </c>
      <c r="AK329" t="s">
        <v>7</v>
      </c>
      <c r="AL329">
        <v>0</v>
      </c>
      <c r="AM329">
        <v>0</v>
      </c>
      <c r="AN329">
        <v>0</v>
      </c>
      <c r="AO329">
        <v>0</v>
      </c>
      <c r="AP329">
        <v>0</v>
      </c>
      <c r="AQ329" t="s">
        <v>9</v>
      </c>
      <c r="AR329" s="1">
        <v>4.8223170199999997E-5</v>
      </c>
      <c r="AS329" s="1">
        <v>1.5901241899999999E-26</v>
      </c>
      <c r="AT329">
        <v>14</v>
      </c>
      <c r="AU329" t="s">
        <v>10</v>
      </c>
      <c r="AV329">
        <v>2</v>
      </c>
      <c r="AW329">
        <v>0</v>
      </c>
      <c r="AX329">
        <v>0</v>
      </c>
      <c r="AY329">
        <v>2</v>
      </c>
      <c r="AZ329">
        <v>0</v>
      </c>
      <c r="BA329" t="s">
        <v>14</v>
      </c>
      <c r="BB329" t="s">
        <v>4</v>
      </c>
      <c r="BC329" t="s">
        <v>10</v>
      </c>
      <c r="BD329">
        <v>0</v>
      </c>
      <c r="BE329">
        <v>0</v>
      </c>
      <c r="BF329">
        <v>0</v>
      </c>
      <c r="BG329">
        <v>0</v>
      </c>
      <c r="BH329">
        <v>0</v>
      </c>
      <c r="BI329" t="s">
        <v>9</v>
      </c>
      <c r="BJ329">
        <v>0</v>
      </c>
      <c r="BK329">
        <v>4.8220000000000002E-5</v>
      </c>
      <c r="BL329">
        <v>0</v>
      </c>
      <c r="BM329" s="2">
        <f t="shared" si="5"/>
        <v>9.575951761665952E-8</v>
      </c>
    </row>
    <row r="330" spans="1:65" x14ac:dyDescent="0.35">
      <c r="A330">
        <v>0</v>
      </c>
      <c r="B330" t="s">
        <v>11</v>
      </c>
      <c r="C330" t="s">
        <v>4</v>
      </c>
      <c r="D330">
        <v>0</v>
      </c>
      <c r="E330" t="s">
        <v>3</v>
      </c>
      <c r="F330" t="s">
        <v>5</v>
      </c>
      <c r="G330">
        <v>3202.7842609999998</v>
      </c>
      <c r="H330" t="s">
        <v>4</v>
      </c>
      <c r="I330">
        <v>990.16341899999998</v>
      </c>
      <c r="J330">
        <v>2212.6208419999998</v>
      </c>
      <c r="K330" t="s">
        <v>6</v>
      </c>
      <c r="L330" t="s">
        <v>7</v>
      </c>
      <c r="M330" t="s">
        <v>8</v>
      </c>
      <c r="N330" t="s">
        <v>6</v>
      </c>
      <c r="O330" t="s">
        <v>3</v>
      </c>
      <c r="P330" t="s">
        <v>3</v>
      </c>
      <c r="Q330" t="s">
        <v>3</v>
      </c>
      <c r="R330" t="s">
        <v>3</v>
      </c>
      <c r="S330" t="s">
        <v>11</v>
      </c>
      <c r="T330" t="s">
        <v>7</v>
      </c>
      <c r="U330">
        <v>1</v>
      </c>
      <c r="V330">
        <v>0</v>
      </c>
      <c r="W330">
        <v>0</v>
      </c>
      <c r="X330">
        <v>0</v>
      </c>
      <c r="Y330">
        <v>2</v>
      </c>
      <c r="Z330" t="s">
        <v>18</v>
      </c>
      <c r="AA330" t="s">
        <v>4</v>
      </c>
      <c r="AB330" t="s">
        <v>6</v>
      </c>
      <c r="AC330" t="s">
        <v>7</v>
      </c>
      <c r="AD330" t="s">
        <v>8</v>
      </c>
      <c r="AE330" t="s">
        <v>6</v>
      </c>
      <c r="AF330" t="s">
        <v>3</v>
      </c>
      <c r="AG330" t="s">
        <v>3</v>
      </c>
      <c r="AH330" t="s">
        <v>3</v>
      </c>
      <c r="AI330" t="s">
        <v>3</v>
      </c>
      <c r="AJ330" t="s">
        <v>3</v>
      </c>
      <c r="AK330" t="s">
        <v>7</v>
      </c>
      <c r="AL330">
        <v>0</v>
      </c>
      <c r="AM330">
        <v>0</v>
      </c>
      <c r="AN330">
        <v>0</v>
      </c>
      <c r="AO330">
        <v>0</v>
      </c>
      <c r="AP330">
        <v>0</v>
      </c>
      <c r="AQ330" t="s">
        <v>9</v>
      </c>
      <c r="AR330" s="1">
        <v>2.8452759700000002E-4</v>
      </c>
      <c r="AS330" s="1">
        <v>4.8124030299999997E-25</v>
      </c>
      <c r="AT330">
        <v>16</v>
      </c>
      <c r="AU330" t="s">
        <v>10</v>
      </c>
      <c r="AV330">
        <v>1</v>
      </c>
      <c r="AW330">
        <v>0</v>
      </c>
      <c r="AX330">
        <v>0</v>
      </c>
      <c r="AY330">
        <v>0</v>
      </c>
      <c r="AZ330">
        <v>2</v>
      </c>
      <c r="BA330" t="s">
        <v>18</v>
      </c>
      <c r="BB330" t="s">
        <v>4</v>
      </c>
      <c r="BC330" t="s">
        <v>10</v>
      </c>
      <c r="BD330">
        <v>0</v>
      </c>
      <c r="BE330">
        <v>0</v>
      </c>
      <c r="BF330">
        <v>0</v>
      </c>
      <c r="BG330">
        <v>0</v>
      </c>
      <c r="BH330">
        <v>0</v>
      </c>
      <c r="BI330" t="s">
        <v>9</v>
      </c>
      <c r="BJ330">
        <v>0</v>
      </c>
      <c r="BK330">
        <v>-2.8453000000000002E-4</v>
      </c>
      <c r="BL330">
        <v>0</v>
      </c>
      <c r="BM330" s="2">
        <f t="shared" si="5"/>
        <v>2.898096863300662E-6</v>
      </c>
    </row>
    <row r="331" spans="1:65" x14ac:dyDescent="0.35">
      <c r="A331">
        <v>0</v>
      </c>
      <c r="B331" t="s">
        <v>11</v>
      </c>
      <c r="C331" t="s">
        <v>4</v>
      </c>
      <c r="D331">
        <v>0</v>
      </c>
      <c r="E331" t="s">
        <v>3</v>
      </c>
      <c r="F331" t="s">
        <v>5</v>
      </c>
      <c r="G331">
        <v>3818.8978510000002</v>
      </c>
      <c r="H331" t="s">
        <v>4</v>
      </c>
      <c r="I331">
        <v>990.16341899999998</v>
      </c>
      <c r="J331">
        <v>2828.7344320000002</v>
      </c>
      <c r="K331" t="s">
        <v>6</v>
      </c>
      <c r="L331" t="s">
        <v>7</v>
      </c>
      <c r="M331" t="s">
        <v>8</v>
      </c>
      <c r="N331" t="s">
        <v>6</v>
      </c>
      <c r="O331" t="s">
        <v>3</v>
      </c>
      <c r="P331" t="s">
        <v>3</v>
      </c>
      <c r="Q331" t="s">
        <v>3</v>
      </c>
      <c r="R331" t="s">
        <v>3</v>
      </c>
      <c r="S331" t="s">
        <v>11</v>
      </c>
      <c r="T331" t="s">
        <v>7</v>
      </c>
      <c r="U331">
        <v>0</v>
      </c>
      <c r="V331">
        <v>2</v>
      </c>
      <c r="W331">
        <v>0</v>
      </c>
      <c r="X331">
        <v>2</v>
      </c>
      <c r="Y331">
        <v>0</v>
      </c>
      <c r="Z331" t="s">
        <v>18</v>
      </c>
      <c r="AA331" t="s">
        <v>4</v>
      </c>
      <c r="AB331" t="s">
        <v>6</v>
      </c>
      <c r="AC331" t="s">
        <v>7</v>
      </c>
      <c r="AD331" t="s">
        <v>8</v>
      </c>
      <c r="AE331" t="s">
        <v>6</v>
      </c>
      <c r="AF331" t="s">
        <v>3</v>
      </c>
      <c r="AG331" t="s">
        <v>3</v>
      </c>
      <c r="AH331" t="s">
        <v>3</v>
      </c>
      <c r="AI331" t="s">
        <v>3</v>
      </c>
      <c r="AJ331" t="s">
        <v>3</v>
      </c>
      <c r="AK331" t="s">
        <v>7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9</v>
      </c>
      <c r="AR331" s="1">
        <v>1.3961016900000001E-6</v>
      </c>
      <c r="AS331" s="1">
        <v>1.4812963100000001E-29</v>
      </c>
      <c r="AT331">
        <v>14</v>
      </c>
      <c r="AU331" t="s">
        <v>10</v>
      </c>
      <c r="AV331">
        <v>0</v>
      </c>
      <c r="AW331">
        <v>2</v>
      </c>
      <c r="AX331">
        <v>0</v>
      </c>
      <c r="AY331">
        <v>2</v>
      </c>
      <c r="AZ331">
        <v>0</v>
      </c>
      <c r="BA331" t="s">
        <v>18</v>
      </c>
      <c r="BB331" t="s">
        <v>4</v>
      </c>
      <c r="BC331" t="s">
        <v>10</v>
      </c>
      <c r="BD331">
        <v>0</v>
      </c>
      <c r="BE331">
        <v>0</v>
      </c>
      <c r="BF331">
        <v>0</v>
      </c>
      <c r="BG331">
        <v>0</v>
      </c>
      <c r="BH331">
        <v>0</v>
      </c>
      <c r="BI331" t="s">
        <v>9</v>
      </c>
      <c r="BJ331">
        <v>0</v>
      </c>
      <c r="BK331">
        <v>1.3999999999999999E-6</v>
      </c>
      <c r="BL331">
        <v>0</v>
      </c>
      <c r="BM331" s="2">
        <f t="shared" si="5"/>
        <v>8.9205749453404477E-11</v>
      </c>
    </row>
    <row r="332" spans="1:65" x14ac:dyDescent="0.35">
      <c r="A332">
        <v>0</v>
      </c>
      <c r="B332" t="s">
        <v>3</v>
      </c>
      <c r="C332" t="s">
        <v>4</v>
      </c>
      <c r="D332">
        <v>0</v>
      </c>
      <c r="E332" t="s">
        <v>3</v>
      </c>
      <c r="F332" t="s">
        <v>5</v>
      </c>
      <c r="G332">
        <v>3002.0419710000001</v>
      </c>
      <c r="H332" t="s">
        <v>4</v>
      </c>
      <c r="I332">
        <v>990.16341899999998</v>
      </c>
      <c r="J332">
        <v>2011.8785519999999</v>
      </c>
      <c r="K332" t="s">
        <v>6</v>
      </c>
      <c r="L332" t="s">
        <v>7</v>
      </c>
      <c r="M332" t="s">
        <v>8</v>
      </c>
      <c r="N332" t="s">
        <v>6</v>
      </c>
      <c r="O332" t="s">
        <v>3</v>
      </c>
      <c r="P332" t="s">
        <v>3</v>
      </c>
      <c r="Q332" t="s">
        <v>3</v>
      </c>
      <c r="R332" t="s">
        <v>3</v>
      </c>
      <c r="S332" t="s">
        <v>3</v>
      </c>
      <c r="T332" t="s">
        <v>7</v>
      </c>
      <c r="U332">
        <v>2</v>
      </c>
      <c r="V332">
        <v>1</v>
      </c>
      <c r="W332">
        <v>0</v>
      </c>
      <c r="X332">
        <v>0</v>
      </c>
      <c r="Y332">
        <v>0</v>
      </c>
      <c r="Z332" t="s">
        <v>8</v>
      </c>
      <c r="AA332" t="s">
        <v>4</v>
      </c>
      <c r="AB332" t="s">
        <v>6</v>
      </c>
      <c r="AC332" t="s">
        <v>7</v>
      </c>
      <c r="AD332" t="s">
        <v>8</v>
      </c>
      <c r="AE332" t="s">
        <v>6</v>
      </c>
      <c r="AF332" t="s">
        <v>3</v>
      </c>
      <c r="AG332" t="s">
        <v>3</v>
      </c>
      <c r="AH332" t="s">
        <v>3</v>
      </c>
      <c r="AI332" t="s">
        <v>3</v>
      </c>
      <c r="AJ332" t="s">
        <v>3</v>
      </c>
      <c r="AK332" t="s">
        <v>7</v>
      </c>
      <c r="AL332">
        <v>0</v>
      </c>
      <c r="AM332">
        <v>0</v>
      </c>
      <c r="AN332">
        <v>0</v>
      </c>
      <c r="AO332">
        <v>0</v>
      </c>
      <c r="AP332">
        <v>0</v>
      </c>
      <c r="AQ332" t="s">
        <v>9</v>
      </c>
      <c r="AR332" s="1">
        <v>9.7433244600000004E-5</v>
      </c>
      <c r="AS332" s="1">
        <v>5.13104703E-26</v>
      </c>
      <c r="AT332">
        <v>15</v>
      </c>
      <c r="AU332" t="s">
        <v>10</v>
      </c>
      <c r="AV332">
        <v>2</v>
      </c>
      <c r="AW332">
        <v>1</v>
      </c>
      <c r="AX332">
        <v>0</v>
      </c>
      <c r="AY332">
        <v>0</v>
      </c>
      <c r="AZ332">
        <v>0</v>
      </c>
      <c r="BA332" t="s">
        <v>8</v>
      </c>
      <c r="BB332" t="s">
        <v>4</v>
      </c>
      <c r="BC332" t="s">
        <v>10</v>
      </c>
      <c r="BD332">
        <v>0</v>
      </c>
      <c r="BE332">
        <v>0</v>
      </c>
      <c r="BF332">
        <v>0</v>
      </c>
      <c r="BG332">
        <v>0</v>
      </c>
      <c r="BH332">
        <v>0</v>
      </c>
      <c r="BI332" t="s">
        <v>9</v>
      </c>
      <c r="BJ332">
        <v>-7.3769999999999993E-5</v>
      </c>
      <c r="BK332">
        <v>0</v>
      </c>
      <c r="BL332">
        <v>6.3650000000000002E-5</v>
      </c>
      <c r="BM332" s="2">
        <f t="shared" si="5"/>
        <v>3.0899887666081823E-7</v>
      </c>
    </row>
    <row r="333" spans="1:65" x14ac:dyDescent="0.35">
      <c r="A333">
        <v>0</v>
      </c>
      <c r="B333" t="s">
        <v>3</v>
      </c>
      <c r="C333" t="s">
        <v>4</v>
      </c>
      <c r="D333">
        <v>0</v>
      </c>
      <c r="E333" t="s">
        <v>3</v>
      </c>
      <c r="F333" t="s">
        <v>5</v>
      </c>
      <c r="G333">
        <v>1698.3875849999999</v>
      </c>
      <c r="H333" t="s">
        <v>4</v>
      </c>
      <c r="I333">
        <v>990.16341899999998</v>
      </c>
      <c r="J333">
        <v>708.22416599999997</v>
      </c>
      <c r="K333" t="s">
        <v>6</v>
      </c>
      <c r="L333" t="s">
        <v>7</v>
      </c>
      <c r="M333" t="s">
        <v>8</v>
      </c>
      <c r="N333" t="s">
        <v>6</v>
      </c>
      <c r="O333" t="s">
        <v>3</v>
      </c>
      <c r="P333" t="s">
        <v>3</v>
      </c>
      <c r="Q333" t="s">
        <v>3</v>
      </c>
      <c r="R333" t="s">
        <v>3</v>
      </c>
      <c r="S333" t="s">
        <v>3</v>
      </c>
      <c r="T333" t="s">
        <v>7</v>
      </c>
      <c r="U333">
        <v>2</v>
      </c>
      <c r="V333">
        <v>0</v>
      </c>
      <c r="W333">
        <v>0</v>
      </c>
      <c r="X333">
        <v>0</v>
      </c>
      <c r="Y333">
        <v>0</v>
      </c>
      <c r="Z333" t="s">
        <v>8</v>
      </c>
      <c r="AA333" t="s">
        <v>4</v>
      </c>
      <c r="AB333" t="s">
        <v>6</v>
      </c>
      <c r="AC333" t="s">
        <v>7</v>
      </c>
      <c r="AD333" t="s">
        <v>8</v>
      </c>
      <c r="AE333" t="s">
        <v>6</v>
      </c>
      <c r="AF333" t="s">
        <v>3</v>
      </c>
      <c r="AG333" t="s">
        <v>3</v>
      </c>
      <c r="AH333" t="s">
        <v>3</v>
      </c>
      <c r="AI333" t="s">
        <v>3</v>
      </c>
      <c r="AJ333" t="s">
        <v>3</v>
      </c>
      <c r="AK333" t="s">
        <v>7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9</v>
      </c>
      <c r="AR333" s="1">
        <v>1.60996858E-5</v>
      </c>
      <c r="AS333" s="1">
        <v>4.7705442500000003E-28</v>
      </c>
      <c r="AT333">
        <v>17</v>
      </c>
      <c r="AU333" t="s">
        <v>10</v>
      </c>
      <c r="AV333">
        <v>2</v>
      </c>
      <c r="AW333">
        <v>0</v>
      </c>
      <c r="AX333">
        <v>0</v>
      </c>
      <c r="AY333">
        <v>0</v>
      </c>
      <c r="AZ333">
        <v>0</v>
      </c>
      <c r="BA333" t="s">
        <v>8</v>
      </c>
      <c r="BB333" t="s">
        <v>4</v>
      </c>
      <c r="BC333" t="s">
        <v>10</v>
      </c>
      <c r="BD333">
        <v>0</v>
      </c>
      <c r="BE333">
        <v>0</v>
      </c>
      <c r="BF333">
        <v>0</v>
      </c>
      <c r="BG333">
        <v>0</v>
      </c>
      <c r="BH333">
        <v>0</v>
      </c>
      <c r="BI333" t="s">
        <v>9</v>
      </c>
      <c r="BJ333">
        <v>-1.187E-5</v>
      </c>
      <c r="BK333">
        <v>0</v>
      </c>
      <c r="BL333">
        <v>-1.0869999999999999E-5</v>
      </c>
      <c r="BM333" s="2">
        <f t="shared" si="5"/>
        <v>2.8728889166130401E-9</v>
      </c>
    </row>
    <row r="334" spans="1:65" x14ac:dyDescent="0.35">
      <c r="A334">
        <v>0</v>
      </c>
      <c r="B334" t="s">
        <v>11</v>
      </c>
      <c r="C334" t="s">
        <v>4</v>
      </c>
      <c r="D334">
        <v>0</v>
      </c>
      <c r="E334" t="s">
        <v>3</v>
      </c>
      <c r="F334" t="s">
        <v>5</v>
      </c>
      <c r="G334">
        <v>2275.9184479999999</v>
      </c>
      <c r="H334" t="s">
        <v>4</v>
      </c>
      <c r="I334">
        <v>990.16341899999998</v>
      </c>
      <c r="J334">
        <v>1285.7550289999999</v>
      </c>
      <c r="K334" t="s">
        <v>6</v>
      </c>
      <c r="L334" t="s">
        <v>7</v>
      </c>
      <c r="M334" t="s">
        <v>8</v>
      </c>
      <c r="N334" t="s">
        <v>6</v>
      </c>
      <c r="O334" t="s">
        <v>3</v>
      </c>
      <c r="P334" t="s">
        <v>3</v>
      </c>
      <c r="Q334" t="s">
        <v>3</v>
      </c>
      <c r="R334" t="s">
        <v>3</v>
      </c>
      <c r="S334" t="s">
        <v>11</v>
      </c>
      <c r="T334" t="s">
        <v>7</v>
      </c>
      <c r="U334">
        <v>0</v>
      </c>
      <c r="V334">
        <v>0</v>
      </c>
      <c r="W334">
        <v>0</v>
      </c>
      <c r="X334">
        <v>2</v>
      </c>
      <c r="Y334">
        <v>0</v>
      </c>
      <c r="Z334" t="s">
        <v>14</v>
      </c>
      <c r="AA334" t="s">
        <v>4</v>
      </c>
      <c r="AB334" t="s">
        <v>6</v>
      </c>
      <c r="AC334" t="s">
        <v>7</v>
      </c>
      <c r="AD334" t="s">
        <v>8</v>
      </c>
      <c r="AE334" t="s">
        <v>6</v>
      </c>
      <c r="AF334" t="s">
        <v>3</v>
      </c>
      <c r="AG334" t="s">
        <v>3</v>
      </c>
      <c r="AH334" t="s">
        <v>3</v>
      </c>
      <c r="AI334" t="s">
        <v>3</v>
      </c>
      <c r="AJ334" t="s">
        <v>3</v>
      </c>
      <c r="AK334" t="s">
        <v>7</v>
      </c>
      <c r="AL334">
        <v>0</v>
      </c>
      <c r="AM334">
        <v>0</v>
      </c>
      <c r="AN334">
        <v>0</v>
      </c>
      <c r="AO334">
        <v>0</v>
      </c>
      <c r="AP334">
        <v>0</v>
      </c>
      <c r="AQ334" t="s">
        <v>9</v>
      </c>
      <c r="AR334" s="1">
        <v>3.8665128999999999E-4</v>
      </c>
      <c r="AS334" s="1">
        <v>5.1539221400000002E-25</v>
      </c>
      <c r="AT334">
        <v>14</v>
      </c>
      <c r="AU334" t="s">
        <v>10</v>
      </c>
      <c r="AV334">
        <v>0</v>
      </c>
      <c r="AW334">
        <v>0</v>
      </c>
      <c r="AX334">
        <v>0</v>
      </c>
      <c r="AY334">
        <v>2</v>
      </c>
      <c r="AZ334">
        <v>0</v>
      </c>
      <c r="BA334" t="s">
        <v>14</v>
      </c>
      <c r="BB334" t="s">
        <v>4</v>
      </c>
      <c r="BC334" t="s">
        <v>10</v>
      </c>
      <c r="BD334">
        <v>0</v>
      </c>
      <c r="BE334">
        <v>0</v>
      </c>
      <c r="BF334">
        <v>0</v>
      </c>
      <c r="BG334">
        <v>0</v>
      </c>
      <c r="BH334">
        <v>0</v>
      </c>
      <c r="BI334" t="s">
        <v>9</v>
      </c>
      <c r="BJ334">
        <v>0</v>
      </c>
      <c r="BK334">
        <v>3.8664999999999999E-4</v>
      </c>
      <c r="BL334">
        <v>0</v>
      </c>
      <c r="BM334" s="2">
        <f t="shared" si="5"/>
        <v>3.1037644799317314E-6</v>
      </c>
    </row>
    <row r="335" spans="1:65" x14ac:dyDescent="0.35">
      <c r="A335">
        <v>0</v>
      </c>
      <c r="B335" t="s">
        <v>11</v>
      </c>
      <c r="C335" t="s">
        <v>4</v>
      </c>
      <c r="D335">
        <v>0</v>
      </c>
      <c r="E335" t="s">
        <v>3</v>
      </c>
      <c r="F335" t="s">
        <v>5</v>
      </c>
      <c r="G335">
        <v>3695.7258019999999</v>
      </c>
      <c r="H335" t="s">
        <v>4</v>
      </c>
      <c r="I335">
        <v>990.16341899999998</v>
      </c>
      <c r="J335">
        <v>2705.562383</v>
      </c>
      <c r="K335" t="s">
        <v>6</v>
      </c>
      <c r="L335" t="s">
        <v>7</v>
      </c>
      <c r="M335" t="s">
        <v>8</v>
      </c>
      <c r="N335" t="s">
        <v>6</v>
      </c>
      <c r="O335" t="s">
        <v>3</v>
      </c>
      <c r="P335" t="s">
        <v>3</v>
      </c>
      <c r="Q335" t="s">
        <v>3</v>
      </c>
      <c r="R335" t="s">
        <v>3</v>
      </c>
      <c r="S335" t="s">
        <v>11</v>
      </c>
      <c r="T335" t="s">
        <v>7</v>
      </c>
      <c r="U335">
        <v>0</v>
      </c>
      <c r="V335">
        <v>0</v>
      </c>
      <c r="W335">
        <v>0</v>
      </c>
      <c r="X335">
        <v>2</v>
      </c>
      <c r="Y335">
        <v>0</v>
      </c>
      <c r="Z335" t="s">
        <v>23</v>
      </c>
      <c r="AA335" t="s">
        <v>4</v>
      </c>
      <c r="AB335" t="s">
        <v>6</v>
      </c>
      <c r="AC335" t="s">
        <v>7</v>
      </c>
      <c r="AD335" t="s">
        <v>8</v>
      </c>
      <c r="AE335" t="s">
        <v>6</v>
      </c>
      <c r="AF335" t="s">
        <v>3</v>
      </c>
      <c r="AG335" t="s">
        <v>3</v>
      </c>
      <c r="AH335" t="s">
        <v>3</v>
      </c>
      <c r="AI335" t="s">
        <v>3</v>
      </c>
      <c r="AJ335" t="s">
        <v>3</v>
      </c>
      <c r="AK335" t="s">
        <v>7</v>
      </c>
      <c r="AL335">
        <v>0</v>
      </c>
      <c r="AM335">
        <v>0</v>
      </c>
      <c r="AN335">
        <v>0</v>
      </c>
      <c r="AO335">
        <v>0</v>
      </c>
      <c r="AP335">
        <v>0</v>
      </c>
      <c r="AQ335" t="s">
        <v>9</v>
      </c>
      <c r="AR335" s="1">
        <v>1.0330992299999999E-4</v>
      </c>
      <c r="AS335" s="1">
        <v>7.7581267700000004E-26</v>
      </c>
      <c r="AT335">
        <v>17</v>
      </c>
      <c r="AU335" t="s">
        <v>10</v>
      </c>
      <c r="AV335">
        <v>0</v>
      </c>
      <c r="AW335">
        <v>0</v>
      </c>
      <c r="AX335">
        <v>0</v>
      </c>
      <c r="AY335">
        <v>2</v>
      </c>
      <c r="AZ335">
        <v>0</v>
      </c>
      <c r="BA335" t="s">
        <v>23</v>
      </c>
      <c r="BB335" t="s">
        <v>4</v>
      </c>
      <c r="BC335" t="s">
        <v>10</v>
      </c>
      <c r="BD335">
        <v>0</v>
      </c>
      <c r="BE335">
        <v>0</v>
      </c>
      <c r="BF335">
        <v>0</v>
      </c>
      <c r="BG335">
        <v>0</v>
      </c>
      <c r="BH335">
        <v>0</v>
      </c>
      <c r="BI335" t="s">
        <v>9</v>
      </c>
      <c r="BJ335">
        <v>0</v>
      </c>
      <c r="BK335">
        <v>1.0331E-4</v>
      </c>
      <c r="BL335">
        <v>0</v>
      </c>
      <c r="BM335" s="2">
        <f t="shared" si="5"/>
        <v>4.6720531753189219E-7</v>
      </c>
    </row>
    <row r="336" spans="1:65" x14ac:dyDescent="0.35">
      <c r="A336">
        <v>0</v>
      </c>
      <c r="B336" t="s">
        <v>11</v>
      </c>
      <c r="C336" t="s">
        <v>4</v>
      </c>
      <c r="D336">
        <v>0</v>
      </c>
      <c r="E336" t="s">
        <v>3</v>
      </c>
      <c r="F336" t="s">
        <v>5</v>
      </c>
      <c r="G336">
        <v>4957.3425310000002</v>
      </c>
      <c r="H336" t="s">
        <v>4</v>
      </c>
      <c r="I336">
        <v>990.16341899999998</v>
      </c>
      <c r="J336">
        <v>3967.1791119999998</v>
      </c>
      <c r="K336" t="s">
        <v>6</v>
      </c>
      <c r="L336" t="s">
        <v>7</v>
      </c>
      <c r="M336" t="s">
        <v>8</v>
      </c>
      <c r="N336" t="s">
        <v>6</v>
      </c>
      <c r="O336" t="s">
        <v>3</v>
      </c>
      <c r="P336" t="s">
        <v>3</v>
      </c>
      <c r="Q336" t="s">
        <v>3</v>
      </c>
      <c r="R336" t="s">
        <v>3</v>
      </c>
      <c r="S336" t="s">
        <v>11</v>
      </c>
      <c r="T336" t="s">
        <v>7</v>
      </c>
      <c r="U336">
        <v>1</v>
      </c>
      <c r="V336">
        <v>1</v>
      </c>
      <c r="W336">
        <v>0</v>
      </c>
      <c r="X336">
        <v>1</v>
      </c>
      <c r="Y336">
        <v>1</v>
      </c>
      <c r="Z336" t="s">
        <v>14</v>
      </c>
      <c r="AA336" t="s">
        <v>4</v>
      </c>
      <c r="AB336" t="s">
        <v>6</v>
      </c>
      <c r="AC336" t="s">
        <v>7</v>
      </c>
      <c r="AD336" t="s">
        <v>8</v>
      </c>
      <c r="AE336" t="s">
        <v>6</v>
      </c>
      <c r="AF336" t="s">
        <v>3</v>
      </c>
      <c r="AG336" t="s">
        <v>3</v>
      </c>
      <c r="AH336" t="s">
        <v>3</v>
      </c>
      <c r="AI336" t="s">
        <v>3</v>
      </c>
      <c r="AJ336" t="s">
        <v>3</v>
      </c>
      <c r="AK336" t="s">
        <v>7</v>
      </c>
      <c r="AL336">
        <v>0</v>
      </c>
      <c r="AM336">
        <v>0</v>
      </c>
      <c r="AN336">
        <v>0</v>
      </c>
      <c r="AO336">
        <v>0</v>
      </c>
      <c r="AP336">
        <v>0</v>
      </c>
      <c r="AQ336" t="s">
        <v>9</v>
      </c>
      <c r="AR336" s="1">
        <v>7.16846419E-6</v>
      </c>
      <c r="AS336" s="1">
        <v>5.4770941900000003E-28</v>
      </c>
      <c r="AT336">
        <v>15</v>
      </c>
      <c r="AU336" t="s">
        <v>10</v>
      </c>
      <c r="AV336">
        <v>1</v>
      </c>
      <c r="AW336">
        <v>1</v>
      </c>
      <c r="AX336">
        <v>0</v>
      </c>
      <c r="AY336">
        <v>1</v>
      </c>
      <c r="AZ336">
        <v>1</v>
      </c>
      <c r="BA336" t="s">
        <v>14</v>
      </c>
      <c r="BB336" t="s">
        <v>4</v>
      </c>
      <c r="BC336" t="s">
        <v>10</v>
      </c>
      <c r="BD336">
        <v>0</v>
      </c>
      <c r="BE336">
        <v>0</v>
      </c>
      <c r="BF336">
        <v>0</v>
      </c>
      <c r="BG336">
        <v>0</v>
      </c>
      <c r="BH336">
        <v>0</v>
      </c>
      <c r="BI336" t="s">
        <v>9</v>
      </c>
      <c r="BJ336">
        <v>0</v>
      </c>
      <c r="BK336">
        <v>-7.17E-6</v>
      </c>
      <c r="BL336">
        <v>0</v>
      </c>
      <c r="BM336" s="2">
        <f t="shared" si="5"/>
        <v>3.2983832387041958E-9</v>
      </c>
    </row>
    <row r="337" spans="1:65" x14ac:dyDescent="0.35">
      <c r="A337">
        <v>0</v>
      </c>
      <c r="B337" t="s">
        <v>11</v>
      </c>
      <c r="C337" t="s">
        <v>4</v>
      </c>
      <c r="D337">
        <v>0</v>
      </c>
      <c r="E337" t="s">
        <v>3</v>
      </c>
      <c r="F337" t="s">
        <v>5</v>
      </c>
      <c r="G337">
        <v>4896.8032270000003</v>
      </c>
      <c r="H337" t="s">
        <v>4</v>
      </c>
      <c r="I337">
        <v>990.16341899999998</v>
      </c>
      <c r="J337">
        <v>3906.6398079999999</v>
      </c>
      <c r="K337" t="s">
        <v>6</v>
      </c>
      <c r="L337" t="s">
        <v>7</v>
      </c>
      <c r="M337" t="s">
        <v>8</v>
      </c>
      <c r="N337" t="s">
        <v>6</v>
      </c>
      <c r="O337" t="s">
        <v>3</v>
      </c>
      <c r="P337" t="s">
        <v>3</v>
      </c>
      <c r="Q337" t="s">
        <v>3</v>
      </c>
      <c r="R337" t="s">
        <v>3</v>
      </c>
      <c r="S337" t="s">
        <v>11</v>
      </c>
      <c r="T337" t="s">
        <v>7</v>
      </c>
      <c r="U337">
        <v>0</v>
      </c>
      <c r="V337">
        <v>2</v>
      </c>
      <c r="W337">
        <v>0</v>
      </c>
      <c r="X337">
        <v>2</v>
      </c>
      <c r="Y337">
        <v>0</v>
      </c>
      <c r="Z337" t="s">
        <v>13</v>
      </c>
      <c r="AA337" t="s">
        <v>4</v>
      </c>
      <c r="AB337" t="s">
        <v>6</v>
      </c>
      <c r="AC337" t="s">
        <v>7</v>
      </c>
      <c r="AD337" t="s">
        <v>8</v>
      </c>
      <c r="AE337" t="s">
        <v>6</v>
      </c>
      <c r="AF337" t="s">
        <v>3</v>
      </c>
      <c r="AG337" t="s">
        <v>3</v>
      </c>
      <c r="AH337" t="s">
        <v>3</v>
      </c>
      <c r="AI337" t="s">
        <v>3</v>
      </c>
      <c r="AJ337" t="s">
        <v>3</v>
      </c>
      <c r="AK337" t="s">
        <v>7</v>
      </c>
      <c r="AL337">
        <v>0</v>
      </c>
      <c r="AM337">
        <v>0</v>
      </c>
      <c r="AN337">
        <v>0</v>
      </c>
      <c r="AO337">
        <v>0</v>
      </c>
      <c r="AP337">
        <v>0</v>
      </c>
      <c r="AQ337" t="s">
        <v>9</v>
      </c>
      <c r="AR337" s="1">
        <v>9.8186095100000003E-6</v>
      </c>
      <c r="AS337" s="1">
        <v>1.01185786E-27</v>
      </c>
      <c r="AT337">
        <v>15</v>
      </c>
      <c r="AU337" t="s">
        <v>10</v>
      </c>
      <c r="AV337">
        <v>0</v>
      </c>
      <c r="AW337">
        <v>2</v>
      </c>
      <c r="AX337">
        <v>0</v>
      </c>
      <c r="AY337">
        <v>2</v>
      </c>
      <c r="AZ337">
        <v>0</v>
      </c>
      <c r="BA337" t="s">
        <v>13</v>
      </c>
      <c r="BB337" t="s">
        <v>4</v>
      </c>
      <c r="BC337" t="s">
        <v>10</v>
      </c>
      <c r="BD337">
        <v>0</v>
      </c>
      <c r="BE337">
        <v>0</v>
      </c>
      <c r="BF337">
        <v>0</v>
      </c>
      <c r="BG337">
        <v>0</v>
      </c>
      <c r="BH337">
        <v>0</v>
      </c>
      <c r="BI337" t="s">
        <v>9</v>
      </c>
      <c r="BJ337">
        <v>0</v>
      </c>
      <c r="BK337">
        <v>-9.8200000000000008E-6</v>
      </c>
      <c r="BL337">
        <v>0</v>
      </c>
      <c r="BM337" s="2">
        <f t="shared" si="5"/>
        <v>6.093550502506687E-9</v>
      </c>
    </row>
    <row r="338" spans="1:65" x14ac:dyDescent="0.35">
      <c r="A338">
        <v>0</v>
      </c>
      <c r="B338" t="s">
        <v>3</v>
      </c>
      <c r="C338" t="s">
        <v>4</v>
      </c>
      <c r="D338">
        <v>0</v>
      </c>
      <c r="E338" t="s">
        <v>3</v>
      </c>
      <c r="F338" t="s">
        <v>5</v>
      </c>
      <c r="G338">
        <v>3932.8561840000002</v>
      </c>
      <c r="H338" t="s">
        <v>4</v>
      </c>
      <c r="I338">
        <v>990.16341899999998</v>
      </c>
      <c r="J338">
        <v>2942.6927649999998</v>
      </c>
      <c r="K338" t="s">
        <v>6</v>
      </c>
      <c r="L338" t="s">
        <v>7</v>
      </c>
      <c r="M338" t="s">
        <v>8</v>
      </c>
      <c r="N338" t="s">
        <v>6</v>
      </c>
      <c r="O338" t="s">
        <v>3</v>
      </c>
      <c r="P338" t="s">
        <v>3</v>
      </c>
      <c r="Q338" t="s">
        <v>3</v>
      </c>
      <c r="R338" t="s">
        <v>3</v>
      </c>
      <c r="S338" t="s">
        <v>3</v>
      </c>
      <c r="T338" t="s">
        <v>7</v>
      </c>
      <c r="U338">
        <v>0</v>
      </c>
      <c r="V338">
        <v>0</v>
      </c>
      <c r="W338">
        <v>0</v>
      </c>
      <c r="X338">
        <v>0</v>
      </c>
      <c r="Y338">
        <v>1</v>
      </c>
      <c r="Z338" t="s">
        <v>17</v>
      </c>
      <c r="AA338" t="s">
        <v>4</v>
      </c>
      <c r="AB338" t="s">
        <v>6</v>
      </c>
      <c r="AC338" t="s">
        <v>7</v>
      </c>
      <c r="AD338" t="s">
        <v>8</v>
      </c>
      <c r="AE338" t="s">
        <v>6</v>
      </c>
      <c r="AF338" t="s">
        <v>3</v>
      </c>
      <c r="AG338" t="s">
        <v>3</v>
      </c>
      <c r="AH338" t="s">
        <v>3</v>
      </c>
      <c r="AI338" t="s">
        <v>3</v>
      </c>
      <c r="AJ338" t="s">
        <v>3</v>
      </c>
      <c r="AK338" t="s">
        <v>7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9</v>
      </c>
      <c r="AR338" s="1">
        <v>2.2583362000000001E-4</v>
      </c>
      <c r="AS338" s="1">
        <v>4.0321620999999999E-25</v>
      </c>
      <c r="AT338">
        <v>14</v>
      </c>
      <c r="AU338" t="s">
        <v>10</v>
      </c>
      <c r="AV338">
        <v>0</v>
      </c>
      <c r="AW338">
        <v>0</v>
      </c>
      <c r="AX338">
        <v>0</v>
      </c>
      <c r="AY338">
        <v>0</v>
      </c>
      <c r="AZ338">
        <v>1</v>
      </c>
      <c r="BA338" t="s">
        <v>17</v>
      </c>
      <c r="BB338" t="s">
        <v>4</v>
      </c>
      <c r="BC338" t="s">
        <v>10</v>
      </c>
      <c r="BD338">
        <v>0</v>
      </c>
      <c r="BE338">
        <v>0</v>
      </c>
      <c r="BF338">
        <v>0</v>
      </c>
      <c r="BG338">
        <v>0</v>
      </c>
      <c r="BH338">
        <v>0</v>
      </c>
      <c r="BI338" t="s">
        <v>9</v>
      </c>
      <c r="BJ338">
        <v>2.2583E-4</v>
      </c>
      <c r="BK338">
        <v>0</v>
      </c>
      <c r="BL338">
        <v>-7.4000000000000001E-7</v>
      </c>
      <c r="BM338" s="2">
        <f t="shared" si="5"/>
        <v>2.4282247894623677E-6</v>
      </c>
    </row>
    <row r="339" spans="1:65" x14ac:dyDescent="0.35">
      <c r="A339">
        <v>0</v>
      </c>
      <c r="B339" t="s">
        <v>11</v>
      </c>
      <c r="C339" t="s">
        <v>4</v>
      </c>
      <c r="D339">
        <v>0</v>
      </c>
      <c r="E339" t="s">
        <v>3</v>
      </c>
      <c r="F339" t="s">
        <v>5</v>
      </c>
      <c r="G339">
        <v>2682.1710950000002</v>
      </c>
      <c r="H339" t="s">
        <v>4</v>
      </c>
      <c r="I339">
        <v>990.16341899999998</v>
      </c>
      <c r="J339">
        <v>1692.0076759999999</v>
      </c>
      <c r="K339" t="s">
        <v>6</v>
      </c>
      <c r="L339" t="s">
        <v>7</v>
      </c>
      <c r="M339" t="s">
        <v>8</v>
      </c>
      <c r="N339" t="s">
        <v>6</v>
      </c>
      <c r="O339" t="s">
        <v>3</v>
      </c>
      <c r="P339" t="s">
        <v>3</v>
      </c>
      <c r="Q339" t="s">
        <v>3</v>
      </c>
      <c r="R339" t="s">
        <v>3</v>
      </c>
      <c r="S339" t="s">
        <v>11</v>
      </c>
      <c r="T339" t="s">
        <v>7</v>
      </c>
      <c r="U339">
        <v>1</v>
      </c>
      <c r="V339">
        <v>1</v>
      </c>
      <c r="W339">
        <v>0</v>
      </c>
      <c r="X339">
        <v>0</v>
      </c>
      <c r="Y339">
        <v>0</v>
      </c>
      <c r="Z339" t="s">
        <v>18</v>
      </c>
      <c r="AA339" t="s">
        <v>4</v>
      </c>
      <c r="AB339" t="s">
        <v>6</v>
      </c>
      <c r="AC339" t="s">
        <v>7</v>
      </c>
      <c r="AD339" t="s">
        <v>8</v>
      </c>
      <c r="AE339" t="s">
        <v>6</v>
      </c>
      <c r="AF339" t="s">
        <v>3</v>
      </c>
      <c r="AG339" t="s">
        <v>3</v>
      </c>
      <c r="AH339" t="s">
        <v>3</v>
      </c>
      <c r="AI339" t="s">
        <v>3</v>
      </c>
      <c r="AJ339" t="s">
        <v>3</v>
      </c>
      <c r="AK339" t="s">
        <v>7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9</v>
      </c>
      <c r="AR339" s="1">
        <v>5.4254437500000003E-6</v>
      </c>
      <c r="AS339" s="1">
        <v>1.3377223600000001E-28</v>
      </c>
      <c r="AT339">
        <v>14</v>
      </c>
      <c r="AU339" t="s">
        <v>10</v>
      </c>
      <c r="AV339">
        <v>1</v>
      </c>
      <c r="AW339">
        <v>1</v>
      </c>
      <c r="AX339">
        <v>0</v>
      </c>
      <c r="AY339">
        <v>0</v>
      </c>
      <c r="AZ339">
        <v>0</v>
      </c>
      <c r="BA339" t="s">
        <v>18</v>
      </c>
      <c r="BB339" t="s">
        <v>4</v>
      </c>
      <c r="BC339" t="s">
        <v>10</v>
      </c>
      <c r="BD339">
        <v>0</v>
      </c>
      <c r="BE339">
        <v>0</v>
      </c>
      <c r="BF339">
        <v>0</v>
      </c>
      <c r="BG339">
        <v>0</v>
      </c>
      <c r="BH339">
        <v>0</v>
      </c>
      <c r="BI339" t="s">
        <v>9</v>
      </c>
      <c r="BJ339">
        <v>0</v>
      </c>
      <c r="BK339">
        <v>5.4299999999999997E-6</v>
      </c>
      <c r="BL339">
        <v>0</v>
      </c>
      <c r="BM339" s="2">
        <f t="shared" si="5"/>
        <v>8.0559524032282883E-10</v>
      </c>
    </row>
    <row r="340" spans="1:65" x14ac:dyDescent="0.35">
      <c r="A340">
        <v>0</v>
      </c>
      <c r="B340" t="s">
        <v>3</v>
      </c>
      <c r="C340" t="s">
        <v>4</v>
      </c>
      <c r="D340">
        <v>0</v>
      </c>
      <c r="E340" t="s">
        <v>3</v>
      </c>
      <c r="F340" t="s">
        <v>5</v>
      </c>
      <c r="G340">
        <v>4132.4341329999997</v>
      </c>
      <c r="H340" t="s">
        <v>4</v>
      </c>
      <c r="I340">
        <v>990.16341899999998</v>
      </c>
      <c r="J340">
        <v>3142.2707140000002</v>
      </c>
      <c r="K340" t="s">
        <v>6</v>
      </c>
      <c r="L340" t="s">
        <v>7</v>
      </c>
      <c r="M340" t="s">
        <v>8</v>
      </c>
      <c r="N340" t="s">
        <v>6</v>
      </c>
      <c r="O340" t="s">
        <v>3</v>
      </c>
      <c r="P340" t="s">
        <v>3</v>
      </c>
      <c r="Q340" t="s">
        <v>3</v>
      </c>
      <c r="R340" t="s">
        <v>3</v>
      </c>
      <c r="S340" t="s">
        <v>3</v>
      </c>
      <c r="T340" t="s">
        <v>7</v>
      </c>
      <c r="U340">
        <v>0</v>
      </c>
      <c r="V340">
        <v>3</v>
      </c>
      <c r="W340">
        <v>0</v>
      </c>
      <c r="X340">
        <v>1</v>
      </c>
      <c r="Y340">
        <v>0</v>
      </c>
      <c r="Z340" t="s">
        <v>8</v>
      </c>
      <c r="AA340" t="s">
        <v>4</v>
      </c>
      <c r="AB340" t="s">
        <v>6</v>
      </c>
      <c r="AC340" t="s">
        <v>7</v>
      </c>
      <c r="AD340" t="s">
        <v>8</v>
      </c>
      <c r="AE340" t="s">
        <v>6</v>
      </c>
      <c r="AF340" t="s">
        <v>3</v>
      </c>
      <c r="AG340" t="s">
        <v>3</v>
      </c>
      <c r="AH340" t="s">
        <v>3</v>
      </c>
      <c r="AI340" t="s">
        <v>3</v>
      </c>
      <c r="AJ340" t="s">
        <v>3</v>
      </c>
      <c r="AK340" t="s">
        <v>7</v>
      </c>
      <c r="AL340">
        <v>0</v>
      </c>
      <c r="AM340">
        <v>0</v>
      </c>
      <c r="AN340">
        <v>0</v>
      </c>
      <c r="AO340">
        <v>0</v>
      </c>
      <c r="AP340">
        <v>0</v>
      </c>
      <c r="AQ340" t="s">
        <v>9</v>
      </c>
      <c r="AR340" s="1">
        <v>5.7338279299999997E-5</v>
      </c>
      <c r="AS340" s="1">
        <v>2.7755493900000002E-26</v>
      </c>
      <c r="AT340">
        <v>17</v>
      </c>
      <c r="AU340" t="s">
        <v>10</v>
      </c>
      <c r="AV340">
        <v>0</v>
      </c>
      <c r="AW340">
        <v>3</v>
      </c>
      <c r="AX340">
        <v>0</v>
      </c>
      <c r="AY340">
        <v>1</v>
      </c>
      <c r="AZ340">
        <v>0</v>
      </c>
      <c r="BA340" t="s">
        <v>8</v>
      </c>
      <c r="BB340" t="s">
        <v>4</v>
      </c>
      <c r="BC340" t="s">
        <v>10</v>
      </c>
      <c r="BD340">
        <v>0</v>
      </c>
      <c r="BE340">
        <v>0</v>
      </c>
      <c r="BF340">
        <v>0</v>
      </c>
      <c r="BG340">
        <v>0</v>
      </c>
      <c r="BH340">
        <v>0</v>
      </c>
      <c r="BI340" t="s">
        <v>9</v>
      </c>
      <c r="BJ340">
        <v>5.7160000000000002E-5</v>
      </c>
      <c r="BK340">
        <v>0</v>
      </c>
      <c r="BL340">
        <v>4.4900000000000002E-6</v>
      </c>
      <c r="BM340" s="2">
        <f t="shared" si="5"/>
        <v>1.6714749223934114E-7</v>
      </c>
    </row>
    <row r="341" spans="1:65" x14ac:dyDescent="0.35">
      <c r="A341">
        <v>0</v>
      </c>
      <c r="B341" t="s">
        <v>3</v>
      </c>
      <c r="C341" t="s">
        <v>4</v>
      </c>
      <c r="D341">
        <v>0</v>
      </c>
      <c r="E341" t="s">
        <v>3</v>
      </c>
      <c r="F341" t="s">
        <v>5</v>
      </c>
      <c r="G341">
        <v>4521.4210329999996</v>
      </c>
      <c r="H341" t="s">
        <v>4</v>
      </c>
      <c r="I341">
        <v>990.16341899999998</v>
      </c>
      <c r="J341">
        <v>3531.2576140000001</v>
      </c>
      <c r="K341" t="s">
        <v>6</v>
      </c>
      <c r="L341" t="s">
        <v>7</v>
      </c>
      <c r="M341" t="s">
        <v>8</v>
      </c>
      <c r="N341" t="s">
        <v>6</v>
      </c>
      <c r="O341" t="s">
        <v>3</v>
      </c>
      <c r="P341" t="s">
        <v>3</v>
      </c>
      <c r="Q341" t="s">
        <v>3</v>
      </c>
      <c r="R341" t="s">
        <v>3</v>
      </c>
      <c r="S341" t="s">
        <v>3</v>
      </c>
      <c r="T341" t="s">
        <v>7</v>
      </c>
      <c r="U341">
        <v>0</v>
      </c>
      <c r="V341">
        <v>1</v>
      </c>
      <c r="W341">
        <v>0</v>
      </c>
      <c r="X341">
        <v>0</v>
      </c>
      <c r="Y341">
        <v>0</v>
      </c>
      <c r="Z341" t="s">
        <v>17</v>
      </c>
      <c r="AA341" t="s">
        <v>4</v>
      </c>
      <c r="AB341" t="s">
        <v>6</v>
      </c>
      <c r="AC341" t="s">
        <v>7</v>
      </c>
      <c r="AD341" t="s">
        <v>8</v>
      </c>
      <c r="AE341" t="s">
        <v>6</v>
      </c>
      <c r="AF341" t="s">
        <v>3</v>
      </c>
      <c r="AG341" t="s">
        <v>3</v>
      </c>
      <c r="AH341" t="s">
        <v>3</v>
      </c>
      <c r="AI341" t="s">
        <v>3</v>
      </c>
      <c r="AJ341" t="s">
        <v>3</v>
      </c>
      <c r="AK341" t="s">
        <v>7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9</v>
      </c>
      <c r="AR341" s="1">
        <v>8.8776363899999996E-5</v>
      </c>
      <c r="AS341" s="1">
        <v>7.4772216299999998E-26</v>
      </c>
      <c r="AT341">
        <v>14</v>
      </c>
      <c r="AU341" t="s">
        <v>10</v>
      </c>
      <c r="AV341">
        <v>0</v>
      </c>
      <c r="AW341">
        <v>1</v>
      </c>
      <c r="AX341">
        <v>0</v>
      </c>
      <c r="AY341">
        <v>0</v>
      </c>
      <c r="AZ341">
        <v>0</v>
      </c>
      <c r="BA341" t="s">
        <v>17</v>
      </c>
      <c r="BB341" t="s">
        <v>4</v>
      </c>
      <c r="BC341" t="s">
        <v>10</v>
      </c>
      <c r="BD341">
        <v>0</v>
      </c>
      <c r="BE341">
        <v>0</v>
      </c>
      <c r="BF341">
        <v>0</v>
      </c>
      <c r="BG341">
        <v>0</v>
      </c>
      <c r="BH341">
        <v>0</v>
      </c>
      <c r="BI341" t="s">
        <v>9</v>
      </c>
      <c r="BJ341">
        <v>-8.0340000000000007E-5</v>
      </c>
      <c r="BK341">
        <v>0</v>
      </c>
      <c r="BL341">
        <v>3.7780000000000001E-5</v>
      </c>
      <c r="BM341" s="2">
        <f t="shared" si="5"/>
        <v>4.5028881448665508E-7</v>
      </c>
    </row>
    <row r="342" spans="1:65" x14ac:dyDescent="0.35">
      <c r="A342">
        <v>0</v>
      </c>
      <c r="B342" t="s">
        <v>3</v>
      </c>
      <c r="C342" t="s">
        <v>4</v>
      </c>
      <c r="D342">
        <v>0</v>
      </c>
      <c r="E342" t="s">
        <v>3</v>
      </c>
      <c r="F342" t="s">
        <v>5</v>
      </c>
      <c r="G342">
        <v>4669.2166630000002</v>
      </c>
      <c r="H342" t="s">
        <v>4</v>
      </c>
      <c r="I342">
        <v>990.16341899999998</v>
      </c>
      <c r="J342">
        <v>3679.0532440000002</v>
      </c>
      <c r="K342" t="s">
        <v>6</v>
      </c>
      <c r="L342" t="s">
        <v>7</v>
      </c>
      <c r="M342" t="s">
        <v>8</v>
      </c>
      <c r="N342" t="s">
        <v>6</v>
      </c>
      <c r="O342" t="s">
        <v>3</v>
      </c>
      <c r="P342" t="s">
        <v>3</v>
      </c>
      <c r="Q342" t="s">
        <v>3</v>
      </c>
      <c r="R342" t="s">
        <v>3</v>
      </c>
      <c r="S342" t="s">
        <v>3</v>
      </c>
      <c r="T342" t="s">
        <v>7</v>
      </c>
      <c r="U342">
        <v>0</v>
      </c>
      <c r="V342">
        <v>0</v>
      </c>
      <c r="W342">
        <v>0</v>
      </c>
      <c r="X342">
        <v>0</v>
      </c>
      <c r="Y342">
        <v>3</v>
      </c>
      <c r="Z342" t="s">
        <v>21</v>
      </c>
      <c r="AA342" t="s">
        <v>4</v>
      </c>
      <c r="AB342" t="s">
        <v>6</v>
      </c>
      <c r="AC342" t="s">
        <v>7</v>
      </c>
      <c r="AD342" t="s">
        <v>8</v>
      </c>
      <c r="AE342" t="s">
        <v>6</v>
      </c>
      <c r="AF342" t="s">
        <v>3</v>
      </c>
      <c r="AG342" t="s">
        <v>3</v>
      </c>
      <c r="AH342" t="s">
        <v>3</v>
      </c>
      <c r="AI342" t="s">
        <v>3</v>
      </c>
      <c r="AJ342" t="s">
        <v>3</v>
      </c>
      <c r="AK342" t="s">
        <v>7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9</v>
      </c>
      <c r="AR342" s="1">
        <v>5.7167004699999995E-4</v>
      </c>
      <c r="AS342" s="1">
        <v>3.23030183E-24</v>
      </c>
      <c r="AT342">
        <v>15</v>
      </c>
      <c r="AU342" t="s">
        <v>10</v>
      </c>
      <c r="AV342">
        <v>0</v>
      </c>
      <c r="AW342">
        <v>0</v>
      </c>
      <c r="AX342">
        <v>0</v>
      </c>
      <c r="AY342">
        <v>0</v>
      </c>
      <c r="AZ342">
        <v>3</v>
      </c>
      <c r="BA342" t="s">
        <v>21</v>
      </c>
      <c r="BB342" t="s">
        <v>4</v>
      </c>
      <c r="BC342" t="s">
        <v>10</v>
      </c>
      <c r="BD342">
        <v>0</v>
      </c>
      <c r="BE342">
        <v>0</v>
      </c>
      <c r="BF342">
        <v>0</v>
      </c>
      <c r="BG342">
        <v>0</v>
      </c>
      <c r="BH342">
        <v>0</v>
      </c>
      <c r="BI342" t="s">
        <v>9</v>
      </c>
      <c r="BJ342">
        <v>4.2935E-4</v>
      </c>
      <c r="BK342">
        <v>0</v>
      </c>
      <c r="BL342">
        <v>-3.7744999999999999E-4</v>
      </c>
      <c r="BM342" s="2">
        <f t="shared" si="5"/>
        <v>1.9453332446757662E-5</v>
      </c>
    </row>
    <row r="343" spans="1:65" x14ac:dyDescent="0.35">
      <c r="A343">
        <v>0</v>
      </c>
      <c r="B343" t="s">
        <v>3</v>
      </c>
      <c r="C343" t="s">
        <v>4</v>
      </c>
      <c r="D343">
        <v>0</v>
      </c>
      <c r="E343" t="s">
        <v>3</v>
      </c>
      <c r="F343" t="s">
        <v>5</v>
      </c>
      <c r="G343">
        <v>4840.0132009999998</v>
      </c>
      <c r="H343" t="s">
        <v>4</v>
      </c>
      <c r="I343">
        <v>990.16341899999998</v>
      </c>
      <c r="J343">
        <v>3849.8497819999998</v>
      </c>
      <c r="K343" t="s">
        <v>6</v>
      </c>
      <c r="L343" t="s">
        <v>7</v>
      </c>
      <c r="M343" t="s">
        <v>8</v>
      </c>
      <c r="N343" t="s">
        <v>6</v>
      </c>
      <c r="O343" t="s">
        <v>3</v>
      </c>
      <c r="P343" t="s">
        <v>3</v>
      </c>
      <c r="Q343" t="s">
        <v>3</v>
      </c>
      <c r="R343" t="s">
        <v>3</v>
      </c>
      <c r="S343" t="s">
        <v>3</v>
      </c>
      <c r="T343" t="s">
        <v>7</v>
      </c>
      <c r="U343">
        <v>1</v>
      </c>
      <c r="V343">
        <v>2</v>
      </c>
      <c r="W343">
        <v>0</v>
      </c>
      <c r="X343">
        <v>1</v>
      </c>
      <c r="Y343">
        <v>0</v>
      </c>
      <c r="Z343" t="s">
        <v>9</v>
      </c>
      <c r="AA343" t="s">
        <v>4</v>
      </c>
      <c r="AB343" t="s">
        <v>6</v>
      </c>
      <c r="AC343" t="s">
        <v>7</v>
      </c>
      <c r="AD343" t="s">
        <v>8</v>
      </c>
      <c r="AE343" t="s">
        <v>6</v>
      </c>
      <c r="AF343" t="s">
        <v>3</v>
      </c>
      <c r="AG343" t="s">
        <v>3</v>
      </c>
      <c r="AH343" t="s">
        <v>3</v>
      </c>
      <c r="AI343" t="s">
        <v>3</v>
      </c>
      <c r="AJ343" t="s">
        <v>3</v>
      </c>
      <c r="AK343" t="s">
        <v>7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9</v>
      </c>
      <c r="AR343" s="1">
        <v>2.1661866700000001E-4</v>
      </c>
      <c r="AS343" s="1">
        <v>4.8534627499999996E-25</v>
      </c>
      <c r="AT343">
        <v>15</v>
      </c>
      <c r="AU343" t="s">
        <v>10</v>
      </c>
      <c r="AV343">
        <v>1</v>
      </c>
      <c r="AW343">
        <v>2</v>
      </c>
      <c r="AX343">
        <v>0</v>
      </c>
      <c r="AY343">
        <v>1</v>
      </c>
      <c r="AZ343">
        <v>0</v>
      </c>
      <c r="BA343" t="s">
        <v>9</v>
      </c>
      <c r="BB343" t="s">
        <v>4</v>
      </c>
      <c r="BC343" t="s">
        <v>10</v>
      </c>
      <c r="BD343">
        <v>0</v>
      </c>
      <c r="BE343">
        <v>0</v>
      </c>
      <c r="BF343">
        <v>0</v>
      </c>
      <c r="BG343">
        <v>0</v>
      </c>
      <c r="BH343">
        <v>0</v>
      </c>
      <c r="BI343" t="s">
        <v>9</v>
      </c>
      <c r="BJ343">
        <v>-1.6216000000000001E-4</v>
      </c>
      <c r="BK343">
        <v>0</v>
      </c>
      <c r="BL343">
        <v>1.4362000000000001E-4</v>
      </c>
      <c r="BM343" s="2">
        <f t="shared" si="5"/>
        <v>2.9228236048055197E-6</v>
      </c>
    </row>
    <row r="344" spans="1:65" x14ac:dyDescent="0.35">
      <c r="A344">
        <v>0</v>
      </c>
      <c r="B344" t="s">
        <v>3</v>
      </c>
      <c r="C344" t="s">
        <v>4</v>
      </c>
      <c r="D344">
        <v>0</v>
      </c>
      <c r="E344" t="s">
        <v>3</v>
      </c>
      <c r="F344" t="s">
        <v>5</v>
      </c>
      <c r="G344">
        <v>4604.8110630000001</v>
      </c>
      <c r="H344" t="s">
        <v>4</v>
      </c>
      <c r="I344">
        <v>990.16341899999998</v>
      </c>
      <c r="J344">
        <v>3614.6476440000001</v>
      </c>
      <c r="K344" t="s">
        <v>6</v>
      </c>
      <c r="L344" t="s">
        <v>7</v>
      </c>
      <c r="M344" t="s">
        <v>8</v>
      </c>
      <c r="N344" t="s">
        <v>6</v>
      </c>
      <c r="O344" t="s">
        <v>3</v>
      </c>
      <c r="P344" t="s">
        <v>3</v>
      </c>
      <c r="Q344" t="s">
        <v>3</v>
      </c>
      <c r="R344" t="s">
        <v>3</v>
      </c>
      <c r="S344" t="s">
        <v>3</v>
      </c>
      <c r="T344" t="s">
        <v>7</v>
      </c>
      <c r="U344">
        <v>0</v>
      </c>
      <c r="V344">
        <v>2</v>
      </c>
      <c r="W344">
        <v>0</v>
      </c>
      <c r="X344">
        <v>0</v>
      </c>
      <c r="Y344">
        <v>1</v>
      </c>
      <c r="Z344" t="s">
        <v>15</v>
      </c>
      <c r="AA344" t="s">
        <v>4</v>
      </c>
      <c r="AB344" t="s">
        <v>6</v>
      </c>
      <c r="AC344" t="s">
        <v>7</v>
      </c>
      <c r="AD344" t="s">
        <v>8</v>
      </c>
      <c r="AE344" t="s">
        <v>6</v>
      </c>
      <c r="AF344" t="s">
        <v>3</v>
      </c>
      <c r="AG344" t="s">
        <v>3</v>
      </c>
      <c r="AH344" t="s">
        <v>3</v>
      </c>
      <c r="AI344" t="s">
        <v>3</v>
      </c>
      <c r="AJ344" t="s">
        <v>3</v>
      </c>
      <c r="AK344" t="s">
        <v>7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9</v>
      </c>
      <c r="AR344" s="1">
        <v>7.5914486600000002E-4</v>
      </c>
      <c r="AS344" s="1">
        <v>5.5966924099999997E-24</v>
      </c>
      <c r="AT344">
        <v>17</v>
      </c>
      <c r="AU344" t="s">
        <v>10</v>
      </c>
      <c r="AV344">
        <v>0</v>
      </c>
      <c r="AW344">
        <v>2</v>
      </c>
      <c r="AX344">
        <v>0</v>
      </c>
      <c r="AY344">
        <v>0</v>
      </c>
      <c r="AZ344">
        <v>1</v>
      </c>
      <c r="BA344" t="s">
        <v>15</v>
      </c>
      <c r="BB344" t="s">
        <v>4</v>
      </c>
      <c r="BC344" t="s">
        <v>10</v>
      </c>
      <c r="BD344">
        <v>0</v>
      </c>
      <c r="BE344">
        <v>0</v>
      </c>
      <c r="BF344">
        <v>0</v>
      </c>
      <c r="BG344">
        <v>0</v>
      </c>
      <c r="BH344">
        <v>0</v>
      </c>
      <c r="BI344" t="s">
        <v>9</v>
      </c>
      <c r="BJ344">
        <v>-5.6895999999999997E-4</v>
      </c>
      <c r="BK344">
        <v>0</v>
      </c>
      <c r="BL344">
        <v>5.0257999999999998E-4</v>
      </c>
      <c r="BM344" s="2">
        <f t="shared" si="5"/>
        <v>3.3704069707311322E-5</v>
      </c>
    </row>
    <row r="345" spans="1:65" x14ac:dyDescent="0.35">
      <c r="A345">
        <v>0</v>
      </c>
      <c r="B345" t="s">
        <v>3</v>
      </c>
      <c r="C345" t="s">
        <v>4</v>
      </c>
      <c r="D345">
        <v>0</v>
      </c>
      <c r="E345" t="s">
        <v>3</v>
      </c>
      <c r="F345" t="s">
        <v>5</v>
      </c>
      <c r="G345">
        <v>4423.0375450000001</v>
      </c>
      <c r="H345" t="s">
        <v>4</v>
      </c>
      <c r="I345">
        <v>990.16341899999998</v>
      </c>
      <c r="J345">
        <v>3432.8741260000002</v>
      </c>
      <c r="K345" t="s">
        <v>6</v>
      </c>
      <c r="L345" t="s">
        <v>7</v>
      </c>
      <c r="M345" t="s">
        <v>8</v>
      </c>
      <c r="N345" t="s">
        <v>6</v>
      </c>
      <c r="O345" t="s">
        <v>3</v>
      </c>
      <c r="P345" t="s">
        <v>3</v>
      </c>
      <c r="Q345" t="s">
        <v>3</v>
      </c>
      <c r="R345" t="s">
        <v>3</v>
      </c>
      <c r="S345" t="s">
        <v>3</v>
      </c>
      <c r="T345" t="s">
        <v>7</v>
      </c>
      <c r="U345">
        <v>1</v>
      </c>
      <c r="V345">
        <v>0</v>
      </c>
      <c r="W345">
        <v>0</v>
      </c>
      <c r="X345">
        <v>4</v>
      </c>
      <c r="Y345">
        <v>0</v>
      </c>
      <c r="Z345" t="s">
        <v>21</v>
      </c>
      <c r="AA345" t="s">
        <v>4</v>
      </c>
      <c r="AB345" t="s">
        <v>6</v>
      </c>
      <c r="AC345" t="s">
        <v>7</v>
      </c>
      <c r="AD345" t="s">
        <v>8</v>
      </c>
      <c r="AE345" t="s">
        <v>6</v>
      </c>
      <c r="AF345" t="s">
        <v>3</v>
      </c>
      <c r="AG345" t="s">
        <v>3</v>
      </c>
      <c r="AH345" t="s">
        <v>3</v>
      </c>
      <c r="AI345" t="s">
        <v>3</v>
      </c>
      <c r="AJ345" t="s">
        <v>3</v>
      </c>
      <c r="AK345" t="s">
        <v>7</v>
      </c>
      <c r="AL345">
        <v>0</v>
      </c>
      <c r="AM345">
        <v>0</v>
      </c>
      <c r="AN345">
        <v>0</v>
      </c>
      <c r="AO345">
        <v>0</v>
      </c>
      <c r="AP345">
        <v>0</v>
      </c>
      <c r="AQ345" t="s">
        <v>9</v>
      </c>
      <c r="AR345" s="1">
        <v>2.33760134E-5</v>
      </c>
      <c r="AS345" s="1">
        <v>5.0398186500000002E-27</v>
      </c>
      <c r="AT345">
        <v>1</v>
      </c>
      <c r="AU345" t="s">
        <v>10</v>
      </c>
      <c r="AV345">
        <v>1</v>
      </c>
      <c r="AW345">
        <v>0</v>
      </c>
      <c r="AX345">
        <v>0</v>
      </c>
      <c r="AY345">
        <v>4</v>
      </c>
      <c r="AZ345">
        <v>0</v>
      </c>
      <c r="BA345" t="s">
        <v>21</v>
      </c>
      <c r="BB345" t="s">
        <v>4</v>
      </c>
      <c r="BC345" t="s">
        <v>10</v>
      </c>
      <c r="BD345">
        <v>0</v>
      </c>
      <c r="BE345">
        <v>0</v>
      </c>
      <c r="BF345">
        <v>0</v>
      </c>
      <c r="BG345">
        <v>0</v>
      </c>
      <c r="BH345">
        <v>0</v>
      </c>
      <c r="BI345" t="s">
        <v>9</v>
      </c>
      <c r="BJ345">
        <v>-2.2410000000000001E-5</v>
      </c>
      <c r="BK345">
        <v>0</v>
      </c>
      <c r="BL345">
        <v>6.64E-6</v>
      </c>
      <c r="BM345" s="2">
        <f t="shared" si="5"/>
        <v>3.0350497516765921E-8</v>
      </c>
    </row>
    <row r="346" spans="1:65" x14ac:dyDescent="0.35">
      <c r="A346">
        <v>0</v>
      </c>
      <c r="B346" t="s">
        <v>3</v>
      </c>
      <c r="C346" t="s">
        <v>4</v>
      </c>
      <c r="D346">
        <v>0</v>
      </c>
      <c r="E346" t="s">
        <v>3</v>
      </c>
      <c r="F346" t="s">
        <v>5</v>
      </c>
      <c r="G346">
        <v>4309.0709310000002</v>
      </c>
      <c r="H346" t="s">
        <v>4</v>
      </c>
      <c r="I346">
        <v>990.16341899999998</v>
      </c>
      <c r="J346">
        <v>3318.9075120000002</v>
      </c>
      <c r="K346" t="s">
        <v>6</v>
      </c>
      <c r="L346" t="s">
        <v>7</v>
      </c>
      <c r="M346" t="s">
        <v>8</v>
      </c>
      <c r="N346" t="s">
        <v>6</v>
      </c>
      <c r="O346" t="s">
        <v>3</v>
      </c>
      <c r="P346" t="s">
        <v>3</v>
      </c>
      <c r="Q346" t="s">
        <v>3</v>
      </c>
      <c r="R346" t="s">
        <v>3</v>
      </c>
      <c r="S346" t="s">
        <v>3</v>
      </c>
      <c r="T346" t="s">
        <v>7</v>
      </c>
      <c r="U346">
        <v>0</v>
      </c>
      <c r="V346">
        <v>0</v>
      </c>
      <c r="W346">
        <v>0</v>
      </c>
      <c r="X346">
        <v>4</v>
      </c>
      <c r="Y346">
        <v>0</v>
      </c>
      <c r="Z346" t="s">
        <v>29</v>
      </c>
      <c r="AA346" t="s">
        <v>4</v>
      </c>
      <c r="AB346" t="s">
        <v>6</v>
      </c>
      <c r="AC346" t="s">
        <v>7</v>
      </c>
      <c r="AD346" t="s">
        <v>8</v>
      </c>
      <c r="AE346" t="s">
        <v>6</v>
      </c>
      <c r="AF346" t="s">
        <v>3</v>
      </c>
      <c r="AG346" t="s">
        <v>3</v>
      </c>
      <c r="AH346" t="s">
        <v>3</v>
      </c>
      <c r="AI346" t="s">
        <v>3</v>
      </c>
      <c r="AJ346" t="s">
        <v>3</v>
      </c>
      <c r="AK346" t="s">
        <v>7</v>
      </c>
      <c r="AL346">
        <v>0</v>
      </c>
      <c r="AM346">
        <v>0</v>
      </c>
      <c r="AN346">
        <v>0</v>
      </c>
      <c r="AO346">
        <v>0</v>
      </c>
      <c r="AP346">
        <v>0</v>
      </c>
      <c r="AQ346" t="s">
        <v>9</v>
      </c>
      <c r="AR346" s="1">
        <v>4.1589711599999999E-5</v>
      </c>
      <c r="AS346" s="1">
        <v>1.54235052E-26</v>
      </c>
      <c r="AT346">
        <v>15</v>
      </c>
      <c r="AU346" t="s">
        <v>10</v>
      </c>
      <c r="AV346">
        <v>0</v>
      </c>
      <c r="AW346">
        <v>0</v>
      </c>
      <c r="AX346">
        <v>0</v>
      </c>
      <c r="AY346">
        <v>4</v>
      </c>
      <c r="AZ346">
        <v>0</v>
      </c>
      <c r="BA346" t="s">
        <v>29</v>
      </c>
      <c r="BB346" t="s">
        <v>4</v>
      </c>
      <c r="BC346" t="s">
        <v>10</v>
      </c>
      <c r="BD346">
        <v>0</v>
      </c>
      <c r="BE346">
        <v>0</v>
      </c>
      <c r="BF346">
        <v>0</v>
      </c>
      <c r="BG346">
        <v>0</v>
      </c>
      <c r="BH346">
        <v>0</v>
      </c>
      <c r="BI346" t="s">
        <v>9</v>
      </c>
      <c r="BJ346">
        <v>3.4759999999999999E-5</v>
      </c>
      <c r="BK346">
        <v>0</v>
      </c>
      <c r="BL346">
        <v>2.283E-5</v>
      </c>
      <c r="BM346" s="2">
        <f t="shared" si="5"/>
        <v>9.2882519943932154E-8</v>
      </c>
    </row>
    <row r="347" spans="1:65" x14ac:dyDescent="0.35">
      <c r="A347">
        <v>0</v>
      </c>
      <c r="B347" t="s">
        <v>3</v>
      </c>
      <c r="C347" t="s">
        <v>4</v>
      </c>
      <c r="D347">
        <v>0</v>
      </c>
      <c r="E347" t="s">
        <v>3</v>
      </c>
      <c r="F347" t="s">
        <v>5</v>
      </c>
      <c r="G347">
        <v>4226.9978590000001</v>
      </c>
      <c r="H347" t="s">
        <v>4</v>
      </c>
      <c r="I347">
        <v>990.16341899999998</v>
      </c>
      <c r="J347">
        <v>3236.8344390000002</v>
      </c>
      <c r="K347" t="s">
        <v>6</v>
      </c>
      <c r="L347" t="s">
        <v>7</v>
      </c>
      <c r="M347" t="s">
        <v>8</v>
      </c>
      <c r="N347" t="s">
        <v>6</v>
      </c>
      <c r="O347" t="s">
        <v>3</v>
      </c>
      <c r="P347" t="s">
        <v>3</v>
      </c>
      <c r="Q347" t="s">
        <v>3</v>
      </c>
      <c r="R347" t="s">
        <v>3</v>
      </c>
      <c r="S347" t="s">
        <v>3</v>
      </c>
      <c r="T347" t="s">
        <v>7</v>
      </c>
      <c r="U347">
        <v>2</v>
      </c>
      <c r="V347">
        <v>0</v>
      </c>
      <c r="W347">
        <v>0</v>
      </c>
      <c r="X347">
        <v>0</v>
      </c>
      <c r="Y347">
        <v>0</v>
      </c>
      <c r="Z347" t="s">
        <v>29</v>
      </c>
      <c r="AA347" t="s">
        <v>4</v>
      </c>
      <c r="AB347" t="s">
        <v>6</v>
      </c>
      <c r="AC347" t="s">
        <v>7</v>
      </c>
      <c r="AD347" t="s">
        <v>8</v>
      </c>
      <c r="AE347" t="s">
        <v>6</v>
      </c>
      <c r="AF347" t="s">
        <v>3</v>
      </c>
      <c r="AG347" t="s">
        <v>3</v>
      </c>
      <c r="AH347" t="s">
        <v>3</v>
      </c>
      <c r="AI347" t="s">
        <v>3</v>
      </c>
      <c r="AJ347" t="s">
        <v>3</v>
      </c>
      <c r="AK347" t="s">
        <v>7</v>
      </c>
      <c r="AL347">
        <v>0</v>
      </c>
      <c r="AM347">
        <v>0</v>
      </c>
      <c r="AN347">
        <v>0</v>
      </c>
      <c r="AO347">
        <v>0</v>
      </c>
      <c r="AP347">
        <v>0</v>
      </c>
      <c r="AQ347" t="s">
        <v>9</v>
      </c>
      <c r="AR347" s="1">
        <v>1.03804705E-4</v>
      </c>
      <c r="AS347" s="1">
        <v>9.3706702300000005E-26</v>
      </c>
      <c r="AT347">
        <v>15</v>
      </c>
      <c r="AU347" t="s">
        <v>10</v>
      </c>
      <c r="AV347">
        <v>2</v>
      </c>
      <c r="AW347">
        <v>0</v>
      </c>
      <c r="AX347">
        <v>0</v>
      </c>
      <c r="AY347">
        <v>0</v>
      </c>
      <c r="AZ347">
        <v>0</v>
      </c>
      <c r="BA347" t="s">
        <v>29</v>
      </c>
      <c r="BB347" t="s">
        <v>4</v>
      </c>
      <c r="BC347" t="s">
        <v>10</v>
      </c>
      <c r="BD347">
        <v>0</v>
      </c>
      <c r="BE347">
        <v>0</v>
      </c>
      <c r="BF347">
        <v>0</v>
      </c>
      <c r="BG347">
        <v>0</v>
      </c>
      <c r="BH347">
        <v>0</v>
      </c>
      <c r="BI347" t="s">
        <v>9</v>
      </c>
      <c r="BJ347">
        <v>1.0334E-4</v>
      </c>
      <c r="BK347">
        <v>0</v>
      </c>
      <c r="BL347">
        <v>-9.7699999999999996E-6</v>
      </c>
      <c r="BM347" s="2">
        <f t="shared" si="5"/>
        <v>5.6431495515428385E-7</v>
      </c>
    </row>
    <row r="348" spans="1:65" x14ac:dyDescent="0.35">
      <c r="A348">
        <v>0</v>
      </c>
      <c r="B348" t="s">
        <v>11</v>
      </c>
      <c r="C348" t="s">
        <v>4</v>
      </c>
      <c r="D348">
        <v>0</v>
      </c>
      <c r="E348" t="s">
        <v>3</v>
      </c>
      <c r="F348" t="s">
        <v>5</v>
      </c>
      <c r="G348">
        <v>3403.9232499999998</v>
      </c>
      <c r="H348" t="s">
        <v>4</v>
      </c>
      <c r="I348">
        <v>990.16341899999998</v>
      </c>
      <c r="J348">
        <v>2413.7598309999998</v>
      </c>
      <c r="K348" t="s">
        <v>6</v>
      </c>
      <c r="L348" t="s">
        <v>7</v>
      </c>
      <c r="M348" t="s">
        <v>8</v>
      </c>
      <c r="N348" t="s">
        <v>6</v>
      </c>
      <c r="O348" t="s">
        <v>3</v>
      </c>
      <c r="P348" t="s">
        <v>3</v>
      </c>
      <c r="Q348" t="s">
        <v>3</v>
      </c>
      <c r="R348" t="s">
        <v>3</v>
      </c>
      <c r="S348" t="s">
        <v>11</v>
      </c>
      <c r="T348" t="s">
        <v>7</v>
      </c>
      <c r="U348">
        <v>2</v>
      </c>
      <c r="V348">
        <v>0</v>
      </c>
      <c r="W348">
        <v>0</v>
      </c>
      <c r="X348">
        <v>3</v>
      </c>
      <c r="Y348">
        <v>0</v>
      </c>
      <c r="Z348" t="s">
        <v>18</v>
      </c>
      <c r="AA348" t="s">
        <v>4</v>
      </c>
      <c r="AB348" t="s">
        <v>6</v>
      </c>
      <c r="AC348" t="s">
        <v>7</v>
      </c>
      <c r="AD348" t="s">
        <v>8</v>
      </c>
      <c r="AE348" t="s">
        <v>6</v>
      </c>
      <c r="AF348" t="s">
        <v>3</v>
      </c>
      <c r="AG348" t="s">
        <v>3</v>
      </c>
      <c r="AH348" t="s">
        <v>3</v>
      </c>
      <c r="AI348" t="s">
        <v>3</v>
      </c>
      <c r="AJ348" t="s">
        <v>3</v>
      </c>
      <c r="AK348" t="s">
        <v>7</v>
      </c>
      <c r="AL348">
        <v>0</v>
      </c>
      <c r="AM348">
        <v>0</v>
      </c>
      <c r="AN348">
        <v>0</v>
      </c>
      <c r="AO348">
        <v>0</v>
      </c>
      <c r="AP348">
        <v>0</v>
      </c>
      <c r="AQ348" t="s">
        <v>9</v>
      </c>
      <c r="AR348" s="1">
        <v>7.8818145899999994E-6</v>
      </c>
      <c r="AS348" s="1">
        <v>4.0286438499999998E-28</v>
      </c>
      <c r="AT348">
        <v>17</v>
      </c>
      <c r="AU348" t="s">
        <v>10</v>
      </c>
      <c r="AV348">
        <v>2</v>
      </c>
      <c r="AW348">
        <v>0</v>
      </c>
      <c r="AX348">
        <v>0</v>
      </c>
      <c r="AY348">
        <v>3</v>
      </c>
      <c r="AZ348">
        <v>0</v>
      </c>
      <c r="BA348" t="s">
        <v>18</v>
      </c>
      <c r="BB348" t="s">
        <v>4</v>
      </c>
      <c r="BC348" t="s">
        <v>10</v>
      </c>
      <c r="BD348">
        <v>0</v>
      </c>
      <c r="BE348">
        <v>0</v>
      </c>
      <c r="BF348">
        <v>0</v>
      </c>
      <c r="BG348">
        <v>0</v>
      </c>
      <c r="BH348">
        <v>0</v>
      </c>
      <c r="BI348" t="s">
        <v>9</v>
      </c>
      <c r="BJ348">
        <v>0</v>
      </c>
      <c r="BK348">
        <v>7.8800000000000008E-6</v>
      </c>
      <c r="BL348">
        <v>0</v>
      </c>
      <c r="BM348" s="2">
        <f t="shared" si="5"/>
        <v>2.426106049775408E-9</v>
      </c>
    </row>
    <row r="349" spans="1:65" x14ac:dyDescent="0.35">
      <c r="A349">
        <v>0</v>
      </c>
      <c r="B349" t="s">
        <v>11</v>
      </c>
      <c r="C349" t="s">
        <v>4</v>
      </c>
      <c r="D349">
        <v>0</v>
      </c>
      <c r="E349" t="s">
        <v>3</v>
      </c>
      <c r="F349" t="s">
        <v>5</v>
      </c>
      <c r="G349">
        <v>4014.6432289999998</v>
      </c>
      <c r="H349" t="s">
        <v>4</v>
      </c>
      <c r="I349">
        <v>990.16341899999998</v>
      </c>
      <c r="J349">
        <v>3024.4798099999998</v>
      </c>
      <c r="K349" t="s">
        <v>6</v>
      </c>
      <c r="L349" t="s">
        <v>7</v>
      </c>
      <c r="M349" t="s">
        <v>8</v>
      </c>
      <c r="N349" t="s">
        <v>6</v>
      </c>
      <c r="O349" t="s">
        <v>3</v>
      </c>
      <c r="P349" t="s">
        <v>3</v>
      </c>
      <c r="Q349" t="s">
        <v>3</v>
      </c>
      <c r="R349" t="s">
        <v>3</v>
      </c>
      <c r="S349" t="s">
        <v>11</v>
      </c>
      <c r="T349" t="s">
        <v>7</v>
      </c>
      <c r="U349">
        <v>1</v>
      </c>
      <c r="V349">
        <v>0</v>
      </c>
      <c r="W349">
        <v>0</v>
      </c>
      <c r="X349">
        <v>3</v>
      </c>
      <c r="Y349">
        <v>0</v>
      </c>
      <c r="Z349" t="s">
        <v>14</v>
      </c>
      <c r="AA349" t="s">
        <v>4</v>
      </c>
      <c r="AB349" t="s">
        <v>6</v>
      </c>
      <c r="AC349" t="s">
        <v>7</v>
      </c>
      <c r="AD349" t="s">
        <v>8</v>
      </c>
      <c r="AE349" t="s">
        <v>6</v>
      </c>
      <c r="AF349" t="s">
        <v>3</v>
      </c>
      <c r="AG349" t="s">
        <v>3</v>
      </c>
      <c r="AH349" t="s">
        <v>3</v>
      </c>
      <c r="AI349" t="s">
        <v>3</v>
      </c>
      <c r="AJ349" t="s">
        <v>3</v>
      </c>
      <c r="AK349" t="s">
        <v>7</v>
      </c>
      <c r="AL349">
        <v>0</v>
      </c>
      <c r="AM349">
        <v>0</v>
      </c>
      <c r="AN349">
        <v>0</v>
      </c>
      <c r="AO349">
        <v>0</v>
      </c>
      <c r="AP349">
        <v>0</v>
      </c>
      <c r="AQ349" t="s">
        <v>9</v>
      </c>
      <c r="AR349" s="1">
        <v>1.0076056199999999E-5</v>
      </c>
      <c r="AS349" s="1">
        <v>8.2498836100000007E-28</v>
      </c>
      <c r="AT349">
        <v>15</v>
      </c>
      <c r="AU349" t="s">
        <v>10</v>
      </c>
      <c r="AV349">
        <v>1</v>
      </c>
      <c r="AW349">
        <v>0</v>
      </c>
      <c r="AX349">
        <v>0</v>
      </c>
      <c r="AY349">
        <v>3</v>
      </c>
      <c r="AZ349">
        <v>0</v>
      </c>
      <c r="BA349" t="s">
        <v>14</v>
      </c>
      <c r="BB349" t="s">
        <v>4</v>
      </c>
      <c r="BC349" t="s">
        <v>10</v>
      </c>
      <c r="BD349">
        <v>0</v>
      </c>
      <c r="BE349">
        <v>0</v>
      </c>
      <c r="BF349">
        <v>0</v>
      </c>
      <c r="BG349">
        <v>0</v>
      </c>
      <c r="BH349">
        <v>0</v>
      </c>
      <c r="BI349" t="s">
        <v>9</v>
      </c>
      <c r="BJ349">
        <v>0</v>
      </c>
      <c r="BK349">
        <v>-1.008E-5</v>
      </c>
      <c r="BL349">
        <v>0</v>
      </c>
      <c r="BM349" s="2">
        <f t="shared" si="5"/>
        <v>4.9681960683032296E-9</v>
      </c>
    </row>
    <row r="350" spans="1:65" x14ac:dyDescent="0.35">
      <c r="A350">
        <v>0</v>
      </c>
      <c r="B350" t="s">
        <v>11</v>
      </c>
      <c r="C350" t="s">
        <v>4</v>
      </c>
      <c r="D350">
        <v>0</v>
      </c>
      <c r="E350" t="s">
        <v>3</v>
      </c>
      <c r="F350" t="s">
        <v>5</v>
      </c>
      <c r="G350">
        <v>4734.4360539999998</v>
      </c>
      <c r="H350" t="s">
        <v>4</v>
      </c>
      <c r="I350">
        <v>990.16341899999998</v>
      </c>
      <c r="J350">
        <v>3744.2726349999998</v>
      </c>
      <c r="K350" t="s">
        <v>6</v>
      </c>
      <c r="L350" t="s">
        <v>7</v>
      </c>
      <c r="M350" t="s">
        <v>8</v>
      </c>
      <c r="N350" t="s">
        <v>6</v>
      </c>
      <c r="O350" t="s">
        <v>3</v>
      </c>
      <c r="P350" t="s">
        <v>3</v>
      </c>
      <c r="Q350" t="s">
        <v>3</v>
      </c>
      <c r="R350" t="s">
        <v>3</v>
      </c>
      <c r="S350" t="s">
        <v>11</v>
      </c>
      <c r="T350" t="s">
        <v>7</v>
      </c>
      <c r="U350">
        <v>2</v>
      </c>
      <c r="V350">
        <v>2</v>
      </c>
      <c r="W350">
        <v>0</v>
      </c>
      <c r="X350">
        <v>0</v>
      </c>
      <c r="Y350">
        <v>0</v>
      </c>
      <c r="Z350" t="s">
        <v>18</v>
      </c>
      <c r="AA350" t="s">
        <v>4</v>
      </c>
      <c r="AB350" t="s">
        <v>6</v>
      </c>
      <c r="AC350" t="s">
        <v>7</v>
      </c>
      <c r="AD350" t="s">
        <v>8</v>
      </c>
      <c r="AE350" t="s">
        <v>6</v>
      </c>
      <c r="AF350" t="s">
        <v>3</v>
      </c>
      <c r="AG350" t="s">
        <v>3</v>
      </c>
      <c r="AH350" t="s">
        <v>3</v>
      </c>
      <c r="AI350" t="s">
        <v>3</v>
      </c>
      <c r="AJ350" t="s">
        <v>3</v>
      </c>
      <c r="AK350" t="s">
        <v>7</v>
      </c>
      <c r="AL350">
        <v>0</v>
      </c>
      <c r="AM350">
        <v>0</v>
      </c>
      <c r="AN350">
        <v>0</v>
      </c>
      <c r="AO350">
        <v>0</v>
      </c>
      <c r="AP350">
        <v>0</v>
      </c>
      <c r="AQ350" t="s">
        <v>9</v>
      </c>
      <c r="AR350" s="1">
        <v>3.1041327699999999E-5</v>
      </c>
      <c r="AS350" s="1">
        <v>9.6931335900000006E-27</v>
      </c>
      <c r="AT350">
        <v>15</v>
      </c>
      <c r="AU350" t="s">
        <v>10</v>
      </c>
      <c r="AV350">
        <v>2</v>
      </c>
      <c r="AW350">
        <v>2</v>
      </c>
      <c r="AX350">
        <v>0</v>
      </c>
      <c r="AY350">
        <v>0</v>
      </c>
      <c r="AZ350">
        <v>0</v>
      </c>
      <c r="BA350" t="s">
        <v>18</v>
      </c>
      <c r="BB350" t="s">
        <v>4</v>
      </c>
      <c r="BC350" t="s">
        <v>10</v>
      </c>
      <c r="BD350">
        <v>0</v>
      </c>
      <c r="BE350">
        <v>0</v>
      </c>
      <c r="BF350">
        <v>0</v>
      </c>
      <c r="BG350">
        <v>0</v>
      </c>
      <c r="BH350">
        <v>0</v>
      </c>
      <c r="BI350" t="s">
        <v>9</v>
      </c>
      <c r="BJ350">
        <v>0</v>
      </c>
      <c r="BK350">
        <v>-3.1040000000000001E-5</v>
      </c>
      <c r="BL350">
        <v>0</v>
      </c>
      <c r="BM350" s="2">
        <f t="shared" si="5"/>
        <v>5.8373415272189471E-8</v>
      </c>
    </row>
    <row r="351" spans="1:65" x14ac:dyDescent="0.35">
      <c r="A351">
        <v>0</v>
      </c>
      <c r="B351" t="s">
        <v>11</v>
      </c>
      <c r="C351" t="s">
        <v>4</v>
      </c>
      <c r="D351">
        <v>0</v>
      </c>
      <c r="E351" t="s">
        <v>3</v>
      </c>
      <c r="F351" t="s">
        <v>5</v>
      </c>
      <c r="G351">
        <v>4793.229448</v>
      </c>
      <c r="H351" t="s">
        <v>4</v>
      </c>
      <c r="I351">
        <v>990.16341899999998</v>
      </c>
      <c r="J351">
        <v>3803.0660290000001</v>
      </c>
      <c r="K351" t="s">
        <v>6</v>
      </c>
      <c r="L351" t="s">
        <v>7</v>
      </c>
      <c r="M351" t="s">
        <v>8</v>
      </c>
      <c r="N351" t="s">
        <v>6</v>
      </c>
      <c r="O351" t="s">
        <v>3</v>
      </c>
      <c r="P351" t="s">
        <v>3</v>
      </c>
      <c r="Q351" t="s">
        <v>3</v>
      </c>
      <c r="R351" t="s">
        <v>3</v>
      </c>
      <c r="S351" t="s">
        <v>11</v>
      </c>
      <c r="T351" t="s">
        <v>7</v>
      </c>
      <c r="U351">
        <v>2</v>
      </c>
      <c r="V351">
        <v>0</v>
      </c>
      <c r="W351">
        <v>0</v>
      </c>
      <c r="X351">
        <v>5</v>
      </c>
      <c r="Y351">
        <v>0</v>
      </c>
      <c r="Z351" t="s">
        <v>18</v>
      </c>
      <c r="AA351" t="s">
        <v>4</v>
      </c>
      <c r="AB351" t="s">
        <v>6</v>
      </c>
      <c r="AC351" t="s">
        <v>7</v>
      </c>
      <c r="AD351" t="s">
        <v>8</v>
      </c>
      <c r="AE351" t="s">
        <v>6</v>
      </c>
      <c r="AF351" t="s">
        <v>3</v>
      </c>
      <c r="AG351" t="s">
        <v>3</v>
      </c>
      <c r="AH351" t="s">
        <v>3</v>
      </c>
      <c r="AI351" t="s">
        <v>3</v>
      </c>
      <c r="AJ351" t="s">
        <v>3</v>
      </c>
      <c r="AK351" t="s">
        <v>7</v>
      </c>
      <c r="AL351">
        <v>0</v>
      </c>
      <c r="AM351">
        <v>0</v>
      </c>
      <c r="AN351">
        <v>0</v>
      </c>
      <c r="AO351">
        <v>0</v>
      </c>
      <c r="AP351">
        <v>0</v>
      </c>
      <c r="AQ351" t="s">
        <v>9</v>
      </c>
      <c r="AR351" s="1">
        <v>3.9053695899999999E-6</v>
      </c>
      <c r="AS351" s="1">
        <v>1.5583833699999999E-28</v>
      </c>
      <c r="AT351">
        <v>16</v>
      </c>
      <c r="AU351" t="s">
        <v>10</v>
      </c>
      <c r="AV351">
        <v>2</v>
      </c>
      <c r="AW351">
        <v>0</v>
      </c>
      <c r="AX351">
        <v>0</v>
      </c>
      <c r="AY351">
        <v>5</v>
      </c>
      <c r="AZ351">
        <v>0</v>
      </c>
      <c r="BA351" t="s">
        <v>18</v>
      </c>
      <c r="BB351" t="s">
        <v>4</v>
      </c>
      <c r="BC351" t="s">
        <v>10</v>
      </c>
      <c r="BD351">
        <v>0</v>
      </c>
      <c r="BE351">
        <v>0</v>
      </c>
      <c r="BF351">
        <v>0</v>
      </c>
      <c r="BG351">
        <v>0</v>
      </c>
      <c r="BH351">
        <v>0</v>
      </c>
      <c r="BI351" t="s">
        <v>9</v>
      </c>
      <c r="BJ351">
        <v>0</v>
      </c>
      <c r="BK351">
        <v>3.9099999999999998E-6</v>
      </c>
      <c r="BL351">
        <v>0</v>
      </c>
      <c r="BM351" s="2">
        <f t="shared" si="5"/>
        <v>9.3848040745184967E-10</v>
      </c>
    </row>
    <row r="352" spans="1:65" x14ac:dyDescent="0.35">
      <c r="A352">
        <v>0</v>
      </c>
      <c r="B352" t="s">
        <v>11</v>
      </c>
      <c r="C352" t="s">
        <v>4</v>
      </c>
      <c r="D352">
        <v>0</v>
      </c>
      <c r="E352" t="s">
        <v>3</v>
      </c>
      <c r="F352" t="s">
        <v>5</v>
      </c>
      <c r="G352">
        <v>3208.3285980000001</v>
      </c>
      <c r="H352" t="s">
        <v>4</v>
      </c>
      <c r="I352">
        <v>990.16341899999998</v>
      </c>
      <c r="J352">
        <v>2218.1651790000001</v>
      </c>
      <c r="K352" t="s">
        <v>6</v>
      </c>
      <c r="L352" t="s">
        <v>7</v>
      </c>
      <c r="M352" t="s">
        <v>8</v>
      </c>
      <c r="N352" t="s">
        <v>6</v>
      </c>
      <c r="O352" t="s">
        <v>3</v>
      </c>
      <c r="P352" t="s">
        <v>3</v>
      </c>
      <c r="Q352" t="s">
        <v>3</v>
      </c>
      <c r="R352" t="s">
        <v>3</v>
      </c>
      <c r="S352" t="s">
        <v>11</v>
      </c>
      <c r="T352" t="s">
        <v>7</v>
      </c>
      <c r="U352">
        <v>1</v>
      </c>
      <c r="V352">
        <v>0</v>
      </c>
      <c r="W352">
        <v>0</v>
      </c>
      <c r="X352">
        <v>2</v>
      </c>
      <c r="Y352">
        <v>0</v>
      </c>
      <c r="Z352" t="s">
        <v>13</v>
      </c>
      <c r="AA352" t="s">
        <v>4</v>
      </c>
      <c r="AB352" t="s">
        <v>6</v>
      </c>
      <c r="AC352" t="s">
        <v>7</v>
      </c>
      <c r="AD352" t="s">
        <v>8</v>
      </c>
      <c r="AE352" t="s">
        <v>6</v>
      </c>
      <c r="AF352" t="s">
        <v>3</v>
      </c>
      <c r="AG352" t="s">
        <v>3</v>
      </c>
      <c r="AH352" t="s">
        <v>3</v>
      </c>
      <c r="AI352" t="s">
        <v>3</v>
      </c>
      <c r="AJ352" t="s">
        <v>3</v>
      </c>
      <c r="AK352" t="s">
        <v>7</v>
      </c>
      <c r="AL352">
        <v>0</v>
      </c>
      <c r="AM352">
        <v>0</v>
      </c>
      <c r="AN352">
        <v>0</v>
      </c>
      <c r="AO352">
        <v>0</v>
      </c>
      <c r="AP352">
        <v>0</v>
      </c>
      <c r="AQ352" t="s">
        <v>9</v>
      </c>
      <c r="AR352" s="1">
        <v>1.7888777700000001E-4</v>
      </c>
      <c r="AS352" s="1">
        <v>1.90704824E-25</v>
      </c>
      <c r="AT352">
        <v>17</v>
      </c>
      <c r="AU352" t="s">
        <v>10</v>
      </c>
      <c r="AV352">
        <v>1</v>
      </c>
      <c r="AW352">
        <v>0</v>
      </c>
      <c r="AX352">
        <v>0</v>
      </c>
      <c r="AY352">
        <v>2</v>
      </c>
      <c r="AZ352">
        <v>0</v>
      </c>
      <c r="BA352" t="s">
        <v>13</v>
      </c>
      <c r="BB352" t="s">
        <v>4</v>
      </c>
      <c r="BC352" t="s">
        <v>10</v>
      </c>
      <c r="BD352">
        <v>0</v>
      </c>
      <c r="BE352">
        <v>0</v>
      </c>
      <c r="BF352">
        <v>0</v>
      </c>
      <c r="BG352">
        <v>0</v>
      </c>
      <c r="BH352">
        <v>0</v>
      </c>
      <c r="BI352" t="s">
        <v>9</v>
      </c>
      <c r="BJ352">
        <v>0</v>
      </c>
      <c r="BK352">
        <v>1.7888999999999999E-4</v>
      </c>
      <c r="BL352">
        <v>0</v>
      </c>
      <c r="BM352" s="2">
        <f t="shared" si="5"/>
        <v>1.1484513013672192E-6</v>
      </c>
    </row>
    <row r="353" spans="1:65" x14ac:dyDescent="0.35">
      <c r="A353">
        <v>0</v>
      </c>
      <c r="B353" t="s">
        <v>11</v>
      </c>
      <c r="C353" t="s">
        <v>4</v>
      </c>
      <c r="D353">
        <v>0</v>
      </c>
      <c r="E353" t="s">
        <v>3</v>
      </c>
      <c r="F353" t="s">
        <v>5</v>
      </c>
      <c r="G353">
        <v>4383.4293589999997</v>
      </c>
      <c r="H353" t="s">
        <v>4</v>
      </c>
      <c r="I353">
        <v>990.16341899999998</v>
      </c>
      <c r="J353">
        <v>3393.2659399999998</v>
      </c>
      <c r="K353" t="s">
        <v>6</v>
      </c>
      <c r="L353" t="s">
        <v>7</v>
      </c>
      <c r="M353" t="s">
        <v>8</v>
      </c>
      <c r="N353" t="s">
        <v>6</v>
      </c>
      <c r="O353" t="s">
        <v>3</v>
      </c>
      <c r="P353" t="s">
        <v>3</v>
      </c>
      <c r="Q353" t="s">
        <v>3</v>
      </c>
      <c r="R353" t="s">
        <v>3</v>
      </c>
      <c r="S353" t="s">
        <v>11</v>
      </c>
      <c r="T353" t="s">
        <v>7</v>
      </c>
      <c r="U353">
        <v>0</v>
      </c>
      <c r="V353">
        <v>1</v>
      </c>
      <c r="W353">
        <v>0</v>
      </c>
      <c r="X353">
        <v>0</v>
      </c>
      <c r="Y353">
        <v>1</v>
      </c>
      <c r="Z353" t="s">
        <v>19</v>
      </c>
      <c r="AA353" t="s">
        <v>4</v>
      </c>
      <c r="AB353" t="s">
        <v>6</v>
      </c>
      <c r="AC353" t="s">
        <v>7</v>
      </c>
      <c r="AD353" t="s">
        <v>8</v>
      </c>
      <c r="AE353" t="s">
        <v>6</v>
      </c>
      <c r="AF353" t="s">
        <v>3</v>
      </c>
      <c r="AG353" t="s">
        <v>3</v>
      </c>
      <c r="AH353" t="s">
        <v>3</v>
      </c>
      <c r="AI353" t="s">
        <v>3</v>
      </c>
      <c r="AJ353" t="s">
        <v>3</v>
      </c>
      <c r="AK353" t="s">
        <v>7</v>
      </c>
      <c r="AL353">
        <v>0</v>
      </c>
      <c r="AM353">
        <v>0</v>
      </c>
      <c r="AN353">
        <v>0</v>
      </c>
      <c r="AO353">
        <v>0</v>
      </c>
      <c r="AP353">
        <v>0</v>
      </c>
      <c r="AQ353" t="s">
        <v>9</v>
      </c>
      <c r="AR353" s="1">
        <v>1.7042633300000001E-6</v>
      </c>
      <c r="AS353" s="1">
        <v>2.6479356499999999E-29</v>
      </c>
      <c r="AT353">
        <v>15</v>
      </c>
      <c r="AU353" t="s">
        <v>10</v>
      </c>
      <c r="AV353">
        <v>0</v>
      </c>
      <c r="AW353">
        <v>1</v>
      </c>
      <c r="AX353">
        <v>0</v>
      </c>
      <c r="AY353">
        <v>0</v>
      </c>
      <c r="AZ353">
        <v>1</v>
      </c>
      <c r="BA353" t="s">
        <v>19</v>
      </c>
      <c r="BB353" t="s">
        <v>4</v>
      </c>
      <c r="BC353" t="s">
        <v>10</v>
      </c>
      <c r="BD353">
        <v>0</v>
      </c>
      <c r="BE353">
        <v>0</v>
      </c>
      <c r="BF353">
        <v>0</v>
      </c>
      <c r="BG353">
        <v>0</v>
      </c>
      <c r="BH353">
        <v>0</v>
      </c>
      <c r="BI353" t="s">
        <v>9</v>
      </c>
      <c r="BJ353">
        <v>0</v>
      </c>
      <c r="BK353">
        <v>1.7E-6</v>
      </c>
      <c r="BL353">
        <v>0</v>
      </c>
      <c r="BM353" s="2">
        <f t="shared" si="5"/>
        <v>1.5946241313639518E-10</v>
      </c>
    </row>
    <row r="354" spans="1:65" x14ac:dyDescent="0.35">
      <c r="A354">
        <v>0</v>
      </c>
      <c r="B354" t="s">
        <v>3</v>
      </c>
      <c r="C354" t="s">
        <v>4</v>
      </c>
      <c r="D354">
        <v>0</v>
      </c>
      <c r="E354" t="s">
        <v>3</v>
      </c>
      <c r="F354" t="s">
        <v>5</v>
      </c>
      <c r="G354">
        <v>3538.1003940000001</v>
      </c>
      <c r="H354" t="s">
        <v>4</v>
      </c>
      <c r="I354">
        <v>990.16341899999998</v>
      </c>
      <c r="J354">
        <v>2547.9369750000001</v>
      </c>
      <c r="K354" t="s">
        <v>6</v>
      </c>
      <c r="L354" t="s">
        <v>7</v>
      </c>
      <c r="M354" t="s">
        <v>8</v>
      </c>
      <c r="N354" t="s">
        <v>6</v>
      </c>
      <c r="O354" t="s">
        <v>3</v>
      </c>
      <c r="P354" t="s">
        <v>3</v>
      </c>
      <c r="Q354" t="s">
        <v>3</v>
      </c>
      <c r="R354" t="s">
        <v>3</v>
      </c>
      <c r="S354" t="s">
        <v>3</v>
      </c>
      <c r="T354" t="s">
        <v>7</v>
      </c>
      <c r="U354">
        <v>0</v>
      </c>
      <c r="V354">
        <v>1</v>
      </c>
      <c r="W354">
        <v>0</v>
      </c>
      <c r="X354">
        <v>1</v>
      </c>
      <c r="Y354">
        <v>0</v>
      </c>
      <c r="Z354" t="s">
        <v>24</v>
      </c>
      <c r="AA354" t="s">
        <v>4</v>
      </c>
      <c r="AB354" t="s">
        <v>6</v>
      </c>
      <c r="AC354" t="s">
        <v>7</v>
      </c>
      <c r="AD354" t="s">
        <v>8</v>
      </c>
      <c r="AE354" t="s">
        <v>6</v>
      </c>
      <c r="AF354" t="s">
        <v>3</v>
      </c>
      <c r="AG354" t="s">
        <v>3</v>
      </c>
      <c r="AH354" t="s">
        <v>3</v>
      </c>
      <c r="AI354" t="s">
        <v>3</v>
      </c>
      <c r="AJ354" t="s">
        <v>3</v>
      </c>
      <c r="AK354" t="s">
        <v>7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9</v>
      </c>
      <c r="AR354" s="1">
        <v>5.1645791800000002E-4</v>
      </c>
      <c r="AS354" s="1">
        <v>1.82588218E-24</v>
      </c>
      <c r="AT354">
        <v>15</v>
      </c>
      <c r="AU354" t="s">
        <v>10</v>
      </c>
      <c r="AV354">
        <v>0</v>
      </c>
      <c r="AW354">
        <v>1</v>
      </c>
      <c r="AX354">
        <v>0</v>
      </c>
      <c r="AY354">
        <v>1</v>
      </c>
      <c r="AZ354">
        <v>0</v>
      </c>
      <c r="BA354" t="s">
        <v>24</v>
      </c>
      <c r="BB354" t="s">
        <v>4</v>
      </c>
      <c r="BC354" t="s">
        <v>10</v>
      </c>
      <c r="BD354">
        <v>0</v>
      </c>
      <c r="BE354">
        <v>0</v>
      </c>
      <c r="BF354">
        <v>0</v>
      </c>
      <c r="BG354">
        <v>0</v>
      </c>
      <c r="BH354">
        <v>0</v>
      </c>
      <c r="BI354" t="s">
        <v>9</v>
      </c>
      <c r="BJ354">
        <v>4.6267999999999998E-4</v>
      </c>
      <c r="BK354">
        <v>0</v>
      </c>
      <c r="BL354">
        <v>-2.2947000000000001E-4</v>
      </c>
      <c r="BM354" s="2">
        <f t="shared" si="5"/>
        <v>1.0995719572170945E-5</v>
      </c>
    </row>
    <row r="355" spans="1:65" x14ac:dyDescent="0.35">
      <c r="A355">
        <v>0</v>
      </c>
      <c r="B355" t="s">
        <v>3</v>
      </c>
      <c r="C355" t="s">
        <v>4</v>
      </c>
      <c r="D355">
        <v>0</v>
      </c>
      <c r="E355" t="s">
        <v>3</v>
      </c>
      <c r="F355" t="s">
        <v>5</v>
      </c>
      <c r="G355">
        <v>1700.540195</v>
      </c>
      <c r="H355" t="s">
        <v>4</v>
      </c>
      <c r="I355">
        <v>990.16341899999998</v>
      </c>
      <c r="J355">
        <v>710.37677599999995</v>
      </c>
      <c r="K355" t="s">
        <v>6</v>
      </c>
      <c r="L355" t="s">
        <v>7</v>
      </c>
      <c r="M355" t="s">
        <v>8</v>
      </c>
      <c r="N355" t="s">
        <v>6</v>
      </c>
      <c r="O355" t="s">
        <v>3</v>
      </c>
      <c r="P355" t="s">
        <v>3</v>
      </c>
      <c r="Q355" t="s">
        <v>3</v>
      </c>
      <c r="R355" t="s">
        <v>3</v>
      </c>
      <c r="S355" t="s">
        <v>3</v>
      </c>
      <c r="T355" t="s">
        <v>7</v>
      </c>
      <c r="U355">
        <v>0</v>
      </c>
      <c r="V355">
        <v>0</v>
      </c>
      <c r="W355">
        <v>0</v>
      </c>
      <c r="X355">
        <v>2</v>
      </c>
      <c r="Y355">
        <v>1</v>
      </c>
      <c r="Z355" t="s">
        <v>8</v>
      </c>
      <c r="AA355" t="s">
        <v>4</v>
      </c>
      <c r="AB355" t="s">
        <v>6</v>
      </c>
      <c r="AC355" t="s">
        <v>7</v>
      </c>
      <c r="AD355" t="s">
        <v>8</v>
      </c>
      <c r="AE355" t="s">
        <v>6</v>
      </c>
      <c r="AF355" t="s">
        <v>3</v>
      </c>
      <c r="AG355" t="s">
        <v>3</v>
      </c>
      <c r="AH355" t="s">
        <v>3</v>
      </c>
      <c r="AI355" t="s">
        <v>3</v>
      </c>
      <c r="AJ355" t="s">
        <v>3</v>
      </c>
      <c r="AK355" t="s">
        <v>7</v>
      </c>
      <c r="AL355">
        <v>0</v>
      </c>
      <c r="AM355">
        <v>0</v>
      </c>
      <c r="AN355">
        <v>0</v>
      </c>
      <c r="AO355">
        <v>0</v>
      </c>
      <c r="AP355">
        <v>0</v>
      </c>
      <c r="AQ355" t="s">
        <v>9</v>
      </c>
      <c r="AR355" s="1">
        <v>8.42381017E-6</v>
      </c>
      <c r="AS355" s="1">
        <v>1.31044927E-28</v>
      </c>
      <c r="AT355">
        <v>18</v>
      </c>
      <c r="AU355" t="s">
        <v>10</v>
      </c>
      <c r="AV355">
        <v>0</v>
      </c>
      <c r="AW355">
        <v>0</v>
      </c>
      <c r="AX355">
        <v>0</v>
      </c>
      <c r="AY355">
        <v>2</v>
      </c>
      <c r="AZ355">
        <v>1</v>
      </c>
      <c r="BA355" t="s">
        <v>8</v>
      </c>
      <c r="BB355" t="s">
        <v>4</v>
      </c>
      <c r="BC355" t="s">
        <v>10</v>
      </c>
      <c r="BD355">
        <v>0</v>
      </c>
      <c r="BE355">
        <v>0</v>
      </c>
      <c r="BF355">
        <v>0</v>
      </c>
      <c r="BG355">
        <v>0</v>
      </c>
      <c r="BH355">
        <v>0</v>
      </c>
      <c r="BI355" t="s">
        <v>9</v>
      </c>
      <c r="BJ355">
        <v>-5.8300000000000001E-6</v>
      </c>
      <c r="BK355">
        <v>0</v>
      </c>
      <c r="BL355">
        <v>-6.0800000000000002E-6</v>
      </c>
      <c r="BM355" s="2">
        <f t="shared" si="5"/>
        <v>7.8917100151972154E-10</v>
      </c>
    </row>
    <row r="356" spans="1:65" x14ac:dyDescent="0.35">
      <c r="A356">
        <v>0</v>
      </c>
      <c r="B356" t="s">
        <v>11</v>
      </c>
      <c r="C356" t="s">
        <v>4</v>
      </c>
      <c r="D356">
        <v>0</v>
      </c>
      <c r="E356" t="s">
        <v>3</v>
      </c>
      <c r="F356" t="s">
        <v>5</v>
      </c>
      <c r="G356">
        <v>3008.3363370000002</v>
      </c>
      <c r="H356" t="s">
        <v>4</v>
      </c>
      <c r="I356">
        <v>990.16341899999998</v>
      </c>
      <c r="J356">
        <v>2018.172918</v>
      </c>
      <c r="K356" t="s">
        <v>6</v>
      </c>
      <c r="L356" t="s">
        <v>7</v>
      </c>
      <c r="M356" t="s">
        <v>8</v>
      </c>
      <c r="N356" t="s">
        <v>6</v>
      </c>
      <c r="O356" t="s">
        <v>3</v>
      </c>
      <c r="P356" t="s">
        <v>3</v>
      </c>
      <c r="Q356" t="s">
        <v>3</v>
      </c>
      <c r="R356" t="s">
        <v>3</v>
      </c>
      <c r="S356" t="s">
        <v>11</v>
      </c>
      <c r="T356" t="s">
        <v>7</v>
      </c>
      <c r="U356">
        <v>2</v>
      </c>
      <c r="V356">
        <v>0</v>
      </c>
      <c r="W356">
        <v>0</v>
      </c>
      <c r="X356">
        <v>2</v>
      </c>
      <c r="Y356">
        <v>0</v>
      </c>
      <c r="Z356" t="s">
        <v>18</v>
      </c>
      <c r="AA356" t="s">
        <v>4</v>
      </c>
      <c r="AB356" t="s">
        <v>6</v>
      </c>
      <c r="AC356" t="s">
        <v>7</v>
      </c>
      <c r="AD356" t="s">
        <v>8</v>
      </c>
      <c r="AE356" t="s">
        <v>6</v>
      </c>
      <c r="AF356" t="s">
        <v>3</v>
      </c>
      <c r="AG356" t="s">
        <v>3</v>
      </c>
      <c r="AH356" t="s">
        <v>3</v>
      </c>
      <c r="AI356" t="s">
        <v>3</v>
      </c>
      <c r="AJ356" t="s">
        <v>3</v>
      </c>
      <c r="AK356" t="s">
        <v>7</v>
      </c>
      <c r="AL356">
        <v>0</v>
      </c>
      <c r="AM356">
        <v>0</v>
      </c>
      <c r="AN356">
        <v>0</v>
      </c>
      <c r="AO356">
        <v>0</v>
      </c>
      <c r="AP356">
        <v>0</v>
      </c>
      <c r="AQ356" t="s">
        <v>9</v>
      </c>
      <c r="AR356" s="1">
        <v>4.7728404500000003E-6</v>
      </c>
      <c r="AS356" s="1">
        <v>1.2351022099999999E-28</v>
      </c>
      <c r="AT356">
        <v>16</v>
      </c>
      <c r="AU356" t="s">
        <v>10</v>
      </c>
      <c r="AV356">
        <v>2</v>
      </c>
      <c r="AW356">
        <v>0</v>
      </c>
      <c r="AX356">
        <v>0</v>
      </c>
      <c r="AY356">
        <v>2</v>
      </c>
      <c r="AZ356">
        <v>0</v>
      </c>
      <c r="BA356" t="s">
        <v>18</v>
      </c>
      <c r="BB356" t="s">
        <v>4</v>
      </c>
      <c r="BC356" t="s">
        <v>10</v>
      </c>
      <c r="BD356">
        <v>0</v>
      </c>
      <c r="BE356">
        <v>0</v>
      </c>
      <c r="BF356">
        <v>0</v>
      </c>
      <c r="BG356">
        <v>0</v>
      </c>
      <c r="BH356">
        <v>0</v>
      </c>
      <c r="BI356" t="s">
        <v>9</v>
      </c>
      <c r="BJ356">
        <v>0</v>
      </c>
      <c r="BK356">
        <v>4.7700000000000001E-6</v>
      </c>
      <c r="BL356">
        <v>0</v>
      </c>
      <c r="BM356" s="2">
        <f t="shared" si="5"/>
        <v>7.4379594110111674E-10</v>
      </c>
    </row>
    <row r="357" spans="1:65" x14ac:dyDescent="0.35">
      <c r="A357">
        <v>0</v>
      </c>
      <c r="B357" t="s">
        <v>3</v>
      </c>
      <c r="C357" t="s">
        <v>4</v>
      </c>
      <c r="D357">
        <v>0</v>
      </c>
      <c r="E357" t="s">
        <v>3</v>
      </c>
      <c r="F357" t="s">
        <v>5</v>
      </c>
      <c r="G357">
        <v>3822.1743150000002</v>
      </c>
      <c r="H357" t="s">
        <v>4</v>
      </c>
      <c r="I357">
        <v>990.16341899999998</v>
      </c>
      <c r="J357">
        <v>2832.0108959999998</v>
      </c>
      <c r="K357" t="s">
        <v>6</v>
      </c>
      <c r="L357" t="s">
        <v>7</v>
      </c>
      <c r="M357" t="s">
        <v>8</v>
      </c>
      <c r="N357" t="s">
        <v>6</v>
      </c>
      <c r="O357" t="s">
        <v>3</v>
      </c>
      <c r="P357" t="s">
        <v>3</v>
      </c>
      <c r="Q357" t="s">
        <v>3</v>
      </c>
      <c r="R357" t="s">
        <v>3</v>
      </c>
      <c r="S357" t="s">
        <v>3</v>
      </c>
      <c r="T357" t="s">
        <v>7</v>
      </c>
      <c r="U357">
        <v>0</v>
      </c>
      <c r="V357">
        <v>1</v>
      </c>
      <c r="W357">
        <v>0</v>
      </c>
      <c r="X357">
        <v>0</v>
      </c>
      <c r="Y357">
        <v>0</v>
      </c>
      <c r="Z357" t="s">
        <v>29</v>
      </c>
      <c r="AA357" t="s">
        <v>4</v>
      </c>
      <c r="AB357" t="s">
        <v>6</v>
      </c>
      <c r="AC357" t="s">
        <v>7</v>
      </c>
      <c r="AD357" t="s">
        <v>8</v>
      </c>
      <c r="AE357" t="s">
        <v>6</v>
      </c>
      <c r="AF357" t="s">
        <v>3</v>
      </c>
      <c r="AG357" t="s">
        <v>3</v>
      </c>
      <c r="AH357" t="s">
        <v>3</v>
      </c>
      <c r="AI357" t="s">
        <v>3</v>
      </c>
      <c r="AJ357" t="s">
        <v>3</v>
      </c>
      <c r="AK357" t="s">
        <v>7</v>
      </c>
      <c r="AL357">
        <v>0</v>
      </c>
      <c r="AM357">
        <v>0</v>
      </c>
      <c r="AN357">
        <v>0</v>
      </c>
      <c r="AO357">
        <v>0</v>
      </c>
      <c r="AP357">
        <v>0</v>
      </c>
      <c r="AQ357" t="s">
        <v>9</v>
      </c>
      <c r="AR357" s="1">
        <v>1.07621771E-4</v>
      </c>
      <c r="AS357" s="1">
        <v>8.8127378499999995E-26</v>
      </c>
      <c r="AT357">
        <v>15</v>
      </c>
      <c r="AU357" t="s">
        <v>10</v>
      </c>
      <c r="AV357">
        <v>0</v>
      </c>
      <c r="AW357">
        <v>1</v>
      </c>
      <c r="AX357">
        <v>0</v>
      </c>
      <c r="AY357">
        <v>0</v>
      </c>
      <c r="AZ357">
        <v>0</v>
      </c>
      <c r="BA357" t="s">
        <v>29</v>
      </c>
      <c r="BB357" t="s">
        <v>4</v>
      </c>
      <c r="BC357" t="s">
        <v>10</v>
      </c>
      <c r="BD357">
        <v>0</v>
      </c>
      <c r="BE357">
        <v>0</v>
      </c>
      <c r="BF357">
        <v>0</v>
      </c>
      <c r="BG357">
        <v>0</v>
      </c>
      <c r="BH357">
        <v>0</v>
      </c>
      <c r="BI357" t="s">
        <v>9</v>
      </c>
      <c r="BJ357">
        <v>-1.0504E-4</v>
      </c>
      <c r="BK357">
        <v>0</v>
      </c>
      <c r="BL357">
        <v>-2.3419999999999999E-5</v>
      </c>
      <c r="BM357" s="2">
        <f t="shared" si="5"/>
        <v>5.3071548166189282E-7</v>
      </c>
    </row>
    <row r="358" spans="1:65" x14ac:dyDescent="0.35">
      <c r="A358">
        <v>0</v>
      </c>
      <c r="B358" t="s">
        <v>3</v>
      </c>
      <c r="C358" t="s">
        <v>4</v>
      </c>
      <c r="D358">
        <v>0</v>
      </c>
      <c r="E358" t="s">
        <v>3</v>
      </c>
      <c r="F358" t="s">
        <v>5</v>
      </c>
      <c r="G358">
        <v>3696.4412189999998</v>
      </c>
      <c r="H358" t="s">
        <v>4</v>
      </c>
      <c r="I358">
        <v>990.16341899999998</v>
      </c>
      <c r="J358">
        <v>2706.2777999999998</v>
      </c>
      <c r="K358" t="s">
        <v>6</v>
      </c>
      <c r="L358" t="s">
        <v>7</v>
      </c>
      <c r="M358" t="s">
        <v>8</v>
      </c>
      <c r="N358" t="s">
        <v>6</v>
      </c>
      <c r="O358" t="s">
        <v>3</v>
      </c>
      <c r="P358" t="s">
        <v>3</v>
      </c>
      <c r="Q358" t="s">
        <v>3</v>
      </c>
      <c r="R358" t="s">
        <v>3</v>
      </c>
      <c r="S358" t="s">
        <v>3</v>
      </c>
      <c r="T358" t="s">
        <v>7</v>
      </c>
      <c r="U358">
        <v>0</v>
      </c>
      <c r="V358">
        <v>0</v>
      </c>
      <c r="W358">
        <v>0</v>
      </c>
      <c r="X358">
        <v>2</v>
      </c>
      <c r="Y358">
        <v>1</v>
      </c>
      <c r="Z358" t="s">
        <v>21</v>
      </c>
      <c r="AA358" t="s">
        <v>4</v>
      </c>
      <c r="AB358" t="s">
        <v>6</v>
      </c>
      <c r="AC358" t="s">
        <v>7</v>
      </c>
      <c r="AD358" t="s">
        <v>8</v>
      </c>
      <c r="AE358" t="s">
        <v>6</v>
      </c>
      <c r="AF358" t="s">
        <v>3</v>
      </c>
      <c r="AG358" t="s">
        <v>3</v>
      </c>
      <c r="AH358" t="s">
        <v>3</v>
      </c>
      <c r="AI358" t="s">
        <v>3</v>
      </c>
      <c r="AJ358" t="s">
        <v>3</v>
      </c>
      <c r="AK358" t="s">
        <v>7</v>
      </c>
      <c r="AL358">
        <v>0</v>
      </c>
      <c r="AM358">
        <v>0</v>
      </c>
      <c r="AN358">
        <v>0</v>
      </c>
      <c r="AO358">
        <v>0</v>
      </c>
      <c r="AP358">
        <v>0</v>
      </c>
      <c r="AQ358" t="s">
        <v>9</v>
      </c>
      <c r="AR358" s="1">
        <v>2.1001471900000001E-4</v>
      </c>
      <c r="AS358" s="1">
        <v>3.2069123199999998E-25</v>
      </c>
      <c r="AT358">
        <v>18</v>
      </c>
      <c r="AU358" t="s">
        <v>10</v>
      </c>
      <c r="AV358">
        <v>0</v>
      </c>
      <c r="AW358">
        <v>0</v>
      </c>
      <c r="AX358">
        <v>0</v>
      </c>
      <c r="AY358">
        <v>2</v>
      </c>
      <c r="AZ358">
        <v>1</v>
      </c>
      <c r="BA358" t="s">
        <v>21</v>
      </c>
      <c r="BB358" t="s">
        <v>4</v>
      </c>
      <c r="BC358" t="s">
        <v>10</v>
      </c>
      <c r="BD358">
        <v>0</v>
      </c>
      <c r="BE358">
        <v>0</v>
      </c>
      <c r="BF358">
        <v>0</v>
      </c>
      <c r="BG358">
        <v>0</v>
      </c>
      <c r="BH358">
        <v>0</v>
      </c>
      <c r="BI358" t="s">
        <v>9</v>
      </c>
      <c r="BJ358">
        <v>1.4777E-4</v>
      </c>
      <c r="BK358">
        <v>0</v>
      </c>
      <c r="BL358">
        <v>-1.4923000000000001E-4</v>
      </c>
      <c r="BM358" s="2">
        <f t="shared" si="5"/>
        <v>1.9312477524294654E-6</v>
      </c>
    </row>
    <row r="359" spans="1:65" x14ac:dyDescent="0.35">
      <c r="A359">
        <v>0</v>
      </c>
      <c r="B359" t="s">
        <v>3</v>
      </c>
      <c r="C359" t="s">
        <v>4</v>
      </c>
      <c r="D359">
        <v>0</v>
      </c>
      <c r="E359" t="s">
        <v>3</v>
      </c>
      <c r="F359" t="s">
        <v>5</v>
      </c>
      <c r="G359">
        <v>2277.9947229999998</v>
      </c>
      <c r="H359" t="s">
        <v>4</v>
      </c>
      <c r="I359">
        <v>990.16341899999998</v>
      </c>
      <c r="J359">
        <v>1287.831304</v>
      </c>
      <c r="K359" t="s">
        <v>6</v>
      </c>
      <c r="L359" t="s">
        <v>7</v>
      </c>
      <c r="M359" t="s">
        <v>8</v>
      </c>
      <c r="N359" t="s">
        <v>6</v>
      </c>
      <c r="O359" t="s">
        <v>3</v>
      </c>
      <c r="P359" t="s">
        <v>3</v>
      </c>
      <c r="Q359" t="s">
        <v>3</v>
      </c>
      <c r="R359" t="s">
        <v>3</v>
      </c>
      <c r="S359" t="s">
        <v>3</v>
      </c>
      <c r="T359" t="s">
        <v>7</v>
      </c>
      <c r="U359">
        <v>0</v>
      </c>
      <c r="V359">
        <v>1</v>
      </c>
      <c r="W359">
        <v>0</v>
      </c>
      <c r="X359">
        <v>0</v>
      </c>
      <c r="Y359">
        <v>0</v>
      </c>
      <c r="Z359" t="s">
        <v>9</v>
      </c>
      <c r="AA359" t="s">
        <v>4</v>
      </c>
      <c r="AB359" t="s">
        <v>6</v>
      </c>
      <c r="AC359" t="s">
        <v>7</v>
      </c>
      <c r="AD359" t="s">
        <v>8</v>
      </c>
      <c r="AE359" t="s">
        <v>6</v>
      </c>
      <c r="AF359" t="s">
        <v>3</v>
      </c>
      <c r="AG359" t="s">
        <v>3</v>
      </c>
      <c r="AH359" t="s">
        <v>3</v>
      </c>
      <c r="AI359" t="s">
        <v>3</v>
      </c>
      <c r="AJ359" t="s">
        <v>3</v>
      </c>
      <c r="AK359" t="s">
        <v>7</v>
      </c>
      <c r="AL359">
        <v>0</v>
      </c>
      <c r="AM359">
        <v>0</v>
      </c>
      <c r="AN359">
        <v>0</v>
      </c>
      <c r="AO359">
        <v>0</v>
      </c>
      <c r="AP359">
        <v>0</v>
      </c>
      <c r="AQ359" t="s">
        <v>9</v>
      </c>
      <c r="AR359" s="1">
        <v>0.14709772500000001</v>
      </c>
      <c r="AS359" s="1">
        <v>7.4717154400000003E-20</v>
      </c>
      <c r="AT359">
        <v>15</v>
      </c>
      <c r="AU359" t="s">
        <v>10</v>
      </c>
      <c r="AV359">
        <v>0</v>
      </c>
      <c r="AW359">
        <v>1</v>
      </c>
      <c r="AX359">
        <v>0</v>
      </c>
      <c r="AY359">
        <v>0</v>
      </c>
      <c r="AZ359">
        <v>0</v>
      </c>
      <c r="BA359" t="s">
        <v>9</v>
      </c>
      <c r="BB359" t="s">
        <v>4</v>
      </c>
      <c r="BC359" t="s">
        <v>10</v>
      </c>
      <c r="BD359">
        <v>0</v>
      </c>
      <c r="BE359">
        <v>0</v>
      </c>
      <c r="BF359">
        <v>0</v>
      </c>
      <c r="BG359">
        <v>0</v>
      </c>
      <c r="BH359">
        <v>0</v>
      </c>
      <c r="BI359" t="s">
        <v>9</v>
      </c>
      <c r="BJ359">
        <v>0.13461775000000001</v>
      </c>
      <c r="BK359">
        <v>0</v>
      </c>
      <c r="BL359">
        <v>-5.9294189999999997E-2</v>
      </c>
      <c r="BM359" s="2">
        <f t="shared" si="5"/>
        <v>0.44995722397213955</v>
      </c>
    </row>
    <row r="360" spans="1:65" x14ac:dyDescent="0.35">
      <c r="A360">
        <v>0</v>
      </c>
      <c r="B360" t="s">
        <v>3</v>
      </c>
      <c r="C360" t="s">
        <v>4</v>
      </c>
      <c r="D360">
        <v>0</v>
      </c>
      <c r="E360" t="s">
        <v>3</v>
      </c>
      <c r="F360" t="s">
        <v>5</v>
      </c>
      <c r="G360">
        <v>4965.8376799999996</v>
      </c>
      <c r="H360" t="s">
        <v>4</v>
      </c>
      <c r="I360">
        <v>990.16341899999998</v>
      </c>
      <c r="J360">
        <v>3975.6742610000001</v>
      </c>
      <c r="K360" t="s">
        <v>6</v>
      </c>
      <c r="L360" t="s">
        <v>7</v>
      </c>
      <c r="M360" t="s">
        <v>8</v>
      </c>
      <c r="N360" t="s">
        <v>6</v>
      </c>
      <c r="O360" t="s">
        <v>3</v>
      </c>
      <c r="P360" t="s">
        <v>3</v>
      </c>
      <c r="Q360" t="s">
        <v>3</v>
      </c>
      <c r="R360" t="s">
        <v>3</v>
      </c>
      <c r="S360" t="s">
        <v>3</v>
      </c>
      <c r="T360" t="s">
        <v>7</v>
      </c>
      <c r="U360">
        <v>1</v>
      </c>
      <c r="V360">
        <v>1</v>
      </c>
      <c r="W360">
        <v>0</v>
      </c>
      <c r="X360">
        <v>2</v>
      </c>
      <c r="Y360">
        <v>1</v>
      </c>
      <c r="Z360" t="s">
        <v>15</v>
      </c>
      <c r="AA360" t="s">
        <v>4</v>
      </c>
      <c r="AB360" t="s">
        <v>6</v>
      </c>
      <c r="AC360" t="s">
        <v>7</v>
      </c>
      <c r="AD360" t="s">
        <v>8</v>
      </c>
      <c r="AE360" t="s">
        <v>6</v>
      </c>
      <c r="AF360" t="s">
        <v>3</v>
      </c>
      <c r="AG360" t="s">
        <v>3</v>
      </c>
      <c r="AH360" t="s">
        <v>3</v>
      </c>
      <c r="AI360" t="s">
        <v>3</v>
      </c>
      <c r="AJ360" t="s">
        <v>3</v>
      </c>
      <c r="AK360" t="s">
        <v>7</v>
      </c>
      <c r="AL360">
        <v>0</v>
      </c>
      <c r="AM360">
        <v>0</v>
      </c>
      <c r="AN360">
        <v>0</v>
      </c>
      <c r="AO360">
        <v>0</v>
      </c>
      <c r="AP360">
        <v>0</v>
      </c>
      <c r="AQ360" t="s">
        <v>9</v>
      </c>
      <c r="AR360" s="1">
        <v>5.6130559500000002E-6</v>
      </c>
      <c r="AS360" s="1">
        <v>3.3653148200000001E-28</v>
      </c>
      <c r="AT360">
        <v>16</v>
      </c>
      <c r="AU360" t="s">
        <v>10</v>
      </c>
      <c r="AV360">
        <v>1</v>
      </c>
      <c r="AW360">
        <v>1</v>
      </c>
      <c r="AX360">
        <v>0</v>
      </c>
      <c r="AY360">
        <v>2</v>
      </c>
      <c r="AZ360">
        <v>1</v>
      </c>
      <c r="BA360" t="s">
        <v>15</v>
      </c>
      <c r="BB360" t="s">
        <v>4</v>
      </c>
      <c r="BC360" t="s">
        <v>10</v>
      </c>
      <c r="BD360">
        <v>0</v>
      </c>
      <c r="BE360">
        <v>0</v>
      </c>
      <c r="BF360">
        <v>0</v>
      </c>
      <c r="BG360">
        <v>0</v>
      </c>
      <c r="BH360">
        <v>0</v>
      </c>
      <c r="BI360" t="s">
        <v>9</v>
      </c>
      <c r="BJ360">
        <v>-2.8100000000000002E-6</v>
      </c>
      <c r="BK360">
        <v>0</v>
      </c>
      <c r="BL360">
        <v>-4.8600000000000001E-6</v>
      </c>
      <c r="BM360" s="2">
        <f t="shared" si="5"/>
        <v>2.0266399682366656E-9</v>
      </c>
    </row>
    <row r="361" spans="1:65" x14ac:dyDescent="0.35">
      <c r="A361">
        <v>0</v>
      </c>
      <c r="B361" t="s">
        <v>3</v>
      </c>
      <c r="C361" t="s">
        <v>4</v>
      </c>
      <c r="D361">
        <v>0</v>
      </c>
      <c r="E361" t="s">
        <v>3</v>
      </c>
      <c r="F361" t="s">
        <v>5</v>
      </c>
      <c r="G361">
        <v>4899.713831</v>
      </c>
      <c r="H361" t="s">
        <v>4</v>
      </c>
      <c r="I361">
        <v>990.16341899999998</v>
      </c>
      <c r="J361">
        <v>3909.5504120000001</v>
      </c>
      <c r="K361" t="s">
        <v>6</v>
      </c>
      <c r="L361" t="s">
        <v>7</v>
      </c>
      <c r="M361" t="s">
        <v>8</v>
      </c>
      <c r="N361" t="s">
        <v>6</v>
      </c>
      <c r="O361" t="s">
        <v>3</v>
      </c>
      <c r="P361" t="s">
        <v>3</v>
      </c>
      <c r="Q361" t="s">
        <v>3</v>
      </c>
      <c r="R361" t="s">
        <v>3</v>
      </c>
      <c r="S361" t="s">
        <v>3</v>
      </c>
      <c r="T361" t="s">
        <v>7</v>
      </c>
      <c r="U361">
        <v>2</v>
      </c>
      <c r="V361">
        <v>1</v>
      </c>
      <c r="W361">
        <v>0</v>
      </c>
      <c r="X361">
        <v>0</v>
      </c>
      <c r="Y361">
        <v>1</v>
      </c>
      <c r="Z361" t="s">
        <v>9</v>
      </c>
      <c r="AA361" t="s">
        <v>4</v>
      </c>
      <c r="AB361" t="s">
        <v>6</v>
      </c>
      <c r="AC361" t="s">
        <v>7</v>
      </c>
      <c r="AD361" t="s">
        <v>8</v>
      </c>
      <c r="AE361" t="s">
        <v>6</v>
      </c>
      <c r="AF361" t="s">
        <v>3</v>
      </c>
      <c r="AG361" t="s">
        <v>3</v>
      </c>
      <c r="AH361" t="s">
        <v>3</v>
      </c>
      <c r="AI361" t="s">
        <v>3</v>
      </c>
      <c r="AJ361" t="s">
        <v>3</v>
      </c>
      <c r="AK361" t="s">
        <v>7</v>
      </c>
      <c r="AL361">
        <v>0</v>
      </c>
      <c r="AM361">
        <v>0</v>
      </c>
      <c r="AN361">
        <v>0</v>
      </c>
      <c r="AO361">
        <v>0</v>
      </c>
      <c r="AP361">
        <v>0</v>
      </c>
      <c r="AQ361" t="s">
        <v>9</v>
      </c>
      <c r="AR361" s="1">
        <v>9.8638827800000002E-5</v>
      </c>
      <c r="AS361" s="1">
        <v>1.0219715E-25</v>
      </c>
      <c r="AT361">
        <v>16</v>
      </c>
      <c r="AU361" t="s">
        <v>10</v>
      </c>
      <c r="AV361">
        <v>2</v>
      </c>
      <c r="AW361">
        <v>1</v>
      </c>
      <c r="AX361">
        <v>0</v>
      </c>
      <c r="AY361">
        <v>0</v>
      </c>
      <c r="AZ361">
        <v>1</v>
      </c>
      <c r="BA361" t="s">
        <v>9</v>
      </c>
      <c r="BB361" t="s">
        <v>4</v>
      </c>
      <c r="BC361" t="s">
        <v>10</v>
      </c>
      <c r="BD361">
        <v>0</v>
      </c>
      <c r="BE361">
        <v>0</v>
      </c>
      <c r="BF361">
        <v>0</v>
      </c>
      <c r="BG361">
        <v>0</v>
      </c>
      <c r="BH361">
        <v>0</v>
      </c>
      <c r="BI361" t="s">
        <v>9</v>
      </c>
      <c r="BJ361">
        <v>2.9539999999999998E-5</v>
      </c>
      <c r="BK361">
        <v>0</v>
      </c>
      <c r="BL361">
        <v>-9.4110000000000005E-5</v>
      </c>
      <c r="BM361" s="2">
        <f t="shared" si="5"/>
        <v>6.1544562665872004E-7</v>
      </c>
    </row>
    <row r="362" spans="1:65" x14ac:dyDescent="0.35">
      <c r="A362">
        <v>0</v>
      </c>
      <c r="B362" t="s">
        <v>11</v>
      </c>
      <c r="C362" t="s">
        <v>4</v>
      </c>
      <c r="D362">
        <v>0</v>
      </c>
      <c r="E362" t="s">
        <v>3</v>
      </c>
      <c r="F362" t="s">
        <v>5</v>
      </c>
      <c r="G362">
        <v>4133.7942059999996</v>
      </c>
      <c r="H362" t="s">
        <v>4</v>
      </c>
      <c r="I362">
        <v>990.16341899999998</v>
      </c>
      <c r="J362">
        <v>3143.6307870000001</v>
      </c>
      <c r="K362" t="s">
        <v>6</v>
      </c>
      <c r="L362" t="s">
        <v>7</v>
      </c>
      <c r="M362" t="s">
        <v>8</v>
      </c>
      <c r="N362" t="s">
        <v>6</v>
      </c>
      <c r="O362" t="s">
        <v>3</v>
      </c>
      <c r="P362" t="s">
        <v>3</v>
      </c>
      <c r="Q362" t="s">
        <v>3</v>
      </c>
      <c r="R362" t="s">
        <v>3</v>
      </c>
      <c r="S362" t="s">
        <v>11</v>
      </c>
      <c r="T362" t="s">
        <v>7</v>
      </c>
      <c r="U362">
        <v>0</v>
      </c>
      <c r="V362">
        <v>0</v>
      </c>
      <c r="W362">
        <v>0</v>
      </c>
      <c r="X362">
        <v>3</v>
      </c>
      <c r="Y362">
        <v>0</v>
      </c>
      <c r="Z362" t="s">
        <v>23</v>
      </c>
      <c r="AA362" t="s">
        <v>4</v>
      </c>
      <c r="AB362" t="s">
        <v>6</v>
      </c>
      <c r="AC362" t="s">
        <v>7</v>
      </c>
      <c r="AD362" t="s">
        <v>8</v>
      </c>
      <c r="AE362" t="s">
        <v>6</v>
      </c>
      <c r="AF362" t="s">
        <v>3</v>
      </c>
      <c r="AG362" t="s">
        <v>3</v>
      </c>
      <c r="AH362" t="s">
        <v>3</v>
      </c>
      <c r="AI362" t="s">
        <v>3</v>
      </c>
      <c r="AJ362" t="s">
        <v>3</v>
      </c>
      <c r="AK362" t="s">
        <v>7</v>
      </c>
      <c r="AL362">
        <v>0</v>
      </c>
      <c r="AM362">
        <v>0</v>
      </c>
      <c r="AN362">
        <v>0</v>
      </c>
      <c r="AO362">
        <v>0</v>
      </c>
      <c r="AP362">
        <v>0</v>
      </c>
      <c r="AQ362" t="s">
        <v>9</v>
      </c>
      <c r="AR362" s="1">
        <v>6.0770214300000003E-5</v>
      </c>
      <c r="AS362" s="1">
        <v>3.1190987200000001E-26</v>
      </c>
      <c r="AT362">
        <v>18</v>
      </c>
      <c r="AU362" t="s">
        <v>10</v>
      </c>
      <c r="AV362">
        <v>0</v>
      </c>
      <c r="AW362">
        <v>0</v>
      </c>
      <c r="AX362">
        <v>0</v>
      </c>
      <c r="AY362">
        <v>3</v>
      </c>
      <c r="AZ362">
        <v>0</v>
      </c>
      <c r="BA362" t="s">
        <v>23</v>
      </c>
      <c r="BB362" t="s">
        <v>4</v>
      </c>
      <c r="BC362" t="s">
        <v>10</v>
      </c>
      <c r="BD362">
        <v>0</v>
      </c>
      <c r="BE362">
        <v>0</v>
      </c>
      <c r="BF362">
        <v>0</v>
      </c>
      <c r="BG362">
        <v>0</v>
      </c>
      <c r="BH362">
        <v>0</v>
      </c>
      <c r="BI362" t="s">
        <v>9</v>
      </c>
      <c r="BJ362">
        <v>0</v>
      </c>
      <c r="BK362">
        <v>6.0770000000000003E-5</v>
      </c>
      <c r="BL362">
        <v>0</v>
      </c>
      <c r="BM362" s="2">
        <f t="shared" si="5"/>
        <v>1.8783651660939778E-7</v>
      </c>
    </row>
    <row r="363" spans="1:65" x14ac:dyDescent="0.35">
      <c r="A363">
        <v>0</v>
      </c>
      <c r="B363" t="s">
        <v>3</v>
      </c>
      <c r="C363" t="s">
        <v>4</v>
      </c>
      <c r="D363">
        <v>0</v>
      </c>
      <c r="E363" t="s">
        <v>3</v>
      </c>
      <c r="F363" t="s">
        <v>5</v>
      </c>
      <c r="G363">
        <v>3935.0686740000001</v>
      </c>
      <c r="H363" t="s">
        <v>4</v>
      </c>
      <c r="I363">
        <v>990.16341899999998</v>
      </c>
      <c r="J363">
        <v>2944.9052550000001</v>
      </c>
      <c r="K363" t="s">
        <v>6</v>
      </c>
      <c r="L363" t="s">
        <v>7</v>
      </c>
      <c r="M363" t="s">
        <v>8</v>
      </c>
      <c r="N363" t="s">
        <v>6</v>
      </c>
      <c r="O363" t="s">
        <v>3</v>
      </c>
      <c r="P363" t="s">
        <v>3</v>
      </c>
      <c r="Q363" t="s">
        <v>3</v>
      </c>
      <c r="R363" t="s">
        <v>3</v>
      </c>
      <c r="S363" t="s">
        <v>3</v>
      </c>
      <c r="T363" t="s">
        <v>7</v>
      </c>
      <c r="U363">
        <v>0</v>
      </c>
      <c r="V363">
        <v>2</v>
      </c>
      <c r="W363">
        <v>0</v>
      </c>
      <c r="X363">
        <v>1</v>
      </c>
      <c r="Y363">
        <v>0</v>
      </c>
      <c r="Z363" t="s">
        <v>15</v>
      </c>
      <c r="AA363" t="s">
        <v>4</v>
      </c>
      <c r="AB363" t="s">
        <v>6</v>
      </c>
      <c r="AC363" t="s">
        <v>7</v>
      </c>
      <c r="AD363" t="s">
        <v>8</v>
      </c>
      <c r="AE363" t="s">
        <v>6</v>
      </c>
      <c r="AF363" t="s">
        <v>3</v>
      </c>
      <c r="AG363" t="s">
        <v>3</v>
      </c>
      <c r="AH363" t="s">
        <v>3</v>
      </c>
      <c r="AI363" t="s">
        <v>3</v>
      </c>
      <c r="AJ363" t="s">
        <v>3</v>
      </c>
      <c r="AK363" t="s">
        <v>7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9</v>
      </c>
      <c r="AR363" s="1">
        <v>6.7739081799999997E-5</v>
      </c>
      <c r="AS363" s="1">
        <v>3.6304947299999998E-26</v>
      </c>
      <c r="AT363">
        <v>15</v>
      </c>
      <c r="AU363" t="s">
        <v>10</v>
      </c>
      <c r="AV363">
        <v>0</v>
      </c>
      <c r="AW363">
        <v>2</v>
      </c>
      <c r="AX363">
        <v>0</v>
      </c>
      <c r="AY363">
        <v>1</v>
      </c>
      <c r="AZ363">
        <v>0</v>
      </c>
      <c r="BA363" t="s">
        <v>15</v>
      </c>
      <c r="BB363" t="s">
        <v>4</v>
      </c>
      <c r="BC363" t="s">
        <v>10</v>
      </c>
      <c r="BD363">
        <v>0</v>
      </c>
      <c r="BE363">
        <v>0</v>
      </c>
      <c r="BF363">
        <v>0</v>
      </c>
      <c r="BG363">
        <v>0</v>
      </c>
      <c r="BH363">
        <v>0</v>
      </c>
      <c r="BI363" t="s">
        <v>9</v>
      </c>
      <c r="BJ363">
        <v>6.7730000000000004E-5</v>
      </c>
      <c r="BK363">
        <v>0</v>
      </c>
      <c r="BL363">
        <v>1.1799999999999999E-6</v>
      </c>
      <c r="BM363" s="2">
        <f t="shared" si="5"/>
        <v>2.1863350437717983E-7</v>
      </c>
    </row>
    <row r="364" spans="1:65" x14ac:dyDescent="0.35">
      <c r="A364">
        <v>0</v>
      </c>
      <c r="B364" t="s">
        <v>3</v>
      </c>
      <c r="C364" t="s">
        <v>4</v>
      </c>
      <c r="D364">
        <v>0</v>
      </c>
      <c r="E364" t="s">
        <v>3</v>
      </c>
      <c r="F364" t="s">
        <v>5</v>
      </c>
      <c r="G364">
        <v>2693.5632270000001</v>
      </c>
      <c r="H364" t="s">
        <v>4</v>
      </c>
      <c r="I364">
        <v>990.16341899999998</v>
      </c>
      <c r="J364">
        <v>1703.3998079999999</v>
      </c>
      <c r="K364" t="s">
        <v>6</v>
      </c>
      <c r="L364" t="s">
        <v>7</v>
      </c>
      <c r="M364" t="s">
        <v>8</v>
      </c>
      <c r="N364" t="s">
        <v>6</v>
      </c>
      <c r="O364" t="s">
        <v>3</v>
      </c>
      <c r="P364" t="s">
        <v>3</v>
      </c>
      <c r="Q364" t="s">
        <v>3</v>
      </c>
      <c r="R364" t="s">
        <v>3</v>
      </c>
      <c r="S364" t="s">
        <v>3</v>
      </c>
      <c r="T364" t="s">
        <v>7</v>
      </c>
      <c r="U364">
        <v>1</v>
      </c>
      <c r="V364">
        <v>0</v>
      </c>
      <c r="W364">
        <v>0</v>
      </c>
      <c r="X364">
        <v>0</v>
      </c>
      <c r="Y364">
        <v>0</v>
      </c>
      <c r="Z364" t="s">
        <v>21</v>
      </c>
      <c r="AA364" t="s">
        <v>4</v>
      </c>
      <c r="AB364" t="s">
        <v>6</v>
      </c>
      <c r="AC364" t="s">
        <v>7</v>
      </c>
      <c r="AD364" t="s">
        <v>8</v>
      </c>
      <c r="AE364" t="s">
        <v>6</v>
      </c>
      <c r="AF364" t="s">
        <v>3</v>
      </c>
      <c r="AG364" t="s">
        <v>3</v>
      </c>
      <c r="AH364" t="s">
        <v>3</v>
      </c>
      <c r="AI364" t="s">
        <v>3</v>
      </c>
      <c r="AJ364" t="s">
        <v>3</v>
      </c>
      <c r="AK364" t="s">
        <v>7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9</v>
      </c>
      <c r="AR364" s="1">
        <v>9.9753857000000005E-3</v>
      </c>
      <c r="AS364" s="1">
        <v>4.5527698900000004E-22</v>
      </c>
      <c r="AT364">
        <v>15</v>
      </c>
      <c r="AU364" t="s">
        <v>10</v>
      </c>
      <c r="AV364">
        <v>1</v>
      </c>
      <c r="AW364">
        <v>0</v>
      </c>
      <c r="AX364">
        <v>0</v>
      </c>
      <c r="AY364">
        <v>0</v>
      </c>
      <c r="AZ364">
        <v>0</v>
      </c>
      <c r="BA364" t="s">
        <v>21</v>
      </c>
      <c r="BB364" t="s">
        <v>4</v>
      </c>
      <c r="BC364" t="s">
        <v>10</v>
      </c>
      <c r="BD364">
        <v>0</v>
      </c>
      <c r="BE364">
        <v>0</v>
      </c>
      <c r="BF364">
        <v>0</v>
      </c>
      <c r="BG364">
        <v>0</v>
      </c>
      <c r="BH364">
        <v>0</v>
      </c>
      <c r="BI364" t="s">
        <v>9</v>
      </c>
      <c r="BJ364">
        <v>-2.2683999999999999E-4</v>
      </c>
      <c r="BK364">
        <v>0</v>
      </c>
      <c r="BL364">
        <v>-9.9728100000000004E-3</v>
      </c>
      <c r="BM364" s="2">
        <f t="shared" si="5"/>
        <v>2.7417421307580512E-3</v>
      </c>
    </row>
    <row r="365" spans="1:65" x14ac:dyDescent="0.35">
      <c r="A365">
        <v>0</v>
      </c>
      <c r="B365" t="s">
        <v>11</v>
      </c>
      <c r="C365" t="s">
        <v>4</v>
      </c>
      <c r="D365">
        <v>0</v>
      </c>
      <c r="E365" t="s">
        <v>3</v>
      </c>
      <c r="F365" t="s">
        <v>5</v>
      </c>
      <c r="G365">
        <v>4605.4463269999997</v>
      </c>
      <c r="H365" t="s">
        <v>4</v>
      </c>
      <c r="I365">
        <v>990.16341899999998</v>
      </c>
      <c r="J365">
        <v>3615.2829080000001</v>
      </c>
      <c r="K365" t="s">
        <v>6</v>
      </c>
      <c r="L365" t="s">
        <v>7</v>
      </c>
      <c r="M365" t="s">
        <v>8</v>
      </c>
      <c r="N365" t="s">
        <v>6</v>
      </c>
      <c r="O365" t="s">
        <v>3</v>
      </c>
      <c r="P365" t="s">
        <v>3</v>
      </c>
      <c r="Q365" t="s">
        <v>3</v>
      </c>
      <c r="R365" t="s">
        <v>3</v>
      </c>
      <c r="S365" t="s">
        <v>11</v>
      </c>
      <c r="T365" t="s">
        <v>7</v>
      </c>
      <c r="U365">
        <v>0</v>
      </c>
      <c r="V365">
        <v>1</v>
      </c>
      <c r="W365">
        <v>0</v>
      </c>
      <c r="X365">
        <v>0</v>
      </c>
      <c r="Y365">
        <v>2</v>
      </c>
      <c r="Z365" t="s">
        <v>14</v>
      </c>
      <c r="AA365" t="s">
        <v>4</v>
      </c>
      <c r="AB365" t="s">
        <v>6</v>
      </c>
      <c r="AC365" t="s">
        <v>7</v>
      </c>
      <c r="AD365" t="s">
        <v>8</v>
      </c>
      <c r="AE365" t="s">
        <v>6</v>
      </c>
      <c r="AF365" t="s">
        <v>3</v>
      </c>
      <c r="AG365" t="s">
        <v>3</v>
      </c>
      <c r="AH365" t="s">
        <v>3</v>
      </c>
      <c r="AI365" t="s">
        <v>3</v>
      </c>
      <c r="AJ365" t="s">
        <v>3</v>
      </c>
      <c r="AK365" t="s">
        <v>7</v>
      </c>
      <c r="AL365">
        <v>0</v>
      </c>
      <c r="AM365">
        <v>0</v>
      </c>
      <c r="AN365">
        <v>0</v>
      </c>
      <c r="AO365">
        <v>0</v>
      </c>
      <c r="AP365">
        <v>0</v>
      </c>
      <c r="AQ365" t="s">
        <v>9</v>
      </c>
      <c r="AR365" s="1">
        <v>3.3222716499999998E-5</v>
      </c>
      <c r="AS365" s="1">
        <v>1.07208377E-26</v>
      </c>
      <c r="AT365">
        <v>18</v>
      </c>
      <c r="AU365" t="s">
        <v>10</v>
      </c>
      <c r="AV365">
        <v>0</v>
      </c>
      <c r="AW365">
        <v>1</v>
      </c>
      <c r="AX365">
        <v>0</v>
      </c>
      <c r="AY365">
        <v>0</v>
      </c>
      <c r="AZ365">
        <v>2</v>
      </c>
      <c r="BA365" t="s">
        <v>14</v>
      </c>
      <c r="BB365" t="s">
        <v>4</v>
      </c>
      <c r="BC365" t="s">
        <v>10</v>
      </c>
      <c r="BD365">
        <v>0</v>
      </c>
      <c r="BE365">
        <v>0</v>
      </c>
      <c r="BF365">
        <v>0</v>
      </c>
      <c r="BG365">
        <v>0</v>
      </c>
      <c r="BH365">
        <v>0</v>
      </c>
      <c r="BI365" t="s">
        <v>9</v>
      </c>
      <c r="BJ365">
        <v>0</v>
      </c>
      <c r="BK365">
        <v>3.3219999999999997E-5</v>
      </c>
      <c r="BL365">
        <v>0</v>
      </c>
      <c r="BM365" s="2">
        <f t="shared" si="5"/>
        <v>6.456239412334816E-8</v>
      </c>
    </row>
    <row r="366" spans="1:65" x14ac:dyDescent="0.35">
      <c r="A366">
        <v>0</v>
      </c>
      <c r="B366" t="s">
        <v>11</v>
      </c>
      <c r="C366" t="s">
        <v>4</v>
      </c>
      <c r="D366">
        <v>0</v>
      </c>
      <c r="E366" t="s">
        <v>3</v>
      </c>
      <c r="F366" t="s">
        <v>5</v>
      </c>
      <c r="G366">
        <v>4522.3644789999998</v>
      </c>
      <c r="H366" t="s">
        <v>4</v>
      </c>
      <c r="I366">
        <v>990.16341899999998</v>
      </c>
      <c r="J366">
        <v>3532.2010599999999</v>
      </c>
      <c r="K366" t="s">
        <v>6</v>
      </c>
      <c r="L366" t="s">
        <v>7</v>
      </c>
      <c r="M366" t="s">
        <v>8</v>
      </c>
      <c r="N366" t="s">
        <v>6</v>
      </c>
      <c r="O366" t="s">
        <v>3</v>
      </c>
      <c r="P366" t="s">
        <v>3</v>
      </c>
      <c r="Q366" t="s">
        <v>3</v>
      </c>
      <c r="R366" t="s">
        <v>3</v>
      </c>
      <c r="S366" t="s">
        <v>11</v>
      </c>
      <c r="T366" t="s">
        <v>7</v>
      </c>
      <c r="U366">
        <v>0</v>
      </c>
      <c r="V366">
        <v>0</v>
      </c>
      <c r="W366">
        <v>0</v>
      </c>
      <c r="X366">
        <v>7</v>
      </c>
      <c r="Y366">
        <v>0</v>
      </c>
      <c r="Z366" t="s">
        <v>13</v>
      </c>
      <c r="AA366" t="s">
        <v>4</v>
      </c>
      <c r="AB366" t="s">
        <v>6</v>
      </c>
      <c r="AC366" t="s">
        <v>7</v>
      </c>
      <c r="AD366" t="s">
        <v>8</v>
      </c>
      <c r="AE366" t="s">
        <v>6</v>
      </c>
      <c r="AF366" t="s">
        <v>3</v>
      </c>
      <c r="AG366" t="s">
        <v>3</v>
      </c>
      <c r="AH366" t="s">
        <v>3</v>
      </c>
      <c r="AI366" t="s">
        <v>3</v>
      </c>
      <c r="AJ366" t="s">
        <v>3</v>
      </c>
      <c r="AK366" t="s">
        <v>7</v>
      </c>
      <c r="AL366">
        <v>0</v>
      </c>
      <c r="AM366">
        <v>0</v>
      </c>
      <c r="AN366">
        <v>0</v>
      </c>
      <c r="AO366">
        <v>0</v>
      </c>
      <c r="AP366">
        <v>0</v>
      </c>
      <c r="AQ366" t="s">
        <v>9</v>
      </c>
      <c r="AR366" s="1">
        <v>2.5065648200000001E-5</v>
      </c>
      <c r="AS366" s="1">
        <v>5.96237711E-27</v>
      </c>
      <c r="AT366">
        <v>15</v>
      </c>
      <c r="AU366" t="s">
        <v>10</v>
      </c>
      <c r="AV366">
        <v>0</v>
      </c>
      <c r="AW366">
        <v>0</v>
      </c>
      <c r="AX366">
        <v>0</v>
      </c>
      <c r="AY366">
        <v>7</v>
      </c>
      <c r="AZ366">
        <v>0</v>
      </c>
      <c r="BA366" t="s">
        <v>13</v>
      </c>
      <c r="BB366" t="s">
        <v>4</v>
      </c>
      <c r="BC366" t="s">
        <v>10</v>
      </c>
      <c r="BD366">
        <v>0</v>
      </c>
      <c r="BE366">
        <v>0</v>
      </c>
      <c r="BF366">
        <v>0</v>
      </c>
      <c r="BG366">
        <v>0</v>
      </c>
      <c r="BH366">
        <v>0</v>
      </c>
      <c r="BI366" t="s">
        <v>9</v>
      </c>
      <c r="BJ366">
        <v>0</v>
      </c>
      <c r="BK366">
        <v>2.5069999999999999E-5</v>
      </c>
      <c r="BL366">
        <v>0</v>
      </c>
      <c r="BM366" s="2">
        <f t="shared" si="5"/>
        <v>3.5906274459117088E-8</v>
      </c>
    </row>
    <row r="367" spans="1:65" x14ac:dyDescent="0.35">
      <c r="A367">
        <v>0</v>
      </c>
      <c r="B367" t="s">
        <v>11</v>
      </c>
      <c r="C367" t="s">
        <v>4</v>
      </c>
      <c r="D367">
        <v>0</v>
      </c>
      <c r="E367" t="s">
        <v>3</v>
      </c>
      <c r="F367" t="s">
        <v>5</v>
      </c>
      <c r="G367">
        <v>4840.4521599999998</v>
      </c>
      <c r="H367" t="s">
        <v>4</v>
      </c>
      <c r="I367">
        <v>990.16341899999998</v>
      </c>
      <c r="J367">
        <v>3850.2887409999998</v>
      </c>
      <c r="K367" t="s">
        <v>6</v>
      </c>
      <c r="L367" t="s">
        <v>7</v>
      </c>
      <c r="M367" t="s">
        <v>8</v>
      </c>
      <c r="N367" t="s">
        <v>6</v>
      </c>
      <c r="O367" t="s">
        <v>3</v>
      </c>
      <c r="P367" t="s">
        <v>3</v>
      </c>
      <c r="Q367" t="s">
        <v>3</v>
      </c>
      <c r="R367" t="s">
        <v>3</v>
      </c>
      <c r="S367" t="s">
        <v>11</v>
      </c>
      <c r="T367" t="s">
        <v>7</v>
      </c>
      <c r="U367">
        <v>0</v>
      </c>
      <c r="V367">
        <v>0</v>
      </c>
      <c r="W367">
        <v>0</v>
      </c>
      <c r="X367">
        <v>3</v>
      </c>
      <c r="Y367">
        <v>0</v>
      </c>
      <c r="Z367" t="s">
        <v>25</v>
      </c>
      <c r="AA367" t="s">
        <v>4</v>
      </c>
      <c r="AB367" t="s">
        <v>6</v>
      </c>
      <c r="AC367" t="s">
        <v>7</v>
      </c>
      <c r="AD367" t="s">
        <v>8</v>
      </c>
      <c r="AE367" t="s">
        <v>6</v>
      </c>
      <c r="AF367" t="s">
        <v>3</v>
      </c>
      <c r="AG367" t="s">
        <v>3</v>
      </c>
      <c r="AH367" t="s">
        <v>3</v>
      </c>
      <c r="AI367" t="s">
        <v>3</v>
      </c>
      <c r="AJ367" t="s">
        <v>3</v>
      </c>
      <c r="AK367" t="s">
        <v>7</v>
      </c>
      <c r="AL367">
        <v>0</v>
      </c>
      <c r="AM367">
        <v>0</v>
      </c>
      <c r="AN367">
        <v>0</v>
      </c>
      <c r="AO367">
        <v>0</v>
      </c>
      <c r="AP367">
        <v>0</v>
      </c>
      <c r="AQ367" t="s">
        <v>9</v>
      </c>
      <c r="AR367" s="1">
        <v>1.781692E-6</v>
      </c>
      <c r="AS367" s="1">
        <v>3.2837850200000001E-29</v>
      </c>
      <c r="AT367">
        <v>16</v>
      </c>
      <c r="AU367" t="s">
        <v>10</v>
      </c>
      <c r="AV367">
        <v>0</v>
      </c>
      <c r="AW367">
        <v>0</v>
      </c>
      <c r="AX367">
        <v>0</v>
      </c>
      <c r="AY367">
        <v>3</v>
      </c>
      <c r="AZ367">
        <v>0</v>
      </c>
      <c r="BA367" t="s">
        <v>25</v>
      </c>
      <c r="BB367" t="s">
        <v>4</v>
      </c>
      <c r="BC367" t="s">
        <v>10</v>
      </c>
      <c r="BD367">
        <v>0</v>
      </c>
      <c r="BE367">
        <v>0</v>
      </c>
      <c r="BF367">
        <v>0</v>
      </c>
      <c r="BG367">
        <v>0</v>
      </c>
      <c r="BH367">
        <v>0</v>
      </c>
      <c r="BI367" t="s">
        <v>9</v>
      </c>
      <c r="BJ367">
        <v>0</v>
      </c>
      <c r="BK367">
        <v>1.7799999999999999E-6</v>
      </c>
      <c r="BL367">
        <v>0</v>
      </c>
      <c r="BM367" s="2">
        <f t="shared" si="5"/>
        <v>1.9775415747370814E-10</v>
      </c>
    </row>
    <row r="368" spans="1:65" x14ac:dyDescent="0.35">
      <c r="A368">
        <v>0</v>
      </c>
      <c r="B368" t="s">
        <v>11</v>
      </c>
      <c r="C368" t="s">
        <v>4</v>
      </c>
      <c r="D368">
        <v>0</v>
      </c>
      <c r="E368" t="s">
        <v>3</v>
      </c>
      <c r="F368" t="s">
        <v>5</v>
      </c>
      <c r="G368">
        <v>4669.3345090000003</v>
      </c>
      <c r="H368" t="s">
        <v>4</v>
      </c>
      <c r="I368">
        <v>990.16341899999998</v>
      </c>
      <c r="J368">
        <v>3679.1710899999998</v>
      </c>
      <c r="K368" t="s">
        <v>6</v>
      </c>
      <c r="L368" t="s">
        <v>7</v>
      </c>
      <c r="M368" t="s">
        <v>8</v>
      </c>
      <c r="N368" t="s">
        <v>6</v>
      </c>
      <c r="O368" t="s">
        <v>3</v>
      </c>
      <c r="P368" t="s">
        <v>3</v>
      </c>
      <c r="Q368" t="s">
        <v>3</v>
      </c>
      <c r="R368" t="s">
        <v>3</v>
      </c>
      <c r="S368" t="s">
        <v>11</v>
      </c>
      <c r="T368" t="s">
        <v>7</v>
      </c>
      <c r="U368">
        <v>0</v>
      </c>
      <c r="V368">
        <v>0</v>
      </c>
      <c r="W368">
        <v>0</v>
      </c>
      <c r="X368">
        <v>1</v>
      </c>
      <c r="Y368">
        <v>2</v>
      </c>
      <c r="Z368" t="s">
        <v>19</v>
      </c>
      <c r="AA368" t="s">
        <v>4</v>
      </c>
      <c r="AB368" t="s">
        <v>6</v>
      </c>
      <c r="AC368" t="s">
        <v>7</v>
      </c>
      <c r="AD368" t="s">
        <v>8</v>
      </c>
      <c r="AE368" t="s">
        <v>6</v>
      </c>
      <c r="AF368" t="s">
        <v>3</v>
      </c>
      <c r="AG368" t="s">
        <v>3</v>
      </c>
      <c r="AH368" t="s">
        <v>3</v>
      </c>
      <c r="AI368" t="s">
        <v>3</v>
      </c>
      <c r="AJ368" t="s">
        <v>3</v>
      </c>
      <c r="AK368" t="s">
        <v>7</v>
      </c>
      <c r="AL368">
        <v>0</v>
      </c>
      <c r="AM368">
        <v>0</v>
      </c>
      <c r="AN368">
        <v>0</v>
      </c>
      <c r="AO368">
        <v>0</v>
      </c>
      <c r="AP368">
        <v>0</v>
      </c>
      <c r="AQ368" t="s">
        <v>9</v>
      </c>
      <c r="AR368" s="1">
        <v>1.63571888E-5</v>
      </c>
      <c r="AS368" s="1">
        <v>2.6447429799999998E-27</v>
      </c>
      <c r="AT368">
        <v>16</v>
      </c>
      <c r="AU368" t="s">
        <v>10</v>
      </c>
      <c r="AV368">
        <v>0</v>
      </c>
      <c r="AW368">
        <v>0</v>
      </c>
      <c r="AX368">
        <v>0</v>
      </c>
      <c r="AY368">
        <v>1</v>
      </c>
      <c r="AZ368">
        <v>2</v>
      </c>
      <c r="BA368" t="s">
        <v>19</v>
      </c>
      <c r="BB368" t="s">
        <v>4</v>
      </c>
      <c r="BC368" t="s">
        <v>10</v>
      </c>
      <c r="BD368">
        <v>0</v>
      </c>
      <c r="BE368">
        <v>0</v>
      </c>
      <c r="BF368">
        <v>0</v>
      </c>
      <c r="BG368">
        <v>0</v>
      </c>
      <c r="BH368">
        <v>0</v>
      </c>
      <c r="BI368" t="s">
        <v>9</v>
      </c>
      <c r="BJ368">
        <v>0</v>
      </c>
      <c r="BK368">
        <v>1.6359999999999999E-5</v>
      </c>
      <c r="BL368">
        <v>0</v>
      </c>
      <c r="BM368" s="2">
        <f t="shared" si="5"/>
        <v>1.5927014605371581E-8</v>
      </c>
    </row>
    <row r="369" spans="1:65" x14ac:dyDescent="0.35">
      <c r="A369">
        <v>0</v>
      </c>
      <c r="B369" t="s">
        <v>3</v>
      </c>
      <c r="C369" t="s">
        <v>4</v>
      </c>
      <c r="D369">
        <v>0</v>
      </c>
      <c r="E369" t="s">
        <v>3</v>
      </c>
      <c r="F369" t="s">
        <v>5</v>
      </c>
      <c r="G369">
        <v>3412.5647429999999</v>
      </c>
      <c r="H369" t="s">
        <v>4</v>
      </c>
      <c r="I369">
        <v>990.16341899999998</v>
      </c>
      <c r="J369">
        <v>2422.4013239999999</v>
      </c>
      <c r="K369" t="s">
        <v>6</v>
      </c>
      <c r="L369" t="s">
        <v>7</v>
      </c>
      <c r="M369" t="s">
        <v>8</v>
      </c>
      <c r="N369" t="s">
        <v>6</v>
      </c>
      <c r="O369" t="s">
        <v>3</v>
      </c>
      <c r="P369" t="s">
        <v>3</v>
      </c>
      <c r="Q369" t="s">
        <v>3</v>
      </c>
      <c r="R369" t="s">
        <v>3</v>
      </c>
      <c r="S369" t="s">
        <v>3</v>
      </c>
      <c r="T369" t="s">
        <v>7</v>
      </c>
      <c r="U369">
        <v>0</v>
      </c>
      <c r="V369">
        <v>2</v>
      </c>
      <c r="W369">
        <v>0</v>
      </c>
      <c r="X369">
        <v>0</v>
      </c>
      <c r="Y369">
        <v>1</v>
      </c>
      <c r="Z369" t="s">
        <v>8</v>
      </c>
      <c r="AA369" t="s">
        <v>4</v>
      </c>
      <c r="AB369" t="s">
        <v>6</v>
      </c>
      <c r="AC369" t="s">
        <v>7</v>
      </c>
      <c r="AD369" t="s">
        <v>8</v>
      </c>
      <c r="AE369" t="s">
        <v>6</v>
      </c>
      <c r="AF369" t="s">
        <v>3</v>
      </c>
      <c r="AG369" t="s">
        <v>3</v>
      </c>
      <c r="AH369" t="s">
        <v>3</v>
      </c>
      <c r="AI369" t="s">
        <v>3</v>
      </c>
      <c r="AJ369" t="s">
        <v>3</v>
      </c>
      <c r="AK369" t="s">
        <v>7</v>
      </c>
      <c r="AL369">
        <v>0</v>
      </c>
      <c r="AM369">
        <v>0</v>
      </c>
      <c r="AN369">
        <v>0</v>
      </c>
      <c r="AO369">
        <v>0</v>
      </c>
      <c r="AP369">
        <v>0</v>
      </c>
      <c r="AQ369" t="s">
        <v>9</v>
      </c>
      <c r="AR369" s="1">
        <v>1.8461803200000001E-4</v>
      </c>
      <c r="AS369" s="1">
        <v>2.2182315299999999E-25</v>
      </c>
      <c r="AT369">
        <v>18</v>
      </c>
      <c r="AU369" t="s">
        <v>10</v>
      </c>
      <c r="AV369">
        <v>0</v>
      </c>
      <c r="AW369">
        <v>2</v>
      </c>
      <c r="AX369">
        <v>0</v>
      </c>
      <c r="AY369">
        <v>0</v>
      </c>
      <c r="AZ369">
        <v>1</v>
      </c>
      <c r="BA369" t="s">
        <v>8</v>
      </c>
      <c r="BB369" t="s">
        <v>4</v>
      </c>
      <c r="BC369" t="s">
        <v>10</v>
      </c>
      <c r="BD369">
        <v>0</v>
      </c>
      <c r="BE369">
        <v>0</v>
      </c>
      <c r="BF369">
        <v>0</v>
      </c>
      <c r="BG369">
        <v>0</v>
      </c>
      <c r="BH369">
        <v>0</v>
      </c>
      <c r="BI369" t="s">
        <v>9</v>
      </c>
      <c r="BJ369">
        <v>1.8065999999999999E-4</v>
      </c>
      <c r="BK369">
        <v>0</v>
      </c>
      <c r="BL369">
        <v>-3.803E-5</v>
      </c>
      <c r="BM369" s="2">
        <f t="shared" si="5"/>
        <v>1.3358502600659423E-6</v>
      </c>
    </row>
    <row r="370" spans="1:65" x14ac:dyDescent="0.35">
      <c r="A370">
        <v>0</v>
      </c>
      <c r="B370" t="s">
        <v>3</v>
      </c>
      <c r="C370" t="s">
        <v>4</v>
      </c>
      <c r="D370">
        <v>0</v>
      </c>
      <c r="E370" t="s">
        <v>3</v>
      </c>
      <c r="F370" t="s">
        <v>5</v>
      </c>
      <c r="G370">
        <v>4425.7350230000002</v>
      </c>
      <c r="H370" t="s">
        <v>4</v>
      </c>
      <c r="I370">
        <v>990.16341899999998</v>
      </c>
      <c r="J370">
        <v>3435.5716040000002</v>
      </c>
      <c r="K370" t="s">
        <v>6</v>
      </c>
      <c r="L370" t="s">
        <v>7</v>
      </c>
      <c r="M370" t="s">
        <v>8</v>
      </c>
      <c r="N370" t="s">
        <v>6</v>
      </c>
      <c r="O370" t="s">
        <v>3</v>
      </c>
      <c r="P370" t="s">
        <v>3</v>
      </c>
      <c r="Q370" t="s">
        <v>3</v>
      </c>
      <c r="R370" t="s">
        <v>3</v>
      </c>
      <c r="S370" t="s">
        <v>3</v>
      </c>
      <c r="T370" t="s">
        <v>7</v>
      </c>
      <c r="U370">
        <v>4</v>
      </c>
      <c r="V370">
        <v>0</v>
      </c>
      <c r="W370">
        <v>0</v>
      </c>
      <c r="X370">
        <v>0</v>
      </c>
      <c r="Y370">
        <v>0</v>
      </c>
      <c r="Z370" t="s">
        <v>15</v>
      </c>
      <c r="AA370" t="s">
        <v>4</v>
      </c>
      <c r="AB370" t="s">
        <v>6</v>
      </c>
      <c r="AC370" t="s">
        <v>7</v>
      </c>
      <c r="AD370" t="s">
        <v>8</v>
      </c>
      <c r="AE370" t="s">
        <v>6</v>
      </c>
      <c r="AF370" t="s">
        <v>3</v>
      </c>
      <c r="AG370" t="s">
        <v>3</v>
      </c>
      <c r="AH370" t="s">
        <v>3</v>
      </c>
      <c r="AI370" t="s">
        <v>3</v>
      </c>
      <c r="AJ370" t="s">
        <v>3</v>
      </c>
      <c r="AK370" t="s">
        <v>7</v>
      </c>
      <c r="AL370">
        <v>0</v>
      </c>
      <c r="AM370">
        <v>0</v>
      </c>
      <c r="AN370">
        <v>0</v>
      </c>
      <c r="AO370">
        <v>0</v>
      </c>
      <c r="AP370">
        <v>0</v>
      </c>
      <c r="AQ370" t="s">
        <v>9</v>
      </c>
      <c r="AR370" s="1">
        <v>7.4356539200000002E-5</v>
      </c>
      <c r="AS370" s="1">
        <v>5.10332794E-26</v>
      </c>
      <c r="AT370">
        <v>2</v>
      </c>
      <c r="AU370" t="s">
        <v>10</v>
      </c>
      <c r="AV370">
        <v>4</v>
      </c>
      <c r="AW370">
        <v>0</v>
      </c>
      <c r="AX370">
        <v>0</v>
      </c>
      <c r="AY370">
        <v>0</v>
      </c>
      <c r="AZ370">
        <v>0</v>
      </c>
      <c r="BA370" t="s">
        <v>15</v>
      </c>
      <c r="BB370" t="s">
        <v>4</v>
      </c>
      <c r="BC370" t="s">
        <v>10</v>
      </c>
      <c r="BD370">
        <v>0</v>
      </c>
      <c r="BE370">
        <v>0</v>
      </c>
      <c r="BF370">
        <v>0</v>
      </c>
      <c r="BG370">
        <v>0</v>
      </c>
      <c r="BH370">
        <v>0</v>
      </c>
      <c r="BI370" t="s">
        <v>9</v>
      </c>
      <c r="BJ370">
        <v>7.4190000000000006E-5</v>
      </c>
      <c r="BK370">
        <v>0</v>
      </c>
      <c r="BL370">
        <v>4.9799999999999998E-6</v>
      </c>
      <c r="BM370" s="2">
        <f t="shared" si="5"/>
        <v>3.0732959403253951E-7</v>
      </c>
    </row>
    <row r="371" spans="1:65" x14ac:dyDescent="0.35">
      <c r="A371">
        <v>0</v>
      </c>
      <c r="B371" t="s">
        <v>3</v>
      </c>
      <c r="C371" t="s">
        <v>4</v>
      </c>
      <c r="D371">
        <v>0</v>
      </c>
      <c r="E371" t="s">
        <v>3</v>
      </c>
      <c r="F371" t="s">
        <v>5</v>
      </c>
      <c r="G371">
        <v>4311.5482140000004</v>
      </c>
      <c r="H371" t="s">
        <v>4</v>
      </c>
      <c r="I371">
        <v>990.16341899999998</v>
      </c>
      <c r="J371">
        <v>3321.3847949999999</v>
      </c>
      <c r="K371" t="s">
        <v>6</v>
      </c>
      <c r="L371" t="s">
        <v>7</v>
      </c>
      <c r="M371" t="s">
        <v>8</v>
      </c>
      <c r="N371" t="s">
        <v>6</v>
      </c>
      <c r="O371" t="s">
        <v>3</v>
      </c>
      <c r="P371" t="s">
        <v>3</v>
      </c>
      <c r="Q371" t="s">
        <v>3</v>
      </c>
      <c r="R371" t="s">
        <v>3</v>
      </c>
      <c r="S371" t="s">
        <v>3</v>
      </c>
      <c r="T371" t="s">
        <v>7</v>
      </c>
      <c r="U371">
        <v>1</v>
      </c>
      <c r="V371">
        <v>0</v>
      </c>
      <c r="W371">
        <v>0</v>
      </c>
      <c r="X371">
        <v>1</v>
      </c>
      <c r="Y371">
        <v>2</v>
      </c>
      <c r="Z371" t="s">
        <v>15</v>
      </c>
      <c r="AA371" t="s">
        <v>4</v>
      </c>
      <c r="AB371" t="s">
        <v>6</v>
      </c>
      <c r="AC371" t="s">
        <v>7</v>
      </c>
      <c r="AD371" t="s">
        <v>8</v>
      </c>
      <c r="AE371" t="s">
        <v>6</v>
      </c>
      <c r="AF371" t="s">
        <v>3</v>
      </c>
      <c r="AG371" t="s">
        <v>3</v>
      </c>
      <c r="AH371" t="s">
        <v>3</v>
      </c>
      <c r="AI371" t="s">
        <v>3</v>
      </c>
      <c r="AJ371" t="s">
        <v>3</v>
      </c>
      <c r="AK371" t="s">
        <v>7</v>
      </c>
      <c r="AL371">
        <v>0</v>
      </c>
      <c r="AM371">
        <v>0</v>
      </c>
      <c r="AN371">
        <v>0</v>
      </c>
      <c r="AO371">
        <v>0</v>
      </c>
      <c r="AP371">
        <v>0</v>
      </c>
      <c r="AQ371" t="s">
        <v>9</v>
      </c>
      <c r="AR371" s="1">
        <v>1.2354767000000001E-4</v>
      </c>
      <c r="AS371" s="1">
        <v>1.3620856899999999E-25</v>
      </c>
      <c r="AT371">
        <v>16</v>
      </c>
      <c r="AU371" t="s">
        <v>10</v>
      </c>
      <c r="AV371">
        <v>1</v>
      </c>
      <c r="AW371">
        <v>0</v>
      </c>
      <c r="AX371">
        <v>0</v>
      </c>
      <c r="AY371">
        <v>1</v>
      </c>
      <c r="AZ371">
        <v>2</v>
      </c>
      <c r="BA371" t="s">
        <v>15</v>
      </c>
      <c r="BB371" t="s">
        <v>4</v>
      </c>
      <c r="BC371" t="s">
        <v>10</v>
      </c>
      <c r="BD371">
        <v>0</v>
      </c>
      <c r="BE371">
        <v>0</v>
      </c>
      <c r="BF371">
        <v>0</v>
      </c>
      <c r="BG371">
        <v>0</v>
      </c>
      <c r="BH371">
        <v>0</v>
      </c>
      <c r="BI371" t="s">
        <v>9</v>
      </c>
      <c r="BJ371">
        <v>-1.2353E-4</v>
      </c>
      <c r="BK371">
        <v>0</v>
      </c>
      <c r="BL371">
        <v>2.2199999999999999E-6</v>
      </c>
      <c r="BM371" s="2">
        <f t="shared" si="5"/>
        <v>8.2026718068451513E-7</v>
      </c>
    </row>
    <row r="372" spans="1:65" x14ac:dyDescent="0.35">
      <c r="A372">
        <v>0</v>
      </c>
      <c r="B372" t="s">
        <v>11</v>
      </c>
      <c r="C372" t="s">
        <v>4</v>
      </c>
      <c r="D372">
        <v>0</v>
      </c>
      <c r="E372" t="s">
        <v>3</v>
      </c>
      <c r="F372" t="s">
        <v>5</v>
      </c>
      <c r="G372">
        <v>4018.0736179999999</v>
      </c>
      <c r="H372" t="s">
        <v>4</v>
      </c>
      <c r="I372">
        <v>990.16341899999998</v>
      </c>
      <c r="J372">
        <v>3027.9101989999999</v>
      </c>
      <c r="K372" t="s">
        <v>6</v>
      </c>
      <c r="L372" t="s">
        <v>7</v>
      </c>
      <c r="M372" t="s">
        <v>8</v>
      </c>
      <c r="N372" t="s">
        <v>6</v>
      </c>
      <c r="O372" t="s">
        <v>3</v>
      </c>
      <c r="P372" t="s">
        <v>3</v>
      </c>
      <c r="Q372" t="s">
        <v>3</v>
      </c>
      <c r="R372" t="s">
        <v>3</v>
      </c>
      <c r="S372" t="s">
        <v>11</v>
      </c>
      <c r="T372" t="s">
        <v>7</v>
      </c>
      <c r="U372">
        <v>0</v>
      </c>
      <c r="V372">
        <v>1</v>
      </c>
      <c r="W372">
        <v>0</v>
      </c>
      <c r="X372">
        <v>1</v>
      </c>
      <c r="Y372">
        <v>0</v>
      </c>
      <c r="Z372" t="s">
        <v>12</v>
      </c>
      <c r="AA372" t="s">
        <v>4</v>
      </c>
      <c r="AB372" t="s">
        <v>6</v>
      </c>
      <c r="AC372" t="s">
        <v>7</v>
      </c>
      <c r="AD372" t="s">
        <v>8</v>
      </c>
      <c r="AE372" t="s">
        <v>6</v>
      </c>
      <c r="AF372" t="s">
        <v>3</v>
      </c>
      <c r="AG372" t="s">
        <v>3</v>
      </c>
      <c r="AH372" t="s">
        <v>3</v>
      </c>
      <c r="AI372" t="s">
        <v>3</v>
      </c>
      <c r="AJ372" t="s">
        <v>3</v>
      </c>
      <c r="AK372" t="s">
        <v>7</v>
      </c>
      <c r="AL372">
        <v>0</v>
      </c>
      <c r="AM372">
        <v>0</v>
      </c>
      <c r="AN372">
        <v>0</v>
      </c>
      <c r="AO372">
        <v>0</v>
      </c>
      <c r="AP372">
        <v>0</v>
      </c>
      <c r="AQ372" t="s">
        <v>9</v>
      </c>
      <c r="AR372" s="1">
        <v>9.3394222799999994E-6</v>
      </c>
      <c r="AS372" s="1">
        <v>7.0957610799999996E-28</v>
      </c>
      <c r="AT372">
        <v>16</v>
      </c>
      <c r="AU372" t="s">
        <v>10</v>
      </c>
      <c r="AV372">
        <v>0</v>
      </c>
      <c r="AW372">
        <v>1</v>
      </c>
      <c r="AX372">
        <v>0</v>
      </c>
      <c r="AY372">
        <v>1</v>
      </c>
      <c r="AZ372">
        <v>0</v>
      </c>
      <c r="BA372" t="s">
        <v>12</v>
      </c>
      <c r="BB372" t="s">
        <v>4</v>
      </c>
      <c r="BC372" t="s">
        <v>10</v>
      </c>
      <c r="BD372">
        <v>0</v>
      </c>
      <c r="BE372">
        <v>0</v>
      </c>
      <c r="BF372">
        <v>0</v>
      </c>
      <c r="BG372">
        <v>0</v>
      </c>
      <c r="BH372">
        <v>0</v>
      </c>
      <c r="BI372" t="s">
        <v>9</v>
      </c>
      <c r="BJ372">
        <v>0</v>
      </c>
      <c r="BK372">
        <v>9.3400000000000004E-6</v>
      </c>
      <c r="BL372">
        <v>0</v>
      </c>
      <c r="BM372" s="2">
        <f t="shared" si="5"/>
        <v>4.2731672306920056E-9</v>
      </c>
    </row>
    <row r="373" spans="1:65" x14ac:dyDescent="0.35">
      <c r="A373">
        <v>0</v>
      </c>
      <c r="B373" t="s">
        <v>3</v>
      </c>
      <c r="C373" t="s">
        <v>4</v>
      </c>
      <c r="D373">
        <v>0</v>
      </c>
      <c r="E373" t="s">
        <v>3</v>
      </c>
      <c r="F373" t="s">
        <v>5</v>
      </c>
      <c r="G373">
        <v>4227.7617460000001</v>
      </c>
      <c r="H373" t="s">
        <v>4</v>
      </c>
      <c r="I373">
        <v>990.16341899999998</v>
      </c>
      <c r="J373">
        <v>3237.5983270000002</v>
      </c>
      <c r="K373" t="s">
        <v>6</v>
      </c>
      <c r="L373" t="s">
        <v>7</v>
      </c>
      <c r="M373" t="s">
        <v>8</v>
      </c>
      <c r="N373" t="s">
        <v>6</v>
      </c>
      <c r="O373" t="s">
        <v>3</v>
      </c>
      <c r="P373" t="s">
        <v>3</v>
      </c>
      <c r="Q373" t="s">
        <v>3</v>
      </c>
      <c r="R373" t="s">
        <v>3</v>
      </c>
      <c r="S373" t="s">
        <v>3</v>
      </c>
      <c r="T373" t="s">
        <v>7</v>
      </c>
      <c r="U373">
        <v>0</v>
      </c>
      <c r="V373">
        <v>0</v>
      </c>
      <c r="W373">
        <v>0</v>
      </c>
      <c r="X373">
        <v>9</v>
      </c>
      <c r="Y373">
        <v>0</v>
      </c>
      <c r="Z373" t="s">
        <v>8</v>
      </c>
      <c r="AA373" t="s">
        <v>4</v>
      </c>
      <c r="AB373" t="s">
        <v>6</v>
      </c>
      <c r="AC373" t="s">
        <v>7</v>
      </c>
      <c r="AD373" t="s">
        <v>8</v>
      </c>
      <c r="AE373" t="s">
        <v>6</v>
      </c>
      <c r="AF373" t="s">
        <v>3</v>
      </c>
      <c r="AG373" t="s">
        <v>3</v>
      </c>
      <c r="AH373" t="s">
        <v>3</v>
      </c>
      <c r="AI373" t="s">
        <v>3</v>
      </c>
      <c r="AJ373" t="s">
        <v>3</v>
      </c>
      <c r="AK373" t="s">
        <v>7</v>
      </c>
      <c r="AL373">
        <v>0</v>
      </c>
      <c r="AM373">
        <v>0</v>
      </c>
      <c r="AN373">
        <v>0</v>
      </c>
      <c r="AO373">
        <v>0</v>
      </c>
      <c r="AP373">
        <v>0</v>
      </c>
      <c r="AQ373" t="s">
        <v>9</v>
      </c>
      <c r="AR373" s="1">
        <v>1.4650476400000001E-5</v>
      </c>
      <c r="AS373" s="1">
        <v>1.8669924200000002E-27</v>
      </c>
      <c r="AT373">
        <v>16</v>
      </c>
      <c r="AU373" t="s">
        <v>10</v>
      </c>
      <c r="AV373">
        <v>0</v>
      </c>
      <c r="AW373">
        <v>0</v>
      </c>
      <c r="AX373">
        <v>0</v>
      </c>
      <c r="AY373">
        <v>9</v>
      </c>
      <c r="AZ373">
        <v>0</v>
      </c>
      <c r="BA373" t="s">
        <v>8</v>
      </c>
      <c r="BB373" t="s">
        <v>4</v>
      </c>
      <c r="BC373" t="s">
        <v>10</v>
      </c>
      <c r="BD373">
        <v>0</v>
      </c>
      <c r="BE373">
        <v>0</v>
      </c>
      <c r="BF373">
        <v>0</v>
      </c>
      <c r="BG373">
        <v>0</v>
      </c>
      <c r="BH373">
        <v>0</v>
      </c>
      <c r="BI373" t="s">
        <v>9</v>
      </c>
      <c r="BJ373">
        <v>1.465E-5</v>
      </c>
      <c r="BK373">
        <v>0</v>
      </c>
      <c r="BL373">
        <v>-2.8000000000000002E-7</v>
      </c>
      <c r="BM373" s="2">
        <f t="shared" si="5"/>
        <v>1.1243291225772736E-8</v>
      </c>
    </row>
    <row r="374" spans="1:65" x14ac:dyDescent="0.35">
      <c r="A374">
        <v>0</v>
      </c>
      <c r="B374" t="s">
        <v>3</v>
      </c>
      <c r="C374" t="s">
        <v>4</v>
      </c>
      <c r="D374">
        <v>0</v>
      </c>
      <c r="E374" t="s">
        <v>3</v>
      </c>
      <c r="F374" t="s">
        <v>5</v>
      </c>
      <c r="G374">
        <v>3212.9139369999998</v>
      </c>
      <c r="H374" t="s">
        <v>4</v>
      </c>
      <c r="I374">
        <v>990.16341899999998</v>
      </c>
      <c r="J374">
        <v>2222.7505179999998</v>
      </c>
      <c r="K374" t="s">
        <v>6</v>
      </c>
      <c r="L374" t="s">
        <v>7</v>
      </c>
      <c r="M374" t="s">
        <v>8</v>
      </c>
      <c r="N374" t="s">
        <v>6</v>
      </c>
      <c r="O374" t="s">
        <v>3</v>
      </c>
      <c r="P374" t="s">
        <v>3</v>
      </c>
      <c r="Q374" t="s">
        <v>3</v>
      </c>
      <c r="R374" t="s">
        <v>3</v>
      </c>
      <c r="S374" t="s">
        <v>3</v>
      </c>
      <c r="T374" t="s">
        <v>7</v>
      </c>
      <c r="U374">
        <v>0</v>
      </c>
      <c r="V374">
        <v>1</v>
      </c>
      <c r="W374">
        <v>0</v>
      </c>
      <c r="X374">
        <v>0</v>
      </c>
      <c r="Y374">
        <v>1</v>
      </c>
      <c r="Z374" t="s">
        <v>9</v>
      </c>
      <c r="AA374" t="s">
        <v>4</v>
      </c>
      <c r="AB374" t="s">
        <v>6</v>
      </c>
      <c r="AC374" t="s">
        <v>7</v>
      </c>
      <c r="AD374" t="s">
        <v>8</v>
      </c>
      <c r="AE374" t="s">
        <v>6</v>
      </c>
      <c r="AF374" t="s">
        <v>3</v>
      </c>
      <c r="AG374" t="s">
        <v>3</v>
      </c>
      <c r="AH374" t="s">
        <v>3</v>
      </c>
      <c r="AI374" t="s">
        <v>3</v>
      </c>
      <c r="AJ374" t="s">
        <v>3</v>
      </c>
      <c r="AK374" t="s">
        <v>7</v>
      </c>
      <c r="AL374">
        <v>0</v>
      </c>
      <c r="AM374">
        <v>0</v>
      </c>
      <c r="AN374">
        <v>0</v>
      </c>
      <c r="AO374">
        <v>0</v>
      </c>
      <c r="AP374">
        <v>0</v>
      </c>
      <c r="AQ374" t="s">
        <v>9</v>
      </c>
      <c r="AR374" s="1">
        <v>3.1042552300000002E-3</v>
      </c>
      <c r="AS374" s="1">
        <v>5.7545615500000001E-23</v>
      </c>
      <c r="AT374">
        <v>18</v>
      </c>
      <c r="AU374" t="s">
        <v>10</v>
      </c>
      <c r="AV374">
        <v>0</v>
      </c>
      <c r="AW374">
        <v>1</v>
      </c>
      <c r="AX374">
        <v>0</v>
      </c>
      <c r="AY374">
        <v>0</v>
      </c>
      <c r="AZ374">
        <v>1</v>
      </c>
      <c r="BA374" t="s">
        <v>9</v>
      </c>
      <c r="BB374" t="s">
        <v>4</v>
      </c>
      <c r="BC374" t="s">
        <v>10</v>
      </c>
      <c r="BD374">
        <v>0</v>
      </c>
      <c r="BE374">
        <v>0</v>
      </c>
      <c r="BF374">
        <v>0</v>
      </c>
      <c r="BG374">
        <v>0</v>
      </c>
      <c r="BH374">
        <v>0</v>
      </c>
      <c r="BI374" t="s">
        <v>9</v>
      </c>
      <c r="BJ374">
        <v>2.3153000000000002E-3</v>
      </c>
      <c r="BK374">
        <v>0</v>
      </c>
      <c r="BL374">
        <v>-2.0677999999999998E-3</v>
      </c>
      <c r="BM374" s="2">
        <f t="shared" si="5"/>
        <v>3.4654779896366243E-4</v>
      </c>
    </row>
    <row r="375" spans="1:65" x14ac:dyDescent="0.35">
      <c r="A375">
        <v>0</v>
      </c>
      <c r="B375" t="s">
        <v>3</v>
      </c>
      <c r="C375" t="s">
        <v>4</v>
      </c>
      <c r="D375">
        <v>0</v>
      </c>
      <c r="E375" t="s">
        <v>3</v>
      </c>
      <c r="F375" t="s">
        <v>5</v>
      </c>
      <c r="G375">
        <v>4793.6492209999997</v>
      </c>
      <c r="H375" t="s">
        <v>4</v>
      </c>
      <c r="I375">
        <v>990.16341899999998</v>
      </c>
      <c r="J375">
        <v>3803.4858020000001</v>
      </c>
      <c r="K375" t="s">
        <v>6</v>
      </c>
      <c r="L375" t="s">
        <v>7</v>
      </c>
      <c r="M375" t="s">
        <v>8</v>
      </c>
      <c r="N375" t="s">
        <v>6</v>
      </c>
      <c r="O375" t="s">
        <v>3</v>
      </c>
      <c r="P375" t="s">
        <v>3</v>
      </c>
      <c r="Q375" t="s">
        <v>3</v>
      </c>
      <c r="R375" t="s">
        <v>3</v>
      </c>
      <c r="S375" t="s">
        <v>3</v>
      </c>
      <c r="T375" t="s">
        <v>7</v>
      </c>
      <c r="U375">
        <v>0</v>
      </c>
      <c r="V375">
        <v>3</v>
      </c>
      <c r="W375">
        <v>0</v>
      </c>
      <c r="X375">
        <v>0</v>
      </c>
      <c r="Y375">
        <v>0</v>
      </c>
      <c r="Z375" t="s">
        <v>9</v>
      </c>
      <c r="AA375" t="s">
        <v>4</v>
      </c>
      <c r="AB375" t="s">
        <v>6</v>
      </c>
      <c r="AC375" t="s">
        <v>7</v>
      </c>
      <c r="AD375" t="s">
        <v>8</v>
      </c>
      <c r="AE375" t="s">
        <v>6</v>
      </c>
      <c r="AF375" t="s">
        <v>3</v>
      </c>
      <c r="AG375" t="s">
        <v>3</v>
      </c>
      <c r="AH375" t="s">
        <v>3</v>
      </c>
      <c r="AI375" t="s">
        <v>3</v>
      </c>
      <c r="AJ375" t="s">
        <v>3</v>
      </c>
      <c r="AK375" t="s">
        <v>7</v>
      </c>
      <c r="AL375">
        <v>0</v>
      </c>
      <c r="AM375">
        <v>0</v>
      </c>
      <c r="AN375">
        <v>0</v>
      </c>
      <c r="AO375">
        <v>0</v>
      </c>
      <c r="AP375">
        <v>0</v>
      </c>
      <c r="AQ375" t="s">
        <v>9</v>
      </c>
      <c r="AR375" s="1">
        <v>4.0520369800000001E-4</v>
      </c>
      <c r="AS375" s="1">
        <v>1.6778176500000001E-24</v>
      </c>
      <c r="AT375">
        <v>17</v>
      </c>
      <c r="AU375" t="s">
        <v>10</v>
      </c>
      <c r="AV375">
        <v>0</v>
      </c>
      <c r="AW375">
        <v>3</v>
      </c>
      <c r="AX375">
        <v>0</v>
      </c>
      <c r="AY375">
        <v>0</v>
      </c>
      <c r="AZ375">
        <v>0</v>
      </c>
      <c r="BA375" t="s">
        <v>9</v>
      </c>
      <c r="BB375" t="s">
        <v>4</v>
      </c>
      <c r="BC375" t="s">
        <v>10</v>
      </c>
      <c r="BD375">
        <v>0</v>
      </c>
      <c r="BE375">
        <v>0</v>
      </c>
      <c r="BF375">
        <v>0</v>
      </c>
      <c r="BG375">
        <v>0</v>
      </c>
      <c r="BH375">
        <v>0</v>
      </c>
      <c r="BI375" t="s">
        <v>9</v>
      </c>
      <c r="BJ375">
        <v>-2.7273E-4</v>
      </c>
      <c r="BK375">
        <v>0</v>
      </c>
      <c r="BL375">
        <v>2.9967999999999998E-4</v>
      </c>
      <c r="BM375" s="2">
        <f t="shared" si="5"/>
        <v>1.010405412502512E-5</v>
      </c>
    </row>
    <row r="376" spans="1:65" x14ac:dyDescent="0.35">
      <c r="A376">
        <v>0</v>
      </c>
      <c r="B376" t="s">
        <v>3</v>
      </c>
      <c r="C376" t="s">
        <v>4</v>
      </c>
      <c r="D376">
        <v>0</v>
      </c>
      <c r="E376" t="s">
        <v>3</v>
      </c>
      <c r="F376" t="s">
        <v>5</v>
      </c>
      <c r="G376">
        <v>4735.7526429999998</v>
      </c>
      <c r="H376" t="s">
        <v>4</v>
      </c>
      <c r="I376">
        <v>990.16341899999998</v>
      </c>
      <c r="J376">
        <v>3745.5892239999998</v>
      </c>
      <c r="K376" t="s">
        <v>6</v>
      </c>
      <c r="L376" t="s">
        <v>7</v>
      </c>
      <c r="M376" t="s">
        <v>8</v>
      </c>
      <c r="N376" t="s">
        <v>6</v>
      </c>
      <c r="O376" t="s">
        <v>3</v>
      </c>
      <c r="P376" t="s">
        <v>3</v>
      </c>
      <c r="Q376" t="s">
        <v>3</v>
      </c>
      <c r="R376" t="s">
        <v>3</v>
      </c>
      <c r="S376" t="s">
        <v>3</v>
      </c>
      <c r="T376" t="s">
        <v>7</v>
      </c>
      <c r="U376">
        <v>1</v>
      </c>
      <c r="V376">
        <v>0</v>
      </c>
      <c r="W376">
        <v>0</v>
      </c>
      <c r="X376">
        <v>3</v>
      </c>
      <c r="Y376">
        <v>0</v>
      </c>
      <c r="Z376" t="s">
        <v>29</v>
      </c>
      <c r="AA376" t="s">
        <v>4</v>
      </c>
      <c r="AB376" t="s">
        <v>6</v>
      </c>
      <c r="AC376" t="s">
        <v>7</v>
      </c>
      <c r="AD376" t="s">
        <v>8</v>
      </c>
      <c r="AE376" t="s">
        <v>6</v>
      </c>
      <c r="AF376" t="s">
        <v>3</v>
      </c>
      <c r="AG376" t="s">
        <v>3</v>
      </c>
      <c r="AH376" t="s">
        <v>3</v>
      </c>
      <c r="AI376" t="s">
        <v>3</v>
      </c>
      <c r="AJ376" t="s">
        <v>3</v>
      </c>
      <c r="AK376" t="s">
        <v>7</v>
      </c>
      <c r="AL376">
        <v>0</v>
      </c>
      <c r="AM376">
        <v>0</v>
      </c>
      <c r="AN376">
        <v>0</v>
      </c>
      <c r="AO376">
        <v>0</v>
      </c>
      <c r="AP376">
        <v>0</v>
      </c>
      <c r="AQ376" t="s">
        <v>9</v>
      </c>
      <c r="AR376" s="1">
        <v>6.4686236300000004E-5</v>
      </c>
      <c r="AS376" s="1">
        <v>4.2107559400000001E-26</v>
      </c>
      <c r="AT376">
        <v>16</v>
      </c>
      <c r="AU376" t="s">
        <v>10</v>
      </c>
      <c r="AV376">
        <v>1</v>
      </c>
      <c r="AW376">
        <v>0</v>
      </c>
      <c r="AX376">
        <v>0</v>
      </c>
      <c r="AY376">
        <v>3</v>
      </c>
      <c r="AZ376">
        <v>0</v>
      </c>
      <c r="BA376" t="s">
        <v>29</v>
      </c>
      <c r="BB376" t="s">
        <v>4</v>
      </c>
      <c r="BC376" t="s">
        <v>10</v>
      </c>
      <c r="BD376">
        <v>0</v>
      </c>
      <c r="BE376">
        <v>0</v>
      </c>
      <c r="BF376">
        <v>0</v>
      </c>
      <c r="BG376">
        <v>0</v>
      </c>
      <c r="BH376">
        <v>0</v>
      </c>
      <c r="BI376" t="s">
        <v>9</v>
      </c>
      <c r="BJ376">
        <v>5.0000000000000002E-5</v>
      </c>
      <c r="BK376">
        <v>0</v>
      </c>
      <c r="BL376">
        <v>-4.104E-5</v>
      </c>
      <c r="BM376" s="2">
        <f t="shared" si="5"/>
        <v>2.5357765145116355E-7</v>
      </c>
    </row>
    <row r="377" spans="1:65" x14ac:dyDescent="0.35">
      <c r="A377">
        <v>0</v>
      </c>
      <c r="B377" t="s">
        <v>11</v>
      </c>
      <c r="C377" t="s">
        <v>4</v>
      </c>
      <c r="D377">
        <v>0</v>
      </c>
      <c r="E377" t="s">
        <v>3</v>
      </c>
      <c r="F377" t="s">
        <v>5</v>
      </c>
      <c r="G377">
        <v>1721.7917709999999</v>
      </c>
      <c r="H377" t="s">
        <v>4</v>
      </c>
      <c r="I377">
        <v>990.16341899999998</v>
      </c>
      <c r="J377">
        <v>731.62835199999995</v>
      </c>
      <c r="K377" t="s">
        <v>6</v>
      </c>
      <c r="L377" t="s">
        <v>7</v>
      </c>
      <c r="M377" t="s">
        <v>8</v>
      </c>
      <c r="N377" t="s">
        <v>6</v>
      </c>
      <c r="O377" t="s">
        <v>3</v>
      </c>
      <c r="P377" t="s">
        <v>3</v>
      </c>
      <c r="Q377" t="s">
        <v>3</v>
      </c>
      <c r="R377" t="s">
        <v>3</v>
      </c>
      <c r="S377" t="s">
        <v>11</v>
      </c>
      <c r="T377" t="s">
        <v>7</v>
      </c>
      <c r="U377">
        <v>0</v>
      </c>
      <c r="V377">
        <v>0</v>
      </c>
      <c r="W377">
        <v>0</v>
      </c>
      <c r="X377">
        <v>3</v>
      </c>
      <c r="Y377">
        <v>0</v>
      </c>
      <c r="Z377" t="s">
        <v>18</v>
      </c>
      <c r="AA377" t="s">
        <v>4</v>
      </c>
      <c r="AB377" t="s">
        <v>6</v>
      </c>
      <c r="AC377" t="s">
        <v>7</v>
      </c>
      <c r="AD377" t="s">
        <v>8</v>
      </c>
      <c r="AE377" t="s">
        <v>6</v>
      </c>
      <c r="AF377" t="s">
        <v>3</v>
      </c>
      <c r="AG377" t="s">
        <v>3</v>
      </c>
      <c r="AH377" t="s">
        <v>3</v>
      </c>
      <c r="AI377" t="s">
        <v>3</v>
      </c>
      <c r="AJ377" t="s">
        <v>3</v>
      </c>
      <c r="AK377" t="s">
        <v>7</v>
      </c>
      <c r="AL377">
        <v>0</v>
      </c>
      <c r="AM377">
        <v>0</v>
      </c>
      <c r="AN377">
        <v>0</v>
      </c>
      <c r="AO377">
        <v>0</v>
      </c>
      <c r="AP377">
        <v>0</v>
      </c>
      <c r="AQ377" t="s">
        <v>9</v>
      </c>
      <c r="AR377" s="1">
        <v>1.8190228200000001E-6</v>
      </c>
      <c r="AS377" s="1">
        <v>6.31388548E-30</v>
      </c>
      <c r="AT377">
        <v>19</v>
      </c>
      <c r="AU377" t="s">
        <v>10</v>
      </c>
      <c r="AV377">
        <v>0</v>
      </c>
      <c r="AW377">
        <v>0</v>
      </c>
      <c r="AX377">
        <v>0</v>
      </c>
      <c r="AY377">
        <v>3</v>
      </c>
      <c r="AZ377">
        <v>0</v>
      </c>
      <c r="BA377" t="s">
        <v>18</v>
      </c>
      <c r="BB377" t="s">
        <v>4</v>
      </c>
      <c r="BC377" t="s">
        <v>10</v>
      </c>
      <c r="BD377">
        <v>0</v>
      </c>
      <c r="BE377">
        <v>0</v>
      </c>
      <c r="BF377">
        <v>0</v>
      </c>
      <c r="BG377">
        <v>0</v>
      </c>
      <c r="BH377">
        <v>0</v>
      </c>
      <c r="BI377" t="s">
        <v>9</v>
      </c>
      <c r="BJ377">
        <v>0</v>
      </c>
      <c r="BK377">
        <v>1.8199999999999999E-6</v>
      </c>
      <c r="BL377">
        <v>0</v>
      </c>
      <c r="BM377" s="2">
        <f t="shared" si="5"/>
        <v>3.8023107355635582E-11</v>
      </c>
    </row>
    <row r="378" spans="1:65" x14ac:dyDescent="0.35">
      <c r="A378">
        <v>0</v>
      </c>
      <c r="B378" t="s">
        <v>3</v>
      </c>
      <c r="C378" t="s">
        <v>4</v>
      </c>
      <c r="D378">
        <v>0</v>
      </c>
      <c r="E378" t="s">
        <v>3</v>
      </c>
      <c r="F378" t="s">
        <v>5</v>
      </c>
      <c r="G378">
        <v>4384.5335960000002</v>
      </c>
      <c r="H378" t="s">
        <v>4</v>
      </c>
      <c r="I378">
        <v>990.16341899999998</v>
      </c>
      <c r="J378">
        <v>3394.3701769999998</v>
      </c>
      <c r="K378" t="s">
        <v>6</v>
      </c>
      <c r="L378" t="s">
        <v>7</v>
      </c>
      <c r="M378" t="s">
        <v>8</v>
      </c>
      <c r="N378" t="s">
        <v>6</v>
      </c>
      <c r="O378" t="s">
        <v>3</v>
      </c>
      <c r="P378" t="s">
        <v>3</v>
      </c>
      <c r="Q378" t="s">
        <v>3</v>
      </c>
      <c r="R378" t="s">
        <v>3</v>
      </c>
      <c r="S378" t="s">
        <v>3</v>
      </c>
      <c r="T378" t="s">
        <v>7</v>
      </c>
      <c r="U378">
        <v>0</v>
      </c>
      <c r="V378">
        <v>1</v>
      </c>
      <c r="W378">
        <v>0</v>
      </c>
      <c r="X378">
        <v>5</v>
      </c>
      <c r="Y378">
        <v>0</v>
      </c>
      <c r="Z378" t="s">
        <v>15</v>
      </c>
      <c r="AA378" t="s">
        <v>4</v>
      </c>
      <c r="AB378" t="s">
        <v>6</v>
      </c>
      <c r="AC378" t="s">
        <v>7</v>
      </c>
      <c r="AD378" t="s">
        <v>8</v>
      </c>
      <c r="AE378" t="s">
        <v>6</v>
      </c>
      <c r="AF378" t="s">
        <v>3</v>
      </c>
      <c r="AG378" t="s">
        <v>3</v>
      </c>
      <c r="AH378" t="s">
        <v>3</v>
      </c>
      <c r="AI378" t="s">
        <v>3</v>
      </c>
      <c r="AJ378" t="s">
        <v>3</v>
      </c>
      <c r="AK378" t="s">
        <v>7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9</v>
      </c>
      <c r="AR378" s="1">
        <v>6.2364928299999994E-5</v>
      </c>
      <c r="AS378" s="1">
        <v>3.5469591600000001E-26</v>
      </c>
      <c r="AT378">
        <v>16</v>
      </c>
      <c r="AU378" t="s">
        <v>10</v>
      </c>
      <c r="AV378">
        <v>0</v>
      </c>
      <c r="AW378">
        <v>1</v>
      </c>
      <c r="AX378">
        <v>0</v>
      </c>
      <c r="AY378">
        <v>5</v>
      </c>
      <c r="AZ378">
        <v>0</v>
      </c>
      <c r="BA378" t="s">
        <v>15</v>
      </c>
      <c r="BB378" t="s">
        <v>4</v>
      </c>
      <c r="BC378" t="s">
        <v>10</v>
      </c>
      <c r="BD378">
        <v>0</v>
      </c>
      <c r="BE378">
        <v>0</v>
      </c>
      <c r="BF378">
        <v>0</v>
      </c>
      <c r="BG378">
        <v>0</v>
      </c>
      <c r="BH378">
        <v>0</v>
      </c>
      <c r="BI378" t="s">
        <v>9</v>
      </c>
      <c r="BJ378">
        <v>-6.156E-5</v>
      </c>
      <c r="BK378">
        <v>0</v>
      </c>
      <c r="BL378">
        <v>9.9599999999999995E-6</v>
      </c>
      <c r="BM378" s="2">
        <f t="shared" si="5"/>
        <v>2.136028747336973E-7</v>
      </c>
    </row>
    <row r="379" spans="1:65" x14ac:dyDescent="0.35">
      <c r="A379">
        <v>0</v>
      </c>
      <c r="B379" t="s">
        <v>11</v>
      </c>
      <c r="C379" t="s">
        <v>4</v>
      </c>
      <c r="D379">
        <v>0</v>
      </c>
      <c r="E379" t="s">
        <v>3</v>
      </c>
      <c r="F379" t="s">
        <v>5</v>
      </c>
      <c r="G379">
        <v>3009.0021360000001</v>
      </c>
      <c r="H379" t="s">
        <v>4</v>
      </c>
      <c r="I379">
        <v>990.16341899999998</v>
      </c>
      <c r="J379">
        <v>2018.8387170000001</v>
      </c>
      <c r="K379" t="s">
        <v>6</v>
      </c>
      <c r="L379" t="s">
        <v>7</v>
      </c>
      <c r="M379" t="s">
        <v>8</v>
      </c>
      <c r="N379" t="s">
        <v>6</v>
      </c>
      <c r="O379" t="s">
        <v>3</v>
      </c>
      <c r="P379" t="s">
        <v>3</v>
      </c>
      <c r="Q379" t="s">
        <v>3</v>
      </c>
      <c r="R379" t="s">
        <v>3</v>
      </c>
      <c r="S379" t="s">
        <v>11</v>
      </c>
      <c r="T379" t="s">
        <v>7</v>
      </c>
      <c r="U379">
        <v>2</v>
      </c>
      <c r="V379">
        <v>0</v>
      </c>
      <c r="W379">
        <v>0</v>
      </c>
      <c r="X379">
        <v>2</v>
      </c>
      <c r="Y379">
        <v>0</v>
      </c>
      <c r="Z379" t="s">
        <v>18</v>
      </c>
      <c r="AA379" t="s">
        <v>4</v>
      </c>
      <c r="AB379" t="s">
        <v>6</v>
      </c>
      <c r="AC379" t="s">
        <v>7</v>
      </c>
      <c r="AD379" t="s">
        <v>8</v>
      </c>
      <c r="AE379" t="s">
        <v>6</v>
      </c>
      <c r="AF379" t="s">
        <v>3</v>
      </c>
      <c r="AG379" t="s">
        <v>3</v>
      </c>
      <c r="AH379" t="s">
        <v>3</v>
      </c>
      <c r="AI379" t="s">
        <v>3</v>
      </c>
      <c r="AJ379" t="s">
        <v>3</v>
      </c>
      <c r="AK379" t="s">
        <v>7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9</v>
      </c>
      <c r="AR379" s="1">
        <v>1.657269E-6</v>
      </c>
      <c r="AS379" s="1">
        <v>1.4896300000000001E-29</v>
      </c>
      <c r="AT379">
        <v>17</v>
      </c>
      <c r="AU379" t="s">
        <v>10</v>
      </c>
      <c r="AV379">
        <v>2</v>
      </c>
      <c r="AW379">
        <v>0</v>
      </c>
      <c r="AX379">
        <v>0</v>
      </c>
      <c r="AY379">
        <v>2</v>
      </c>
      <c r="AZ379">
        <v>0</v>
      </c>
      <c r="BA379" t="s">
        <v>18</v>
      </c>
      <c r="BB379" t="s">
        <v>4</v>
      </c>
      <c r="BC379" t="s">
        <v>10</v>
      </c>
      <c r="BD379">
        <v>0</v>
      </c>
      <c r="BE379">
        <v>0</v>
      </c>
      <c r="BF379">
        <v>0</v>
      </c>
      <c r="BG379">
        <v>0</v>
      </c>
      <c r="BH379">
        <v>0</v>
      </c>
      <c r="BI379" t="s">
        <v>9</v>
      </c>
      <c r="BJ379">
        <v>0</v>
      </c>
      <c r="BK379">
        <v>1.66E-6</v>
      </c>
      <c r="BL379">
        <v>0</v>
      </c>
      <c r="BM379" s="2">
        <f t="shared" si="5"/>
        <v>8.9707615999040005E-11</v>
      </c>
    </row>
    <row r="380" spans="1:65" x14ac:dyDescent="0.35">
      <c r="A380">
        <v>0</v>
      </c>
      <c r="B380" t="s">
        <v>3</v>
      </c>
      <c r="C380" t="s">
        <v>4</v>
      </c>
      <c r="D380">
        <v>0</v>
      </c>
      <c r="E380" t="s">
        <v>3</v>
      </c>
      <c r="F380" t="s">
        <v>5</v>
      </c>
      <c r="G380">
        <v>3542.0763379999999</v>
      </c>
      <c r="H380" t="s">
        <v>4</v>
      </c>
      <c r="I380">
        <v>990.16341899999998</v>
      </c>
      <c r="J380">
        <v>2551.9129189999999</v>
      </c>
      <c r="K380" t="s">
        <v>6</v>
      </c>
      <c r="L380" t="s">
        <v>7</v>
      </c>
      <c r="M380" t="s">
        <v>8</v>
      </c>
      <c r="N380" t="s">
        <v>6</v>
      </c>
      <c r="O380" t="s">
        <v>3</v>
      </c>
      <c r="P380" t="s">
        <v>3</v>
      </c>
      <c r="Q380" t="s">
        <v>3</v>
      </c>
      <c r="R380" t="s">
        <v>3</v>
      </c>
      <c r="S380" t="s">
        <v>3</v>
      </c>
      <c r="T380" t="s">
        <v>7</v>
      </c>
      <c r="U380">
        <v>1</v>
      </c>
      <c r="V380">
        <v>1</v>
      </c>
      <c r="W380">
        <v>0</v>
      </c>
      <c r="X380">
        <v>1</v>
      </c>
      <c r="Y380">
        <v>0</v>
      </c>
      <c r="Z380" t="s">
        <v>15</v>
      </c>
      <c r="AA380" t="s">
        <v>4</v>
      </c>
      <c r="AB380" t="s">
        <v>6</v>
      </c>
      <c r="AC380" t="s">
        <v>7</v>
      </c>
      <c r="AD380" t="s">
        <v>8</v>
      </c>
      <c r="AE380" t="s">
        <v>6</v>
      </c>
      <c r="AF380" t="s">
        <v>3</v>
      </c>
      <c r="AG380" t="s">
        <v>3</v>
      </c>
      <c r="AH380" t="s">
        <v>3</v>
      </c>
      <c r="AI380" t="s">
        <v>3</v>
      </c>
      <c r="AJ380" t="s">
        <v>3</v>
      </c>
      <c r="AK380" t="s">
        <v>7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9</v>
      </c>
      <c r="AR380" s="1">
        <v>6.9914410399999998E-4</v>
      </c>
      <c r="AS380" s="1">
        <v>3.3513013200000003E-24</v>
      </c>
      <c r="AT380">
        <v>16</v>
      </c>
      <c r="AU380" t="s">
        <v>10</v>
      </c>
      <c r="AV380">
        <v>1</v>
      </c>
      <c r="AW380">
        <v>1</v>
      </c>
      <c r="AX380">
        <v>0</v>
      </c>
      <c r="AY380">
        <v>1</v>
      </c>
      <c r="AZ380">
        <v>0</v>
      </c>
      <c r="BA380" t="s">
        <v>15</v>
      </c>
      <c r="BB380" t="s">
        <v>4</v>
      </c>
      <c r="BC380" t="s">
        <v>10</v>
      </c>
      <c r="BD380">
        <v>0</v>
      </c>
      <c r="BE380">
        <v>0</v>
      </c>
      <c r="BF380">
        <v>0</v>
      </c>
      <c r="BG380">
        <v>0</v>
      </c>
      <c r="BH380">
        <v>0</v>
      </c>
      <c r="BI380" t="s">
        <v>9</v>
      </c>
      <c r="BJ380">
        <v>-6.1178999999999997E-4</v>
      </c>
      <c r="BK380">
        <v>0</v>
      </c>
      <c r="BL380">
        <v>3.3840999999999998E-4</v>
      </c>
      <c r="BM380" s="2">
        <f t="shared" si="5"/>
        <v>2.0182008412265856E-5</v>
      </c>
    </row>
    <row r="381" spans="1:65" x14ac:dyDescent="0.35">
      <c r="A381">
        <v>0</v>
      </c>
      <c r="B381" t="s">
        <v>3</v>
      </c>
      <c r="C381" t="s">
        <v>4</v>
      </c>
      <c r="D381">
        <v>0</v>
      </c>
      <c r="E381" t="s">
        <v>3</v>
      </c>
      <c r="F381" t="s">
        <v>5</v>
      </c>
      <c r="G381">
        <v>3698.6541560000001</v>
      </c>
      <c r="H381" t="s">
        <v>4</v>
      </c>
      <c r="I381">
        <v>990.16341899999998</v>
      </c>
      <c r="J381">
        <v>2708.4907370000001</v>
      </c>
      <c r="K381" t="s">
        <v>6</v>
      </c>
      <c r="L381" t="s">
        <v>7</v>
      </c>
      <c r="M381" t="s">
        <v>8</v>
      </c>
      <c r="N381" t="s">
        <v>6</v>
      </c>
      <c r="O381" t="s">
        <v>3</v>
      </c>
      <c r="P381" t="s">
        <v>3</v>
      </c>
      <c r="Q381" t="s">
        <v>3</v>
      </c>
      <c r="R381" t="s">
        <v>3</v>
      </c>
      <c r="S381" t="s">
        <v>3</v>
      </c>
      <c r="T381" t="s">
        <v>7</v>
      </c>
      <c r="U381">
        <v>1</v>
      </c>
      <c r="V381">
        <v>0</v>
      </c>
      <c r="W381">
        <v>0</v>
      </c>
      <c r="X381">
        <v>0</v>
      </c>
      <c r="Y381">
        <v>1</v>
      </c>
      <c r="Z381" t="s">
        <v>21</v>
      </c>
      <c r="AA381" t="s">
        <v>4</v>
      </c>
      <c r="AB381" t="s">
        <v>6</v>
      </c>
      <c r="AC381" t="s">
        <v>7</v>
      </c>
      <c r="AD381" t="s">
        <v>8</v>
      </c>
      <c r="AE381" t="s">
        <v>6</v>
      </c>
      <c r="AF381" t="s">
        <v>3</v>
      </c>
      <c r="AG381" t="s">
        <v>3</v>
      </c>
      <c r="AH381" t="s">
        <v>3</v>
      </c>
      <c r="AI381" t="s">
        <v>3</v>
      </c>
      <c r="AJ381" t="s">
        <v>3</v>
      </c>
      <c r="AK381" t="s">
        <v>7</v>
      </c>
      <c r="AL381">
        <v>0</v>
      </c>
      <c r="AM381">
        <v>0</v>
      </c>
      <c r="AN381">
        <v>0</v>
      </c>
      <c r="AO381">
        <v>0</v>
      </c>
      <c r="AP381">
        <v>0</v>
      </c>
      <c r="AQ381" t="s">
        <v>9</v>
      </c>
      <c r="AR381" s="1">
        <v>1.9792766099999999E-4</v>
      </c>
      <c r="AS381" s="1">
        <v>2.8507267800000001E-25</v>
      </c>
      <c r="AT381">
        <v>19</v>
      </c>
      <c r="AU381" t="s">
        <v>10</v>
      </c>
      <c r="AV381">
        <v>1</v>
      </c>
      <c r="AW381">
        <v>0</v>
      </c>
      <c r="AX381">
        <v>0</v>
      </c>
      <c r="AY381">
        <v>0</v>
      </c>
      <c r="AZ381">
        <v>1</v>
      </c>
      <c r="BA381" t="s">
        <v>21</v>
      </c>
      <c r="BB381" t="s">
        <v>4</v>
      </c>
      <c r="BC381" t="s">
        <v>10</v>
      </c>
      <c r="BD381">
        <v>0</v>
      </c>
      <c r="BE381">
        <v>0</v>
      </c>
      <c r="BF381">
        <v>0</v>
      </c>
      <c r="BG381">
        <v>0</v>
      </c>
      <c r="BH381">
        <v>0</v>
      </c>
      <c r="BI381" t="s">
        <v>9</v>
      </c>
      <c r="BJ381">
        <v>-7.9350000000000004E-5</v>
      </c>
      <c r="BK381">
        <v>0</v>
      </c>
      <c r="BL381">
        <v>1.8133E-4</v>
      </c>
      <c r="BM381" s="2">
        <f t="shared" si="5"/>
        <v>1.7167478051490624E-6</v>
      </c>
    </row>
    <row r="382" spans="1:65" x14ac:dyDescent="0.35">
      <c r="A382">
        <v>0</v>
      </c>
      <c r="B382" t="s">
        <v>3</v>
      </c>
      <c r="C382" t="s">
        <v>4</v>
      </c>
      <c r="D382">
        <v>0</v>
      </c>
      <c r="E382" t="s">
        <v>3</v>
      </c>
      <c r="F382" t="s">
        <v>5</v>
      </c>
      <c r="G382">
        <v>3823.2880660000001</v>
      </c>
      <c r="H382" t="s">
        <v>4</v>
      </c>
      <c r="I382">
        <v>990.16341899999998</v>
      </c>
      <c r="J382">
        <v>2833.1246470000001</v>
      </c>
      <c r="K382" t="s">
        <v>6</v>
      </c>
      <c r="L382" t="s">
        <v>7</v>
      </c>
      <c r="M382" t="s">
        <v>8</v>
      </c>
      <c r="N382" t="s">
        <v>6</v>
      </c>
      <c r="O382" t="s">
        <v>3</v>
      </c>
      <c r="P382" t="s">
        <v>3</v>
      </c>
      <c r="Q382" t="s">
        <v>3</v>
      </c>
      <c r="R382" t="s">
        <v>3</v>
      </c>
      <c r="S382" t="s">
        <v>3</v>
      </c>
      <c r="T382" t="s">
        <v>7</v>
      </c>
      <c r="U382">
        <v>0</v>
      </c>
      <c r="V382">
        <v>0</v>
      </c>
      <c r="W382">
        <v>0</v>
      </c>
      <c r="X382">
        <v>9</v>
      </c>
      <c r="Y382">
        <v>0</v>
      </c>
      <c r="Z382" t="s">
        <v>8</v>
      </c>
      <c r="AA382" t="s">
        <v>4</v>
      </c>
      <c r="AB382" t="s">
        <v>6</v>
      </c>
      <c r="AC382" t="s">
        <v>7</v>
      </c>
      <c r="AD382" t="s">
        <v>8</v>
      </c>
      <c r="AE382" t="s">
        <v>6</v>
      </c>
      <c r="AF382" t="s">
        <v>3</v>
      </c>
      <c r="AG382" t="s">
        <v>3</v>
      </c>
      <c r="AH382" t="s">
        <v>3</v>
      </c>
      <c r="AI382" t="s">
        <v>3</v>
      </c>
      <c r="AJ382" t="s">
        <v>3</v>
      </c>
      <c r="AK382" t="s">
        <v>7</v>
      </c>
      <c r="AL382">
        <v>0</v>
      </c>
      <c r="AM382">
        <v>0</v>
      </c>
      <c r="AN382">
        <v>0</v>
      </c>
      <c r="AO382">
        <v>0</v>
      </c>
      <c r="AP382">
        <v>0</v>
      </c>
      <c r="AQ382" t="s">
        <v>9</v>
      </c>
      <c r="AR382" s="1">
        <v>9.1061535800000008E-6</v>
      </c>
      <c r="AS382" s="1">
        <v>6.3117717999999996E-28</v>
      </c>
      <c r="AT382">
        <v>16</v>
      </c>
      <c r="AU382" t="s">
        <v>10</v>
      </c>
      <c r="AV382">
        <v>0</v>
      </c>
      <c r="AW382">
        <v>0</v>
      </c>
      <c r="AX382">
        <v>0</v>
      </c>
      <c r="AY382">
        <v>9</v>
      </c>
      <c r="AZ382">
        <v>0</v>
      </c>
      <c r="BA382" t="s">
        <v>8</v>
      </c>
      <c r="BB382" t="s">
        <v>4</v>
      </c>
      <c r="BC382" t="s">
        <v>10</v>
      </c>
      <c r="BD382">
        <v>0</v>
      </c>
      <c r="BE382">
        <v>0</v>
      </c>
      <c r="BF382">
        <v>0</v>
      </c>
      <c r="BG382">
        <v>0</v>
      </c>
      <c r="BH382">
        <v>0</v>
      </c>
      <c r="BI382" t="s">
        <v>9</v>
      </c>
      <c r="BJ382">
        <v>-8.8400000000000001E-6</v>
      </c>
      <c r="BK382">
        <v>0</v>
      </c>
      <c r="BL382">
        <v>-2.17E-6</v>
      </c>
      <c r="BM382" s="2">
        <f t="shared" si="5"/>
        <v>3.8010378477069437E-9</v>
      </c>
    </row>
    <row r="383" spans="1:65" x14ac:dyDescent="0.35">
      <c r="A383">
        <v>0</v>
      </c>
      <c r="B383" t="s">
        <v>11</v>
      </c>
      <c r="C383" t="s">
        <v>4</v>
      </c>
      <c r="D383">
        <v>0</v>
      </c>
      <c r="E383" t="s">
        <v>3</v>
      </c>
      <c r="F383" t="s">
        <v>5</v>
      </c>
      <c r="G383">
        <v>2287.811635</v>
      </c>
      <c r="H383" t="s">
        <v>4</v>
      </c>
      <c r="I383">
        <v>990.16341899999998</v>
      </c>
      <c r="J383">
        <v>1297.648216</v>
      </c>
      <c r="K383" t="s">
        <v>6</v>
      </c>
      <c r="L383" t="s">
        <v>7</v>
      </c>
      <c r="M383" t="s">
        <v>8</v>
      </c>
      <c r="N383" t="s">
        <v>6</v>
      </c>
      <c r="O383" t="s">
        <v>3</v>
      </c>
      <c r="P383" t="s">
        <v>3</v>
      </c>
      <c r="Q383" t="s">
        <v>3</v>
      </c>
      <c r="R383" t="s">
        <v>3</v>
      </c>
      <c r="S383" t="s">
        <v>11</v>
      </c>
      <c r="T383" t="s">
        <v>7</v>
      </c>
      <c r="U383">
        <v>1</v>
      </c>
      <c r="V383">
        <v>0</v>
      </c>
      <c r="W383">
        <v>0</v>
      </c>
      <c r="X383">
        <v>0</v>
      </c>
      <c r="Y383">
        <v>0</v>
      </c>
      <c r="Z383" t="s">
        <v>14</v>
      </c>
      <c r="AA383" t="s">
        <v>4</v>
      </c>
      <c r="AB383" t="s">
        <v>6</v>
      </c>
      <c r="AC383" t="s">
        <v>7</v>
      </c>
      <c r="AD383" t="s">
        <v>8</v>
      </c>
      <c r="AE383" t="s">
        <v>6</v>
      </c>
      <c r="AF383" t="s">
        <v>3</v>
      </c>
      <c r="AG383" t="s">
        <v>3</v>
      </c>
      <c r="AH383" t="s">
        <v>3</v>
      </c>
      <c r="AI383" t="s">
        <v>3</v>
      </c>
      <c r="AJ383" t="s">
        <v>3</v>
      </c>
      <c r="AK383" t="s">
        <v>7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9</v>
      </c>
      <c r="AR383" s="1">
        <v>3.04875526E-3</v>
      </c>
      <c r="AS383" s="1">
        <v>3.2343848500000003E-23</v>
      </c>
      <c r="AT383">
        <v>16</v>
      </c>
      <c r="AU383" t="s">
        <v>10</v>
      </c>
      <c r="AV383">
        <v>1</v>
      </c>
      <c r="AW383">
        <v>0</v>
      </c>
      <c r="AX383">
        <v>0</v>
      </c>
      <c r="AY383">
        <v>0</v>
      </c>
      <c r="AZ383">
        <v>0</v>
      </c>
      <c r="BA383" t="s">
        <v>14</v>
      </c>
      <c r="BB383" t="s">
        <v>4</v>
      </c>
      <c r="BC383" t="s">
        <v>10</v>
      </c>
      <c r="BD383">
        <v>0</v>
      </c>
      <c r="BE383">
        <v>0</v>
      </c>
      <c r="BF383">
        <v>0</v>
      </c>
      <c r="BG383">
        <v>0</v>
      </c>
      <c r="BH383">
        <v>0</v>
      </c>
      <c r="BI383" t="s">
        <v>9</v>
      </c>
      <c r="BJ383">
        <v>0</v>
      </c>
      <c r="BK383">
        <v>-3.0487600000000002E-3</v>
      </c>
      <c r="BL383">
        <v>0</v>
      </c>
      <c r="BM383" s="2">
        <f t="shared" si="5"/>
        <v>1.9477920968086879E-4</v>
      </c>
    </row>
    <row r="384" spans="1:65" x14ac:dyDescent="0.35">
      <c r="A384">
        <v>0</v>
      </c>
      <c r="B384" t="s">
        <v>11</v>
      </c>
      <c r="C384" t="s">
        <v>4</v>
      </c>
      <c r="D384">
        <v>0</v>
      </c>
      <c r="E384" t="s">
        <v>3</v>
      </c>
      <c r="F384" t="s">
        <v>5</v>
      </c>
      <c r="G384">
        <v>4968.880142</v>
      </c>
      <c r="H384" t="s">
        <v>4</v>
      </c>
      <c r="I384">
        <v>990.16341899999998</v>
      </c>
      <c r="J384">
        <v>3978.716723</v>
      </c>
      <c r="K384" t="s">
        <v>6</v>
      </c>
      <c r="L384" t="s">
        <v>7</v>
      </c>
      <c r="M384" t="s">
        <v>8</v>
      </c>
      <c r="N384" t="s">
        <v>6</v>
      </c>
      <c r="O384" t="s">
        <v>3</v>
      </c>
      <c r="P384" t="s">
        <v>3</v>
      </c>
      <c r="Q384" t="s">
        <v>3</v>
      </c>
      <c r="R384" t="s">
        <v>3</v>
      </c>
      <c r="S384" t="s">
        <v>11</v>
      </c>
      <c r="T384" t="s">
        <v>7</v>
      </c>
      <c r="U384">
        <v>0</v>
      </c>
      <c r="V384">
        <v>1</v>
      </c>
      <c r="W384">
        <v>0</v>
      </c>
      <c r="X384">
        <v>5</v>
      </c>
      <c r="Y384">
        <v>0</v>
      </c>
      <c r="Z384" t="s">
        <v>14</v>
      </c>
      <c r="AA384" t="s">
        <v>4</v>
      </c>
      <c r="AB384" t="s">
        <v>6</v>
      </c>
      <c r="AC384" t="s">
        <v>7</v>
      </c>
      <c r="AD384" t="s">
        <v>8</v>
      </c>
      <c r="AE384" t="s">
        <v>6</v>
      </c>
      <c r="AF384" t="s">
        <v>3</v>
      </c>
      <c r="AG384" t="s">
        <v>3</v>
      </c>
      <c r="AH384" t="s">
        <v>3</v>
      </c>
      <c r="AI384" t="s">
        <v>3</v>
      </c>
      <c r="AJ384" t="s">
        <v>3</v>
      </c>
      <c r="AK384" t="s">
        <v>7</v>
      </c>
      <c r="AL384">
        <v>0</v>
      </c>
      <c r="AM384">
        <v>0</v>
      </c>
      <c r="AN384">
        <v>0</v>
      </c>
      <c r="AO384">
        <v>0</v>
      </c>
      <c r="AP384">
        <v>0</v>
      </c>
      <c r="AQ384" t="s">
        <v>9</v>
      </c>
      <c r="AR384" s="1">
        <v>1.4822173199999999E-5</v>
      </c>
      <c r="AS384" s="1">
        <v>2.34845881E-27</v>
      </c>
      <c r="AT384">
        <v>17</v>
      </c>
      <c r="AU384" t="s">
        <v>10</v>
      </c>
      <c r="AV384">
        <v>0</v>
      </c>
      <c r="AW384">
        <v>1</v>
      </c>
      <c r="AX384">
        <v>0</v>
      </c>
      <c r="AY384">
        <v>5</v>
      </c>
      <c r="AZ384">
        <v>0</v>
      </c>
      <c r="BA384" t="s">
        <v>14</v>
      </c>
      <c r="BB384" t="s">
        <v>4</v>
      </c>
      <c r="BC384" t="s">
        <v>10</v>
      </c>
      <c r="BD384">
        <v>0</v>
      </c>
      <c r="BE384">
        <v>0</v>
      </c>
      <c r="BF384">
        <v>0</v>
      </c>
      <c r="BG384">
        <v>0</v>
      </c>
      <c r="BH384">
        <v>0</v>
      </c>
      <c r="BI384" t="s">
        <v>9</v>
      </c>
      <c r="BJ384">
        <v>0</v>
      </c>
      <c r="BK384">
        <v>-1.482E-5</v>
      </c>
      <c r="BL384">
        <v>0</v>
      </c>
      <c r="BM384" s="2">
        <f t="shared" si="5"/>
        <v>1.4142749616820447E-8</v>
      </c>
    </row>
    <row r="385" spans="1:65" x14ac:dyDescent="0.35">
      <c r="A385">
        <v>0</v>
      </c>
      <c r="B385" t="s">
        <v>3</v>
      </c>
      <c r="C385" t="s">
        <v>4</v>
      </c>
      <c r="D385">
        <v>0</v>
      </c>
      <c r="E385" t="s">
        <v>3</v>
      </c>
      <c r="F385" t="s">
        <v>5</v>
      </c>
      <c r="G385">
        <v>4140.0320730000003</v>
      </c>
      <c r="H385" t="s">
        <v>4</v>
      </c>
      <c r="I385">
        <v>990.16341899999998</v>
      </c>
      <c r="J385">
        <v>3149.8686539999999</v>
      </c>
      <c r="K385" t="s">
        <v>6</v>
      </c>
      <c r="L385" t="s">
        <v>7</v>
      </c>
      <c r="M385" t="s">
        <v>8</v>
      </c>
      <c r="N385" t="s">
        <v>6</v>
      </c>
      <c r="O385" t="s">
        <v>3</v>
      </c>
      <c r="P385" t="s">
        <v>3</v>
      </c>
      <c r="Q385" t="s">
        <v>3</v>
      </c>
      <c r="R385" t="s">
        <v>3</v>
      </c>
      <c r="S385" t="s">
        <v>3</v>
      </c>
      <c r="T385" t="s">
        <v>7</v>
      </c>
      <c r="U385">
        <v>0</v>
      </c>
      <c r="V385">
        <v>1</v>
      </c>
      <c r="W385">
        <v>0</v>
      </c>
      <c r="X385">
        <v>2</v>
      </c>
      <c r="Y385">
        <v>1</v>
      </c>
      <c r="Z385" t="s">
        <v>15</v>
      </c>
      <c r="AA385" t="s">
        <v>4</v>
      </c>
      <c r="AB385" t="s">
        <v>6</v>
      </c>
      <c r="AC385" t="s">
        <v>7</v>
      </c>
      <c r="AD385" t="s">
        <v>8</v>
      </c>
      <c r="AE385" t="s">
        <v>6</v>
      </c>
      <c r="AF385" t="s">
        <v>3</v>
      </c>
      <c r="AG385" t="s">
        <v>3</v>
      </c>
      <c r="AH385" t="s">
        <v>3</v>
      </c>
      <c r="AI385" t="s">
        <v>3</v>
      </c>
      <c r="AJ385" t="s">
        <v>3</v>
      </c>
      <c r="AK385" t="s">
        <v>7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9</v>
      </c>
      <c r="AR385" s="1">
        <v>2.1272459699999999E-4</v>
      </c>
      <c r="AS385" s="1">
        <v>3.8295162699999998E-25</v>
      </c>
      <c r="AT385">
        <v>19</v>
      </c>
      <c r="AU385" t="s">
        <v>10</v>
      </c>
      <c r="AV385">
        <v>0</v>
      </c>
      <c r="AW385">
        <v>1</v>
      </c>
      <c r="AX385">
        <v>0</v>
      </c>
      <c r="AY385">
        <v>2</v>
      </c>
      <c r="AZ385">
        <v>1</v>
      </c>
      <c r="BA385" t="s">
        <v>15</v>
      </c>
      <c r="BB385" t="s">
        <v>4</v>
      </c>
      <c r="BC385" t="s">
        <v>10</v>
      </c>
      <c r="BD385">
        <v>0</v>
      </c>
      <c r="BE385">
        <v>0</v>
      </c>
      <c r="BF385">
        <v>0</v>
      </c>
      <c r="BG385">
        <v>0</v>
      </c>
      <c r="BH385">
        <v>0</v>
      </c>
      <c r="BI385" t="s">
        <v>9</v>
      </c>
      <c r="BJ385">
        <v>2.1251000000000001E-4</v>
      </c>
      <c r="BK385">
        <v>0</v>
      </c>
      <c r="BL385">
        <v>9.5200000000000003E-6</v>
      </c>
      <c r="BM385" s="2">
        <f t="shared" si="5"/>
        <v>2.3061886173830814E-6</v>
      </c>
    </row>
    <row r="386" spans="1:65" x14ac:dyDescent="0.35">
      <c r="A386">
        <v>0</v>
      </c>
      <c r="B386" t="s">
        <v>3</v>
      </c>
      <c r="C386" t="s">
        <v>4</v>
      </c>
      <c r="D386">
        <v>0</v>
      </c>
      <c r="E386" t="s">
        <v>3</v>
      </c>
      <c r="F386" t="s">
        <v>5</v>
      </c>
      <c r="G386">
        <v>4900.4104749999997</v>
      </c>
      <c r="H386" t="s">
        <v>4</v>
      </c>
      <c r="I386">
        <v>990.16341899999998</v>
      </c>
      <c r="J386">
        <v>3910.2470560000002</v>
      </c>
      <c r="K386" t="s">
        <v>6</v>
      </c>
      <c r="L386" t="s">
        <v>7</v>
      </c>
      <c r="M386" t="s">
        <v>8</v>
      </c>
      <c r="N386" t="s">
        <v>6</v>
      </c>
      <c r="O386" t="s">
        <v>3</v>
      </c>
      <c r="P386" t="s">
        <v>3</v>
      </c>
      <c r="Q386" t="s">
        <v>3</v>
      </c>
      <c r="R386" t="s">
        <v>3</v>
      </c>
      <c r="S386" t="s">
        <v>3</v>
      </c>
      <c r="T386" t="s">
        <v>7</v>
      </c>
      <c r="U386">
        <v>2</v>
      </c>
      <c r="V386">
        <v>1</v>
      </c>
      <c r="W386">
        <v>0</v>
      </c>
      <c r="X386">
        <v>0</v>
      </c>
      <c r="Y386">
        <v>1</v>
      </c>
      <c r="Z386" t="s">
        <v>9</v>
      </c>
      <c r="AA386" t="s">
        <v>4</v>
      </c>
      <c r="AB386" t="s">
        <v>6</v>
      </c>
      <c r="AC386" t="s">
        <v>7</v>
      </c>
      <c r="AD386" t="s">
        <v>8</v>
      </c>
      <c r="AE386" t="s">
        <v>6</v>
      </c>
      <c r="AF386" t="s">
        <v>3</v>
      </c>
      <c r="AG386" t="s">
        <v>3</v>
      </c>
      <c r="AH386" t="s">
        <v>3</v>
      </c>
      <c r="AI386" t="s">
        <v>3</v>
      </c>
      <c r="AJ386" t="s">
        <v>3</v>
      </c>
      <c r="AK386" t="s">
        <v>7</v>
      </c>
      <c r="AL386">
        <v>0</v>
      </c>
      <c r="AM386">
        <v>0</v>
      </c>
      <c r="AN386">
        <v>0</v>
      </c>
      <c r="AO386">
        <v>0</v>
      </c>
      <c r="AP386">
        <v>0</v>
      </c>
      <c r="AQ386" t="s">
        <v>9</v>
      </c>
      <c r="AR386" s="1">
        <v>2.8855099600000001E-5</v>
      </c>
      <c r="AS386" s="1">
        <v>8.7471286199999995E-27</v>
      </c>
      <c r="AT386">
        <v>17</v>
      </c>
      <c r="AU386" t="s">
        <v>10</v>
      </c>
      <c r="AV386">
        <v>2</v>
      </c>
      <c r="AW386">
        <v>1</v>
      </c>
      <c r="AX386">
        <v>0</v>
      </c>
      <c r="AY386">
        <v>0</v>
      </c>
      <c r="AZ386">
        <v>1</v>
      </c>
      <c r="BA386" t="s">
        <v>9</v>
      </c>
      <c r="BB386" t="s">
        <v>4</v>
      </c>
      <c r="BC386" t="s">
        <v>10</v>
      </c>
      <c r="BD386">
        <v>0</v>
      </c>
      <c r="BE386">
        <v>0</v>
      </c>
      <c r="BF386">
        <v>0</v>
      </c>
      <c r="BG386">
        <v>0</v>
      </c>
      <c r="BH386">
        <v>0</v>
      </c>
      <c r="BI386" t="s">
        <v>9</v>
      </c>
      <c r="BJ386">
        <v>-1.573E-5</v>
      </c>
      <c r="BK386">
        <v>0</v>
      </c>
      <c r="BL386">
        <v>-2.419E-5</v>
      </c>
      <c r="BM386" s="2">
        <f t="shared" ref="BM386:BM449" si="6">AS386*10^(-5)*6.0221408*10^(23)</f>
        <v>5.2676440145349692E-8</v>
      </c>
    </row>
    <row r="387" spans="1:65" x14ac:dyDescent="0.35">
      <c r="A387">
        <v>0</v>
      </c>
      <c r="B387" t="s">
        <v>3</v>
      </c>
      <c r="C387" t="s">
        <v>4</v>
      </c>
      <c r="D387">
        <v>0</v>
      </c>
      <c r="E387" t="s">
        <v>3</v>
      </c>
      <c r="F387" t="s">
        <v>5</v>
      </c>
      <c r="G387">
        <v>4607.0887059999995</v>
      </c>
      <c r="H387" t="s">
        <v>4</v>
      </c>
      <c r="I387">
        <v>990.16341899999998</v>
      </c>
      <c r="J387">
        <v>3616.925287</v>
      </c>
      <c r="K387" t="s">
        <v>6</v>
      </c>
      <c r="L387" t="s">
        <v>7</v>
      </c>
      <c r="M387" t="s">
        <v>8</v>
      </c>
      <c r="N387" t="s">
        <v>6</v>
      </c>
      <c r="O387" t="s">
        <v>3</v>
      </c>
      <c r="P387" t="s">
        <v>3</v>
      </c>
      <c r="Q387" t="s">
        <v>3</v>
      </c>
      <c r="R387" t="s">
        <v>3</v>
      </c>
      <c r="S387" t="s">
        <v>3</v>
      </c>
      <c r="T387" t="s">
        <v>7</v>
      </c>
      <c r="U387">
        <v>3</v>
      </c>
      <c r="V387">
        <v>0</v>
      </c>
      <c r="W387">
        <v>0</v>
      </c>
      <c r="X387">
        <v>0</v>
      </c>
      <c r="Y387">
        <v>1</v>
      </c>
      <c r="Z387" t="s">
        <v>15</v>
      </c>
      <c r="AA387" t="s">
        <v>4</v>
      </c>
      <c r="AB387" t="s">
        <v>6</v>
      </c>
      <c r="AC387" t="s">
        <v>7</v>
      </c>
      <c r="AD387" t="s">
        <v>8</v>
      </c>
      <c r="AE387" t="s">
        <v>6</v>
      </c>
      <c r="AF387" t="s">
        <v>3</v>
      </c>
      <c r="AG387" t="s">
        <v>3</v>
      </c>
      <c r="AH387" t="s">
        <v>3</v>
      </c>
      <c r="AI387" t="s">
        <v>3</v>
      </c>
      <c r="AJ387" t="s">
        <v>3</v>
      </c>
      <c r="AK387" t="s">
        <v>7</v>
      </c>
      <c r="AL387">
        <v>0</v>
      </c>
      <c r="AM387">
        <v>0</v>
      </c>
      <c r="AN387">
        <v>0</v>
      </c>
      <c r="AO387">
        <v>0</v>
      </c>
      <c r="AP387">
        <v>0</v>
      </c>
      <c r="AQ387" t="s">
        <v>9</v>
      </c>
      <c r="AR387" s="1">
        <v>3.7474356599999999E-4</v>
      </c>
      <c r="AS387" s="1">
        <v>1.36465874E-24</v>
      </c>
      <c r="AT387">
        <v>19</v>
      </c>
      <c r="AU387" t="s">
        <v>10</v>
      </c>
      <c r="AV387">
        <v>3</v>
      </c>
      <c r="AW387">
        <v>0</v>
      </c>
      <c r="AX387">
        <v>0</v>
      </c>
      <c r="AY387">
        <v>0</v>
      </c>
      <c r="AZ387">
        <v>1</v>
      </c>
      <c r="BA387" t="s">
        <v>15</v>
      </c>
      <c r="BB387" t="s">
        <v>4</v>
      </c>
      <c r="BC387" t="s">
        <v>10</v>
      </c>
      <c r="BD387">
        <v>0</v>
      </c>
      <c r="BE387">
        <v>0</v>
      </c>
      <c r="BF387">
        <v>0</v>
      </c>
      <c r="BG387">
        <v>0</v>
      </c>
      <c r="BH387">
        <v>0</v>
      </c>
      <c r="BI387" t="s">
        <v>9</v>
      </c>
      <c r="BJ387">
        <v>-2.8267E-4</v>
      </c>
      <c r="BK387">
        <v>0</v>
      </c>
      <c r="BL387">
        <v>2.4603E-4</v>
      </c>
      <c r="BM387" s="2">
        <f t="shared" si="6"/>
        <v>8.218167076230592E-6</v>
      </c>
    </row>
    <row r="388" spans="1:65" x14ac:dyDescent="0.35">
      <c r="A388">
        <v>0</v>
      </c>
      <c r="B388" t="s">
        <v>11</v>
      </c>
      <c r="C388" t="s">
        <v>4</v>
      </c>
      <c r="D388">
        <v>0</v>
      </c>
      <c r="E388" t="s">
        <v>3</v>
      </c>
      <c r="F388" t="s">
        <v>5</v>
      </c>
      <c r="G388">
        <v>3935.3588629999999</v>
      </c>
      <c r="H388" t="s">
        <v>4</v>
      </c>
      <c r="I388">
        <v>990.16341899999998</v>
      </c>
      <c r="J388">
        <v>2945.195444</v>
      </c>
      <c r="K388" t="s">
        <v>6</v>
      </c>
      <c r="L388" t="s">
        <v>7</v>
      </c>
      <c r="M388" t="s">
        <v>8</v>
      </c>
      <c r="N388" t="s">
        <v>6</v>
      </c>
      <c r="O388" t="s">
        <v>3</v>
      </c>
      <c r="P388" t="s">
        <v>3</v>
      </c>
      <c r="Q388" t="s">
        <v>3</v>
      </c>
      <c r="R388" t="s">
        <v>3</v>
      </c>
      <c r="S388" t="s">
        <v>11</v>
      </c>
      <c r="T388" t="s">
        <v>7</v>
      </c>
      <c r="U388">
        <v>0</v>
      </c>
      <c r="V388">
        <v>0</v>
      </c>
      <c r="W388">
        <v>0</v>
      </c>
      <c r="X388">
        <v>4</v>
      </c>
      <c r="Y388">
        <v>0</v>
      </c>
      <c r="Z388" t="s">
        <v>19</v>
      </c>
      <c r="AA388" t="s">
        <v>4</v>
      </c>
      <c r="AB388" t="s">
        <v>6</v>
      </c>
      <c r="AC388" t="s">
        <v>7</v>
      </c>
      <c r="AD388" t="s">
        <v>8</v>
      </c>
      <c r="AE388" t="s">
        <v>6</v>
      </c>
      <c r="AF388" t="s">
        <v>3</v>
      </c>
      <c r="AG388" t="s">
        <v>3</v>
      </c>
      <c r="AH388" t="s">
        <v>3</v>
      </c>
      <c r="AI388" t="s">
        <v>3</v>
      </c>
      <c r="AJ388" t="s">
        <v>3</v>
      </c>
      <c r="AK388" t="s">
        <v>7</v>
      </c>
      <c r="AL388">
        <v>0</v>
      </c>
      <c r="AM388">
        <v>0</v>
      </c>
      <c r="AN388">
        <v>0</v>
      </c>
      <c r="AO388">
        <v>0</v>
      </c>
      <c r="AP388">
        <v>0</v>
      </c>
      <c r="AQ388" t="s">
        <v>9</v>
      </c>
      <c r="AR388" s="1">
        <v>2.1145384199999999E-6</v>
      </c>
      <c r="AS388" s="1">
        <v>3.5380270800000002E-29</v>
      </c>
      <c r="AT388">
        <v>16</v>
      </c>
      <c r="AU388" t="s">
        <v>10</v>
      </c>
      <c r="AV388">
        <v>0</v>
      </c>
      <c r="AW388">
        <v>0</v>
      </c>
      <c r="AX388">
        <v>0</v>
      </c>
      <c r="AY388">
        <v>4</v>
      </c>
      <c r="AZ388">
        <v>0</v>
      </c>
      <c r="BA388" t="s">
        <v>19</v>
      </c>
      <c r="BB388" t="s">
        <v>4</v>
      </c>
      <c r="BC388" t="s">
        <v>10</v>
      </c>
      <c r="BD388">
        <v>0</v>
      </c>
      <c r="BE388">
        <v>0</v>
      </c>
      <c r="BF388">
        <v>0</v>
      </c>
      <c r="BG388">
        <v>0</v>
      </c>
      <c r="BH388">
        <v>0</v>
      </c>
      <c r="BI388" t="s">
        <v>9</v>
      </c>
      <c r="BJ388">
        <v>0</v>
      </c>
      <c r="BK388">
        <v>2.1100000000000001E-6</v>
      </c>
      <c r="BL388">
        <v>0</v>
      </c>
      <c r="BM388" s="2">
        <f t="shared" si="6"/>
        <v>2.1306497229972868E-10</v>
      </c>
    </row>
    <row r="389" spans="1:65" x14ac:dyDescent="0.35">
      <c r="A389">
        <v>0</v>
      </c>
      <c r="B389" t="s">
        <v>11</v>
      </c>
      <c r="C389" t="s">
        <v>4</v>
      </c>
      <c r="D389">
        <v>0</v>
      </c>
      <c r="E389" t="s">
        <v>3</v>
      </c>
      <c r="F389" t="s">
        <v>5</v>
      </c>
      <c r="G389">
        <v>2695.1825239999998</v>
      </c>
      <c r="H389" t="s">
        <v>4</v>
      </c>
      <c r="I389">
        <v>990.16341899999998</v>
      </c>
      <c r="J389">
        <v>1705.0191050000001</v>
      </c>
      <c r="K389" t="s">
        <v>6</v>
      </c>
      <c r="L389" t="s">
        <v>7</v>
      </c>
      <c r="M389" t="s">
        <v>8</v>
      </c>
      <c r="N389" t="s">
        <v>6</v>
      </c>
      <c r="O389" t="s">
        <v>3</v>
      </c>
      <c r="P389" t="s">
        <v>3</v>
      </c>
      <c r="Q389" t="s">
        <v>3</v>
      </c>
      <c r="R389" t="s">
        <v>3</v>
      </c>
      <c r="S389" t="s">
        <v>11</v>
      </c>
      <c r="T389" t="s">
        <v>7</v>
      </c>
      <c r="U389">
        <v>0</v>
      </c>
      <c r="V389">
        <v>0</v>
      </c>
      <c r="W389">
        <v>0</v>
      </c>
      <c r="X389">
        <v>3</v>
      </c>
      <c r="Y389">
        <v>0</v>
      </c>
      <c r="Z389" t="s">
        <v>14</v>
      </c>
      <c r="AA389" t="s">
        <v>4</v>
      </c>
      <c r="AB389" t="s">
        <v>6</v>
      </c>
      <c r="AC389" t="s">
        <v>7</v>
      </c>
      <c r="AD389" t="s">
        <v>8</v>
      </c>
      <c r="AE389" t="s">
        <v>6</v>
      </c>
      <c r="AF389" t="s">
        <v>3</v>
      </c>
      <c r="AG389" t="s">
        <v>3</v>
      </c>
      <c r="AH389" t="s">
        <v>3</v>
      </c>
      <c r="AI389" t="s">
        <v>3</v>
      </c>
      <c r="AJ389" t="s">
        <v>3</v>
      </c>
      <c r="AK389" t="s">
        <v>7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9</v>
      </c>
      <c r="AR389" s="1">
        <v>7.5153504700000004E-5</v>
      </c>
      <c r="AS389" s="1">
        <v>2.5865944799999999E-26</v>
      </c>
      <c r="AT389">
        <v>16</v>
      </c>
      <c r="AU389" t="s">
        <v>10</v>
      </c>
      <c r="AV389">
        <v>0</v>
      </c>
      <c r="AW389">
        <v>0</v>
      </c>
      <c r="AX389">
        <v>0</v>
      </c>
      <c r="AY389">
        <v>3</v>
      </c>
      <c r="AZ389">
        <v>0</v>
      </c>
      <c r="BA389" t="s">
        <v>14</v>
      </c>
      <c r="BB389" t="s">
        <v>4</v>
      </c>
      <c r="BC389" t="s">
        <v>10</v>
      </c>
      <c r="BD389">
        <v>0</v>
      </c>
      <c r="BE389">
        <v>0</v>
      </c>
      <c r="BF389">
        <v>0</v>
      </c>
      <c r="BG389">
        <v>0</v>
      </c>
      <c r="BH389">
        <v>0</v>
      </c>
      <c r="BI389" t="s">
        <v>9</v>
      </c>
      <c r="BJ389">
        <v>0</v>
      </c>
      <c r="BK389">
        <v>7.5149999999999997E-5</v>
      </c>
      <c r="BL389">
        <v>0</v>
      </c>
      <c r="BM389" s="2">
        <f t="shared" si="6"/>
        <v>1.5576836151062784E-7</v>
      </c>
    </row>
    <row r="390" spans="1:65" x14ac:dyDescent="0.35">
      <c r="A390">
        <v>0</v>
      </c>
      <c r="B390" t="s">
        <v>11</v>
      </c>
      <c r="C390" t="s">
        <v>4</v>
      </c>
      <c r="D390">
        <v>0</v>
      </c>
      <c r="E390" t="s">
        <v>3</v>
      </c>
      <c r="F390" t="s">
        <v>5</v>
      </c>
      <c r="G390">
        <v>3417.7486629999999</v>
      </c>
      <c r="H390" t="s">
        <v>4</v>
      </c>
      <c r="I390">
        <v>990.16341899999998</v>
      </c>
      <c r="J390">
        <v>2427.5852439999999</v>
      </c>
      <c r="K390" t="s">
        <v>6</v>
      </c>
      <c r="L390" t="s">
        <v>7</v>
      </c>
      <c r="M390" t="s">
        <v>8</v>
      </c>
      <c r="N390" t="s">
        <v>6</v>
      </c>
      <c r="O390" t="s">
        <v>3</v>
      </c>
      <c r="P390" t="s">
        <v>3</v>
      </c>
      <c r="Q390" t="s">
        <v>3</v>
      </c>
      <c r="R390" t="s">
        <v>3</v>
      </c>
      <c r="S390" t="s">
        <v>11</v>
      </c>
      <c r="T390" t="s">
        <v>7</v>
      </c>
      <c r="U390">
        <v>2</v>
      </c>
      <c r="V390">
        <v>0</v>
      </c>
      <c r="W390">
        <v>0</v>
      </c>
      <c r="X390">
        <v>1</v>
      </c>
      <c r="Y390">
        <v>1</v>
      </c>
      <c r="Z390" t="s">
        <v>18</v>
      </c>
      <c r="AA390" t="s">
        <v>4</v>
      </c>
      <c r="AB390" t="s">
        <v>6</v>
      </c>
      <c r="AC390" t="s">
        <v>7</v>
      </c>
      <c r="AD390" t="s">
        <v>8</v>
      </c>
      <c r="AE390" t="s">
        <v>6</v>
      </c>
      <c r="AF390" t="s">
        <v>3</v>
      </c>
      <c r="AG390" t="s">
        <v>3</v>
      </c>
      <c r="AH390" t="s">
        <v>3</v>
      </c>
      <c r="AI390" t="s">
        <v>3</v>
      </c>
      <c r="AJ390" t="s">
        <v>3</v>
      </c>
      <c r="AK390" t="s">
        <v>7</v>
      </c>
      <c r="AL390">
        <v>0</v>
      </c>
      <c r="AM390">
        <v>0</v>
      </c>
      <c r="AN390">
        <v>0</v>
      </c>
      <c r="AO390">
        <v>0</v>
      </c>
      <c r="AP390">
        <v>0</v>
      </c>
      <c r="AQ390" t="s">
        <v>9</v>
      </c>
      <c r="AR390" s="1">
        <v>3.8258339899999997E-5</v>
      </c>
      <c r="AS390" s="1">
        <v>9.5463942599999998E-27</v>
      </c>
      <c r="AT390">
        <v>19</v>
      </c>
      <c r="AU390" t="s">
        <v>10</v>
      </c>
      <c r="AV390">
        <v>2</v>
      </c>
      <c r="AW390">
        <v>0</v>
      </c>
      <c r="AX390">
        <v>0</v>
      </c>
      <c r="AY390">
        <v>1</v>
      </c>
      <c r="AZ390">
        <v>1</v>
      </c>
      <c r="BA390" t="s">
        <v>18</v>
      </c>
      <c r="BB390" t="s">
        <v>4</v>
      </c>
      <c r="BC390" t="s">
        <v>10</v>
      </c>
      <c r="BD390">
        <v>0</v>
      </c>
      <c r="BE390">
        <v>0</v>
      </c>
      <c r="BF390">
        <v>0</v>
      </c>
      <c r="BG390">
        <v>0</v>
      </c>
      <c r="BH390">
        <v>0</v>
      </c>
      <c r="BI390" t="s">
        <v>9</v>
      </c>
      <c r="BJ390">
        <v>0</v>
      </c>
      <c r="BK390">
        <v>-3.8260000000000003E-5</v>
      </c>
      <c r="BL390">
        <v>0</v>
      </c>
      <c r="BM390" s="2">
        <f t="shared" si="6"/>
        <v>5.7489730366031809E-8</v>
      </c>
    </row>
    <row r="391" spans="1:65" x14ac:dyDescent="0.35">
      <c r="A391">
        <v>0</v>
      </c>
      <c r="B391" t="s">
        <v>3</v>
      </c>
      <c r="C391" t="s">
        <v>4</v>
      </c>
      <c r="D391">
        <v>0</v>
      </c>
      <c r="E391" t="s">
        <v>3</v>
      </c>
      <c r="F391" t="s">
        <v>5</v>
      </c>
      <c r="G391">
        <v>4842.0490719999998</v>
      </c>
      <c r="H391" t="s">
        <v>4</v>
      </c>
      <c r="I391">
        <v>990.16341899999998</v>
      </c>
      <c r="J391">
        <v>3851.8856529999998</v>
      </c>
      <c r="K391" t="s">
        <v>6</v>
      </c>
      <c r="L391" t="s">
        <v>7</v>
      </c>
      <c r="M391" t="s">
        <v>8</v>
      </c>
      <c r="N391" t="s">
        <v>6</v>
      </c>
      <c r="O391" t="s">
        <v>3</v>
      </c>
      <c r="P391" t="s">
        <v>3</v>
      </c>
      <c r="Q391" t="s">
        <v>3</v>
      </c>
      <c r="R391" t="s">
        <v>3</v>
      </c>
      <c r="S391" t="s">
        <v>3</v>
      </c>
      <c r="T391" t="s">
        <v>7</v>
      </c>
      <c r="U391">
        <v>0</v>
      </c>
      <c r="V391">
        <v>0</v>
      </c>
      <c r="W391">
        <v>0</v>
      </c>
      <c r="X391">
        <v>3</v>
      </c>
      <c r="Y391">
        <v>1</v>
      </c>
      <c r="Z391" t="s">
        <v>29</v>
      </c>
      <c r="AA391" t="s">
        <v>4</v>
      </c>
      <c r="AB391" t="s">
        <v>6</v>
      </c>
      <c r="AC391" t="s">
        <v>7</v>
      </c>
      <c r="AD391" t="s">
        <v>8</v>
      </c>
      <c r="AE391" t="s">
        <v>6</v>
      </c>
      <c r="AF391" t="s">
        <v>3</v>
      </c>
      <c r="AG391" t="s">
        <v>3</v>
      </c>
      <c r="AH391" t="s">
        <v>3</v>
      </c>
      <c r="AI391" t="s">
        <v>3</v>
      </c>
      <c r="AJ391" t="s">
        <v>3</v>
      </c>
      <c r="AK391" t="s">
        <v>7</v>
      </c>
      <c r="AL391">
        <v>0</v>
      </c>
      <c r="AM391">
        <v>0</v>
      </c>
      <c r="AN391">
        <v>0</v>
      </c>
      <c r="AO391">
        <v>0</v>
      </c>
      <c r="AP391">
        <v>0</v>
      </c>
      <c r="AQ391" t="s">
        <v>9</v>
      </c>
      <c r="AR391" s="1">
        <v>1.09732777E-4</v>
      </c>
      <c r="AS391" s="1">
        <v>1.24612695E-25</v>
      </c>
      <c r="AT391">
        <v>17</v>
      </c>
      <c r="AU391" t="s">
        <v>10</v>
      </c>
      <c r="AV391">
        <v>0</v>
      </c>
      <c r="AW391">
        <v>0</v>
      </c>
      <c r="AX391">
        <v>0</v>
      </c>
      <c r="AY391">
        <v>3</v>
      </c>
      <c r="AZ391">
        <v>1</v>
      </c>
      <c r="BA391" t="s">
        <v>29</v>
      </c>
      <c r="BB391" t="s">
        <v>4</v>
      </c>
      <c r="BC391" t="s">
        <v>10</v>
      </c>
      <c r="BD391">
        <v>0</v>
      </c>
      <c r="BE391">
        <v>0</v>
      </c>
      <c r="BF391">
        <v>0</v>
      </c>
      <c r="BG391">
        <v>0</v>
      </c>
      <c r="BH391">
        <v>0</v>
      </c>
      <c r="BI391" t="s">
        <v>9</v>
      </c>
      <c r="BJ391">
        <v>8.9569999999999998E-5</v>
      </c>
      <c r="BK391">
        <v>0</v>
      </c>
      <c r="BL391">
        <v>-6.3390000000000001E-5</v>
      </c>
      <c r="BM391" s="2">
        <f t="shared" si="6"/>
        <v>7.5043519475745585E-7</v>
      </c>
    </row>
    <row r="392" spans="1:65" x14ac:dyDescent="0.35">
      <c r="A392">
        <v>0</v>
      </c>
      <c r="B392" t="s">
        <v>3</v>
      </c>
      <c r="C392" t="s">
        <v>4</v>
      </c>
      <c r="D392">
        <v>0</v>
      </c>
      <c r="E392" t="s">
        <v>3</v>
      </c>
      <c r="F392" t="s">
        <v>5</v>
      </c>
      <c r="G392">
        <v>4523.195307</v>
      </c>
      <c r="H392" t="s">
        <v>4</v>
      </c>
      <c r="I392">
        <v>990.16341899999998</v>
      </c>
      <c r="J392">
        <v>3533.031888</v>
      </c>
      <c r="K392" t="s">
        <v>6</v>
      </c>
      <c r="L392" t="s">
        <v>7</v>
      </c>
      <c r="M392" t="s">
        <v>8</v>
      </c>
      <c r="N392" t="s">
        <v>6</v>
      </c>
      <c r="O392" t="s">
        <v>3</v>
      </c>
      <c r="P392" t="s">
        <v>3</v>
      </c>
      <c r="Q392" t="s">
        <v>3</v>
      </c>
      <c r="R392" t="s">
        <v>3</v>
      </c>
      <c r="S392" t="s">
        <v>3</v>
      </c>
      <c r="T392" t="s">
        <v>7</v>
      </c>
      <c r="U392">
        <v>0</v>
      </c>
      <c r="V392">
        <v>3</v>
      </c>
      <c r="W392">
        <v>0</v>
      </c>
      <c r="X392">
        <v>2</v>
      </c>
      <c r="Y392">
        <v>0</v>
      </c>
      <c r="Z392" t="s">
        <v>8</v>
      </c>
      <c r="AA392" t="s">
        <v>4</v>
      </c>
      <c r="AB392" t="s">
        <v>6</v>
      </c>
      <c r="AC392" t="s">
        <v>7</v>
      </c>
      <c r="AD392" t="s">
        <v>8</v>
      </c>
      <c r="AE392" t="s">
        <v>6</v>
      </c>
      <c r="AF392" t="s">
        <v>3</v>
      </c>
      <c r="AG392" t="s">
        <v>3</v>
      </c>
      <c r="AH392" t="s">
        <v>3</v>
      </c>
      <c r="AI392" t="s">
        <v>3</v>
      </c>
      <c r="AJ392" t="s">
        <v>3</v>
      </c>
      <c r="AK392" t="s">
        <v>7</v>
      </c>
      <c r="AL392">
        <v>0</v>
      </c>
      <c r="AM392">
        <v>0</v>
      </c>
      <c r="AN392">
        <v>0</v>
      </c>
      <c r="AO392">
        <v>0</v>
      </c>
      <c r="AP392">
        <v>0</v>
      </c>
      <c r="AQ392" t="s">
        <v>9</v>
      </c>
      <c r="AR392" s="1">
        <v>6.0711917600000002E-6</v>
      </c>
      <c r="AS392" s="1">
        <v>3.4987394700000001E-28</v>
      </c>
      <c r="AT392">
        <v>16</v>
      </c>
      <c r="AU392" t="s">
        <v>10</v>
      </c>
      <c r="AV392">
        <v>0</v>
      </c>
      <c r="AW392">
        <v>3</v>
      </c>
      <c r="AX392">
        <v>0</v>
      </c>
      <c r="AY392">
        <v>2</v>
      </c>
      <c r="AZ392">
        <v>0</v>
      </c>
      <c r="BA392" t="s">
        <v>8</v>
      </c>
      <c r="BB392" t="s">
        <v>4</v>
      </c>
      <c r="BC392" t="s">
        <v>10</v>
      </c>
      <c r="BD392">
        <v>0</v>
      </c>
      <c r="BE392">
        <v>0</v>
      </c>
      <c r="BF392">
        <v>0</v>
      </c>
      <c r="BG392">
        <v>0</v>
      </c>
      <c r="BH392">
        <v>0</v>
      </c>
      <c r="BI392" t="s">
        <v>9</v>
      </c>
      <c r="BJ392">
        <v>5.3199999999999999E-6</v>
      </c>
      <c r="BK392">
        <v>0</v>
      </c>
      <c r="BL392">
        <v>-2.92E-6</v>
      </c>
      <c r="BM392" s="2">
        <f t="shared" si="6"/>
        <v>2.1069901710857375E-9</v>
      </c>
    </row>
    <row r="393" spans="1:65" x14ac:dyDescent="0.35">
      <c r="A393">
        <v>0</v>
      </c>
      <c r="B393" t="s">
        <v>3</v>
      </c>
      <c r="C393" t="s">
        <v>4</v>
      </c>
      <c r="D393">
        <v>0</v>
      </c>
      <c r="E393" t="s">
        <v>3</v>
      </c>
      <c r="F393" t="s">
        <v>5</v>
      </c>
      <c r="G393">
        <v>4670.2414470000003</v>
      </c>
      <c r="H393" t="s">
        <v>4</v>
      </c>
      <c r="I393">
        <v>990.16341899999998</v>
      </c>
      <c r="J393">
        <v>3680.0780279999999</v>
      </c>
      <c r="K393" t="s">
        <v>6</v>
      </c>
      <c r="L393" t="s">
        <v>7</v>
      </c>
      <c r="M393" t="s">
        <v>8</v>
      </c>
      <c r="N393" t="s">
        <v>6</v>
      </c>
      <c r="O393" t="s">
        <v>3</v>
      </c>
      <c r="P393" t="s">
        <v>3</v>
      </c>
      <c r="Q393" t="s">
        <v>3</v>
      </c>
      <c r="R393" t="s">
        <v>3</v>
      </c>
      <c r="S393" t="s">
        <v>3</v>
      </c>
      <c r="T393" t="s">
        <v>7</v>
      </c>
      <c r="U393">
        <v>1</v>
      </c>
      <c r="V393">
        <v>1</v>
      </c>
      <c r="W393">
        <v>0</v>
      </c>
      <c r="X393">
        <v>5</v>
      </c>
      <c r="Y393">
        <v>0</v>
      </c>
      <c r="Z393" t="s">
        <v>8</v>
      </c>
      <c r="AA393" t="s">
        <v>4</v>
      </c>
      <c r="AB393" t="s">
        <v>6</v>
      </c>
      <c r="AC393" t="s">
        <v>7</v>
      </c>
      <c r="AD393" t="s">
        <v>8</v>
      </c>
      <c r="AE393" t="s">
        <v>6</v>
      </c>
      <c r="AF393" t="s">
        <v>3</v>
      </c>
      <c r="AG393" t="s">
        <v>3</v>
      </c>
      <c r="AH393" t="s">
        <v>3</v>
      </c>
      <c r="AI393" t="s">
        <v>3</v>
      </c>
      <c r="AJ393" t="s">
        <v>3</v>
      </c>
      <c r="AK393" t="s">
        <v>7</v>
      </c>
      <c r="AL393">
        <v>0</v>
      </c>
      <c r="AM393">
        <v>0</v>
      </c>
      <c r="AN393">
        <v>0</v>
      </c>
      <c r="AO393">
        <v>0</v>
      </c>
      <c r="AP393">
        <v>0</v>
      </c>
      <c r="AQ393" t="s">
        <v>9</v>
      </c>
      <c r="AR393" s="1">
        <v>3.1768694499999999E-4</v>
      </c>
      <c r="AS393" s="1">
        <v>9.9786529199999992E-25</v>
      </c>
      <c r="AT393">
        <v>17</v>
      </c>
      <c r="AU393" t="s">
        <v>10</v>
      </c>
      <c r="AV393">
        <v>1</v>
      </c>
      <c r="AW393">
        <v>1</v>
      </c>
      <c r="AX393">
        <v>0</v>
      </c>
      <c r="AY393">
        <v>5</v>
      </c>
      <c r="AZ393">
        <v>0</v>
      </c>
      <c r="BA393" t="s">
        <v>8</v>
      </c>
      <c r="BB393" t="s">
        <v>4</v>
      </c>
      <c r="BC393" t="s">
        <v>10</v>
      </c>
      <c r="BD393">
        <v>0</v>
      </c>
      <c r="BE393">
        <v>0</v>
      </c>
      <c r="BF393">
        <v>0</v>
      </c>
      <c r="BG393">
        <v>0</v>
      </c>
      <c r="BH393">
        <v>0</v>
      </c>
      <c r="BI393" t="s">
        <v>9</v>
      </c>
      <c r="BJ393">
        <v>2.2355000000000001E-4</v>
      </c>
      <c r="BK393">
        <v>0</v>
      </c>
      <c r="BL393">
        <v>-2.2572E-4</v>
      </c>
      <c r="BM393" s="2">
        <f t="shared" si="6"/>
        <v>6.0092852878571134E-6</v>
      </c>
    </row>
    <row r="394" spans="1:65" x14ac:dyDescent="0.35">
      <c r="A394">
        <v>0</v>
      </c>
      <c r="B394" t="s">
        <v>11</v>
      </c>
      <c r="C394" t="s">
        <v>4</v>
      </c>
      <c r="D394">
        <v>0</v>
      </c>
      <c r="E394" t="s">
        <v>3</v>
      </c>
      <c r="F394" t="s">
        <v>5</v>
      </c>
      <c r="G394">
        <v>4428.5456880000002</v>
      </c>
      <c r="H394" t="s">
        <v>4</v>
      </c>
      <c r="I394">
        <v>990.16341899999998</v>
      </c>
      <c r="J394">
        <v>3438.3822690000002</v>
      </c>
      <c r="K394" t="s">
        <v>6</v>
      </c>
      <c r="L394" t="s">
        <v>7</v>
      </c>
      <c r="M394" t="s">
        <v>8</v>
      </c>
      <c r="N394" t="s">
        <v>6</v>
      </c>
      <c r="O394" t="s">
        <v>3</v>
      </c>
      <c r="P394" t="s">
        <v>3</v>
      </c>
      <c r="Q394" t="s">
        <v>3</v>
      </c>
      <c r="R394" t="s">
        <v>3</v>
      </c>
      <c r="S394" t="s">
        <v>11</v>
      </c>
      <c r="T394" t="s">
        <v>7</v>
      </c>
      <c r="U394">
        <v>0</v>
      </c>
      <c r="V394">
        <v>0</v>
      </c>
      <c r="W394">
        <v>0</v>
      </c>
      <c r="X394">
        <v>5</v>
      </c>
      <c r="Y394">
        <v>0</v>
      </c>
      <c r="Z394" t="s">
        <v>19</v>
      </c>
      <c r="AA394" t="s">
        <v>4</v>
      </c>
      <c r="AB394" t="s">
        <v>6</v>
      </c>
      <c r="AC394" t="s">
        <v>7</v>
      </c>
      <c r="AD394" t="s">
        <v>8</v>
      </c>
      <c r="AE394" t="s">
        <v>6</v>
      </c>
      <c r="AF394" t="s">
        <v>3</v>
      </c>
      <c r="AG394" t="s">
        <v>3</v>
      </c>
      <c r="AH394" t="s">
        <v>3</v>
      </c>
      <c r="AI394" t="s">
        <v>3</v>
      </c>
      <c r="AJ394" t="s">
        <v>3</v>
      </c>
      <c r="AK394" t="s">
        <v>7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9</v>
      </c>
      <c r="AR394" s="1">
        <v>1.3277963700000001E-5</v>
      </c>
      <c r="AS394" s="1">
        <v>1.6286705699999999E-27</v>
      </c>
      <c r="AT394">
        <v>3</v>
      </c>
      <c r="AU394" t="s">
        <v>10</v>
      </c>
      <c r="AV394">
        <v>0</v>
      </c>
      <c r="AW394">
        <v>0</v>
      </c>
      <c r="AX394">
        <v>0</v>
      </c>
      <c r="AY394">
        <v>5</v>
      </c>
      <c r="AZ394">
        <v>0</v>
      </c>
      <c r="BA394" t="s">
        <v>19</v>
      </c>
      <c r="BB394" t="s">
        <v>4</v>
      </c>
      <c r="BC394" t="s">
        <v>10</v>
      </c>
      <c r="BD394">
        <v>0</v>
      </c>
      <c r="BE394">
        <v>0</v>
      </c>
      <c r="BF394">
        <v>0</v>
      </c>
      <c r="BG394">
        <v>0</v>
      </c>
      <c r="BH394">
        <v>0</v>
      </c>
      <c r="BI394" t="s">
        <v>9</v>
      </c>
      <c r="BJ394">
        <v>0</v>
      </c>
      <c r="BK394">
        <v>1.328E-5</v>
      </c>
      <c r="BL394">
        <v>0</v>
      </c>
      <c r="BM394" s="2">
        <f t="shared" si="6"/>
        <v>9.8080834893562561E-9</v>
      </c>
    </row>
    <row r="395" spans="1:65" x14ac:dyDescent="0.35">
      <c r="A395">
        <v>0</v>
      </c>
      <c r="B395" t="s">
        <v>11</v>
      </c>
      <c r="C395" t="s">
        <v>4</v>
      </c>
      <c r="D395">
        <v>0</v>
      </c>
      <c r="E395" t="s">
        <v>3</v>
      </c>
      <c r="F395" t="s">
        <v>5</v>
      </c>
      <c r="G395">
        <v>4315.576384</v>
      </c>
      <c r="H395" t="s">
        <v>4</v>
      </c>
      <c r="I395">
        <v>990.16341899999998</v>
      </c>
      <c r="J395">
        <v>3325.412965</v>
      </c>
      <c r="K395" t="s">
        <v>6</v>
      </c>
      <c r="L395" t="s">
        <v>7</v>
      </c>
      <c r="M395" t="s">
        <v>8</v>
      </c>
      <c r="N395" t="s">
        <v>6</v>
      </c>
      <c r="O395" t="s">
        <v>3</v>
      </c>
      <c r="P395" t="s">
        <v>3</v>
      </c>
      <c r="Q395" t="s">
        <v>3</v>
      </c>
      <c r="R395" t="s">
        <v>3</v>
      </c>
      <c r="S395" t="s">
        <v>11</v>
      </c>
      <c r="T395" t="s">
        <v>7</v>
      </c>
      <c r="U395">
        <v>0</v>
      </c>
      <c r="V395">
        <v>0</v>
      </c>
      <c r="W395">
        <v>0</v>
      </c>
      <c r="X395">
        <v>1</v>
      </c>
      <c r="Y395">
        <v>2</v>
      </c>
      <c r="Z395" t="s">
        <v>19</v>
      </c>
      <c r="AA395" t="s">
        <v>4</v>
      </c>
      <c r="AB395" t="s">
        <v>6</v>
      </c>
      <c r="AC395" t="s">
        <v>7</v>
      </c>
      <c r="AD395" t="s">
        <v>8</v>
      </c>
      <c r="AE395" t="s">
        <v>6</v>
      </c>
      <c r="AF395" t="s">
        <v>3</v>
      </c>
      <c r="AG395" t="s">
        <v>3</v>
      </c>
      <c r="AH395" t="s">
        <v>3</v>
      </c>
      <c r="AI395" t="s">
        <v>3</v>
      </c>
      <c r="AJ395" t="s">
        <v>3</v>
      </c>
      <c r="AK395" t="s">
        <v>7</v>
      </c>
      <c r="AL395">
        <v>0</v>
      </c>
      <c r="AM395">
        <v>0</v>
      </c>
      <c r="AN395">
        <v>0</v>
      </c>
      <c r="AO395">
        <v>0</v>
      </c>
      <c r="AP395">
        <v>0</v>
      </c>
      <c r="AQ395" t="s">
        <v>9</v>
      </c>
      <c r="AR395" s="1">
        <v>8.1605619200000002E-6</v>
      </c>
      <c r="AS395" s="1">
        <v>5.9497926599999998E-28</v>
      </c>
      <c r="AT395">
        <v>17</v>
      </c>
      <c r="AU395" t="s">
        <v>10</v>
      </c>
      <c r="AV395">
        <v>0</v>
      </c>
      <c r="AW395">
        <v>0</v>
      </c>
      <c r="AX395">
        <v>0</v>
      </c>
      <c r="AY395">
        <v>1</v>
      </c>
      <c r="AZ395">
        <v>2</v>
      </c>
      <c r="BA395" t="s">
        <v>19</v>
      </c>
      <c r="BB395" t="s">
        <v>4</v>
      </c>
      <c r="BC395" t="s">
        <v>10</v>
      </c>
      <c r="BD395">
        <v>0</v>
      </c>
      <c r="BE395">
        <v>0</v>
      </c>
      <c r="BF395">
        <v>0</v>
      </c>
      <c r="BG395">
        <v>0</v>
      </c>
      <c r="BH395">
        <v>0</v>
      </c>
      <c r="BI395" t="s">
        <v>9</v>
      </c>
      <c r="BJ395">
        <v>0</v>
      </c>
      <c r="BK395">
        <v>8.1599999999999998E-6</v>
      </c>
      <c r="BL395">
        <v>0</v>
      </c>
      <c r="BM395" s="2">
        <f t="shared" si="6"/>
        <v>3.5830489129326525E-9</v>
      </c>
    </row>
    <row r="396" spans="1:65" x14ac:dyDescent="0.35">
      <c r="A396">
        <v>0</v>
      </c>
      <c r="B396" t="s">
        <v>11</v>
      </c>
      <c r="C396" t="s">
        <v>4</v>
      </c>
      <c r="D396">
        <v>0</v>
      </c>
      <c r="E396" t="s">
        <v>3</v>
      </c>
      <c r="F396" t="s">
        <v>5</v>
      </c>
      <c r="G396">
        <v>3225.4661679999999</v>
      </c>
      <c r="H396" t="s">
        <v>4</v>
      </c>
      <c r="I396">
        <v>990.16341899999998</v>
      </c>
      <c r="J396">
        <v>2235.3027489999999</v>
      </c>
      <c r="K396" t="s">
        <v>6</v>
      </c>
      <c r="L396" t="s">
        <v>7</v>
      </c>
      <c r="M396" t="s">
        <v>8</v>
      </c>
      <c r="N396" t="s">
        <v>6</v>
      </c>
      <c r="O396" t="s">
        <v>3</v>
      </c>
      <c r="P396" t="s">
        <v>3</v>
      </c>
      <c r="Q396" t="s">
        <v>3</v>
      </c>
      <c r="R396" t="s">
        <v>3</v>
      </c>
      <c r="S396" t="s">
        <v>11</v>
      </c>
      <c r="T396" t="s">
        <v>7</v>
      </c>
      <c r="U396">
        <v>0</v>
      </c>
      <c r="V396">
        <v>0</v>
      </c>
      <c r="W396">
        <v>0</v>
      </c>
      <c r="X396">
        <v>2</v>
      </c>
      <c r="Y396">
        <v>1</v>
      </c>
      <c r="Z396" t="s">
        <v>14</v>
      </c>
      <c r="AA396" t="s">
        <v>4</v>
      </c>
      <c r="AB396" t="s">
        <v>6</v>
      </c>
      <c r="AC396" t="s">
        <v>7</v>
      </c>
      <c r="AD396" t="s">
        <v>8</v>
      </c>
      <c r="AE396" t="s">
        <v>6</v>
      </c>
      <c r="AF396" t="s">
        <v>3</v>
      </c>
      <c r="AG396" t="s">
        <v>3</v>
      </c>
      <c r="AH396" t="s">
        <v>3</v>
      </c>
      <c r="AI396" t="s">
        <v>3</v>
      </c>
      <c r="AJ396" t="s">
        <v>3</v>
      </c>
      <c r="AK396" t="s">
        <v>7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9</v>
      </c>
      <c r="AR396" s="1">
        <v>9.2652989400000005E-5</v>
      </c>
      <c r="AS396" s="1">
        <v>5.1554010900000001E-26</v>
      </c>
      <c r="AT396">
        <v>19</v>
      </c>
      <c r="AU396" t="s">
        <v>10</v>
      </c>
      <c r="AV396">
        <v>0</v>
      </c>
      <c r="AW396">
        <v>0</v>
      </c>
      <c r="AX396">
        <v>0</v>
      </c>
      <c r="AY396">
        <v>2</v>
      </c>
      <c r="AZ396">
        <v>1</v>
      </c>
      <c r="BA396" t="s">
        <v>14</v>
      </c>
      <c r="BB396" t="s">
        <v>4</v>
      </c>
      <c r="BC396" t="s">
        <v>10</v>
      </c>
      <c r="BD396">
        <v>0</v>
      </c>
      <c r="BE396">
        <v>0</v>
      </c>
      <c r="BF396">
        <v>0</v>
      </c>
      <c r="BG396">
        <v>0</v>
      </c>
      <c r="BH396">
        <v>0</v>
      </c>
      <c r="BI396" t="s">
        <v>9</v>
      </c>
      <c r="BJ396">
        <v>0</v>
      </c>
      <c r="BK396">
        <v>9.2650000000000002E-5</v>
      </c>
      <c r="BL396">
        <v>0</v>
      </c>
      <c r="BM396" s="2">
        <f t="shared" si="6"/>
        <v>3.1046551244453472E-7</v>
      </c>
    </row>
    <row r="397" spans="1:65" x14ac:dyDescent="0.35">
      <c r="A397">
        <v>0</v>
      </c>
      <c r="B397" t="s">
        <v>3</v>
      </c>
      <c r="C397" t="s">
        <v>4</v>
      </c>
      <c r="D397">
        <v>0</v>
      </c>
      <c r="E397" t="s">
        <v>3</v>
      </c>
      <c r="F397" t="s">
        <v>5</v>
      </c>
      <c r="G397">
        <v>4020.6113930000001</v>
      </c>
      <c r="H397" t="s">
        <v>4</v>
      </c>
      <c r="I397">
        <v>990.16341899999998</v>
      </c>
      <c r="J397">
        <v>3030.4479740000002</v>
      </c>
      <c r="K397" t="s">
        <v>6</v>
      </c>
      <c r="L397" t="s">
        <v>7</v>
      </c>
      <c r="M397" t="s">
        <v>8</v>
      </c>
      <c r="N397" t="s">
        <v>6</v>
      </c>
      <c r="O397" t="s">
        <v>3</v>
      </c>
      <c r="P397" t="s">
        <v>3</v>
      </c>
      <c r="Q397" t="s">
        <v>3</v>
      </c>
      <c r="R397" t="s">
        <v>3</v>
      </c>
      <c r="S397" t="s">
        <v>3</v>
      </c>
      <c r="T397" t="s">
        <v>7</v>
      </c>
      <c r="U397">
        <v>2</v>
      </c>
      <c r="V397">
        <v>0</v>
      </c>
      <c r="W397">
        <v>0</v>
      </c>
      <c r="X397">
        <v>1</v>
      </c>
      <c r="Y397">
        <v>1</v>
      </c>
      <c r="Z397" t="s">
        <v>9</v>
      </c>
      <c r="AA397" t="s">
        <v>4</v>
      </c>
      <c r="AB397" t="s">
        <v>6</v>
      </c>
      <c r="AC397" t="s">
        <v>7</v>
      </c>
      <c r="AD397" t="s">
        <v>8</v>
      </c>
      <c r="AE397" t="s">
        <v>6</v>
      </c>
      <c r="AF397" t="s">
        <v>3</v>
      </c>
      <c r="AG397" t="s">
        <v>3</v>
      </c>
      <c r="AH397" t="s">
        <v>3</v>
      </c>
      <c r="AI397" t="s">
        <v>3</v>
      </c>
      <c r="AJ397" t="s">
        <v>3</v>
      </c>
      <c r="AK397" t="s">
        <v>7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9</v>
      </c>
      <c r="AR397" s="1">
        <v>1.4588099000000001E-4</v>
      </c>
      <c r="AS397" s="1">
        <v>1.73268736E-25</v>
      </c>
      <c r="AT397">
        <v>17</v>
      </c>
      <c r="AU397" t="s">
        <v>10</v>
      </c>
      <c r="AV397">
        <v>2</v>
      </c>
      <c r="AW397">
        <v>0</v>
      </c>
      <c r="AX397">
        <v>0</v>
      </c>
      <c r="AY397">
        <v>1</v>
      </c>
      <c r="AZ397">
        <v>1</v>
      </c>
      <c r="BA397" t="s">
        <v>9</v>
      </c>
      <c r="BB397" t="s">
        <v>4</v>
      </c>
      <c r="BC397" t="s">
        <v>10</v>
      </c>
      <c r="BD397">
        <v>0</v>
      </c>
      <c r="BE397">
        <v>0</v>
      </c>
      <c r="BF397">
        <v>0</v>
      </c>
      <c r="BG397">
        <v>0</v>
      </c>
      <c r="BH397">
        <v>0</v>
      </c>
      <c r="BI397" t="s">
        <v>9</v>
      </c>
      <c r="BJ397">
        <v>-1.4584999999999999E-4</v>
      </c>
      <c r="BK397">
        <v>0</v>
      </c>
      <c r="BL397">
        <v>-3.1599999999999998E-6</v>
      </c>
      <c r="BM397" s="2">
        <f t="shared" si="6"/>
        <v>1.0434487244300286E-6</v>
      </c>
    </row>
    <row r="398" spans="1:65" x14ac:dyDescent="0.35">
      <c r="A398">
        <v>0</v>
      </c>
      <c r="B398" t="s">
        <v>11</v>
      </c>
      <c r="C398" t="s">
        <v>4</v>
      </c>
      <c r="D398">
        <v>0</v>
      </c>
      <c r="E398" t="s">
        <v>3</v>
      </c>
      <c r="F398" t="s">
        <v>5</v>
      </c>
      <c r="G398">
        <v>4230.8118109999996</v>
      </c>
      <c r="H398" t="s">
        <v>4</v>
      </c>
      <c r="I398">
        <v>990.16341899999998</v>
      </c>
      <c r="J398">
        <v>3240.6483920000001</v>
      </c>
      <c r="K398" t="s">
        <v>6</v>
      </c>
      <c r="L398" t="s">
        <v>7</v>
      </c>
      <c r="M398" t="s">
        <v>8</v>
      </c>
      <c r="N398" t="s">
        <v>6</v>
      </c>
      <c r="O398" t="s">
        <v>3</v>
      </c>
      <c r="P398" t="s">
        <v>3</v>
      </c>
      <c r="Q398" t="s">
        <v>3</v>
      </c>
      <c r="R398" t="s">
        <v>3</v>
      </c>
      <c r="S398" t="s">
        <v>11</v>
      </c>
      <c r="T398" t="s">
        <v>7</v>
      </c>
      <c r="U398">
        <v>0</v>
      </c>
      <c r="V398">
        <v>2</v>
      </c>
      <c r="W398">
        <v>0</v>
      </c>
      <c r="X398">
        <v>3</v>
      </c>
      <c r="Y398">
        <v>0</v>
      </c>
      <c r="Z398" t="s">
        <v>18</v>
      </c>
      <c r="AA398" t="s">
        <v>4</v>
      </c>
      <c r="AB398" t="s">
        <v>6</v>
      </c>
      <c r="AC398" t="s">
        <v>7</v>
      </c>
      <c r="AD398" t="s">
        <v>8</v>
      </c>
      <c r="AE398" t="s">
        <v>6</v>
      </c>
      <c r="AF398" t="s">
        <v>3</v>
      </c>
      <c r="AG398" t="s">
        <v>3</v>
      </c>
      <c r="AH398" t="s">
        <v>3</v>
      </c>
      <c r="AI398" t="s">
        <v>3</v>
      </c>
      <c r="AJ398" t="s">
        <v>3</v>
      </c>
      <c r="AK398" t="s">
        <v>7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9</v>
      </c>
      <c r="AR398" s="1">
        <v>1.99974942E-5</v>
      </c>
      <c r="AS398" s="1">
        <v>3.4817626899999997E-27</v>
      </c>
      <c r="AT398">
        <v>17</v>
      </c>
      <c r="AU398" t="s">
        <v>10</v>
      </c>
      <c r="AV398">
        <v>0</v>
      </c>
      <c r="AW398">
        <v>2</v>
      </c>
      <c r="AX398">
        <v>0</v>
      </c>
      <c r="AY398">
        <v>3</v>
      </c>
      <c r="AZ398">
        <v>0</v>
      </c>
      <c r="BA398" t="s">
        <v>18</v>
      </c>
      <c r="BB398" t="s">
        <v>4</v>
      </c>
      <c r="BC398" t="s">
        <v>10</v>
      </c>
      <c r="BD398">
        <v>0</v>
      </c>
      <c r="BE398">
        <v>0</v>
      </c>
      <c r="BF398">
        <v>0</v>
      </c>
      <c r="BG398">
        <v>0</v>
      </c>
      <c r="BH398">
        <v>0</v>
      </c>
      <c r="BI398" t="s">
        <v>9</v>
      </c>
      <c r="BJ398">
        <v>0</v>
      </c>
      <c r="BK398">
        <v>-2.0000000000000002E-5</v>
      </c>
      <c r="BL398">
        <v>0</v>
      </c>
      <c r="BM398" s="2">
        <f t="shared" si="6"/>
        <v>2.0967665151366748E-8</v>
      </c>
    </row>
    <row r="399" spans="1:65" x14ac:dyDescent="0.35">
      <c r="A399">
        <v>0</v>
      </c>
      <c r="B399" t="s">
        <v>3</v>
      </c>
      <c r="C399" t="s">
        <v>4</v>
      </c>
      <c r="D399">
        <v>0</v>
      </c>
      <c r="E399" t="s">
        <v>3</v>
      </c>
      <c r="F399" t="s">
        <v>5</v>
      </c>
      <c r="G399">
        <v>1744.3798629999999</v>
      </c>
      <c r="H399" t="s">
        <v>4</v>
      </c>
      <c r="I399">
        <v>990.16341899999998</v>
      </c>
      <c r="J399">
        <v>754.21644400000002</v>
      </c>
      <c r="K399" t="s">
        <v>6</v>
      </c>
      <c r="L399" t="s">
        <v>7</v>
      </c>
      <c r="M399" t="s">
        <v>8</v>
      </c>
      <c r="N399" t="s">
        <v>6</v>
      </c>
      <c r="O399" t="s">
        <v>3</v>
      </c>
      <c r="P399" t="s">
        <v>3</v>
      </c>
      <c r="Q399" t="s">
        <v>3</v>
      </c>
      <c r="R399" t="s">
        <v>3</v>
      </c>
      <c r="S399" t="s">
        <v>3</v>
      </c>
      <c r="T399" t="s">
        <v>7</v>
      </c>
      <c r="U399">
        <v>0</v>
      </c>
      <c r="V399">
        <v>0</v>
      </c>
      <c r="W399">
        <v>0</v>
      </c>
      <c r="X399">
        <v>0</v>
      </c>
      <c r="Y399">
        <v>2</v>
      </c>
      <c r="Z399" t="s">
        <v>8</v>
      </c>
      <c r="AA399" t="s">
        <v>4</v>
      </c>
      <c r="AB399" t="s">
        <v>6</v>
      </c>
      <c r="AC399" t="s">
        <v>7</v>
      </c>
      <c r="AD399" t="s">
        <v>8</v>
      </c>
      <c r="AE399" t="s">
        <v>6</v>
      </c>
      <c r="AF399" t="s">
        <v>3</v>
      </c>
      <c r="AG399" t="s">
        <v>3</v>
      </c>
      <c r="AH399" t="s">
        <v>3</v>
      </c>
      <c r="AI399" t="s">
        <v>3</v>
      </c>
      <c r="AJ399" t="s">
        <v>3</v>
      </c>
      <c r="AK399" t="s">
        <v>7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9</v>
      </c>
      <c r="AR399" s="1">
        <v>5.6236668100000001E-5</v>
      </c>
      <c r="AS399" s="1">
        <v>6.2404270900000003E-27</v>
      </c>
      <c r="AT399">
        <v>20</v>
      </c>
      <c r="AU399" t="s">
        <v>10</v>
      </c>
      <c r="AV399">
        <v>0</v>
      </c>
      <c r="AW399">
        <v>0</v>
      </c>
      <c r="AX399">
        <v>0</v>
      </c>
      <c r="AY399">
        <v>0</v>
      </c>
      <c r="AZ399">
        <v>2</v>
      </c>
      <c r="BA399" t="s">
        <v>8</v>
      </c>
      <c r="BB399" t="s">
        <v>4</v>
      </c>
      <c r="BC399" t="s">
        <v>10</v>
      </c>
      <c r="BD399">
        <v>0</v>
      </c>
      <c r="BE399">
        <v>0</v>
      </c>
      <c r="BF399">
        <v>0</v>
      </c>
      <c r="BG399">
        <v>0</v>
      </c>
      <c r="BH399">
        <v>0</v>
      </c>
      <c r="BI399" t="s">
        <v>9</v>
      </c>
      <c r="BJ399">
        <v>-4.1019999999999997E-5</v>
      </c>
      <c r="BK399">
        <v>0</v>
      </c>
      <c r="BL399">
        <v>-3.8470000000000003E-5</v>
      </c>
      <c r="BM399" s="2">
        <f t="shared" si="6"/>
        <v>3.7580730588114276E-8</v>
      </c>
    </row>
    <row r="400" spans="1:65" x14ac:dyDescent="0.35">
      <c r="A400">
        <v>0</v>
      </c>
      <c r="B400" t="s">
        <v>3</v>
      </c>
      <c r="C400" t="s">
        <v>4</v>
      </c>
      <c r="D400">
        <v>0</v>
      </c>
      <c r="E400" t="s">
        <v>3</v>
      </c>
      <c r="F400" t="s">
        <v>5</v>
      </c>
      <c r="G400">
        <v>4794.2363349999996</v>
      </c>
      <c r="H400" t="s">
        <v>4</v>
      </c>
      <c r="I400">
        <v>990.16341899999998</v>
      </c>
      <c r="J400">
        <v>3804.0729160000001</v>
      </c>
      <c r="K400" t="s">
        <v>6</v>
      </c>
      <c r="L400" t="s">
        <v>7</v>
      </c>
      <c r="M400" t="s">
        <v>8</v>
      </c>
      <c r="N400" t="s">
        <v>6</v>
      </c>
      <c r="O400" t="s">
        <v>3</v>
      </c>
      <c r="P400" t="s">
        <v>3</v>
      </c>
      <c r="Q400" t="s">
        <v>3</v>
      </c>
      <c r="R400" t="s">
        <v>3</v>
      </c>
      <c r="S400" t="s">
        <v>3</v>
      </c>
      <c r="T400" t="s">
        <v>7</v>
      </c>
      <c r="U400">
        <v>0</v>
      </c>
      <c r="V400">
        <v>1</v>
      </c>
      <c r="W400">
        <v>0</v>
      </c>
      <c r="X400">
        <v>1</v>
      </c>
      <c r="Y400">
        <v>0</v>
      </c>
      <c r="Z400" t="s">
        <v>27</v>
      </c>
      <c r="AA400" t="s">
        <v>4</v>
      </c>
      <c r="AB400" t="s">
        <v>6</v>
      </c>
      <c r="AC400" t="s">
        <v>7</v>
      </c>
      <c r="AD400" t="s">
        <v>8</v>
      </c>
      <c r="AE400" t="s">
        <v>6</v>
      </c>
      <c r="AF400" t="s">
        <v>3</v>
      </c>
      <c r="AG400" t="s">
        <v>3</v>
      </c>
      <c r="AH400" t="s">
        <v>3</v>
      </c>
      <c r="AI400" t="s">
        <v>3</v>
      </c>
      <c r="AJ400" t="s">
        <v>3</v>
      </c>
      <c r="AK400" t="s">
        <v>7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9</v>
      </c>
      <c r="AR400" s="1">
        <v>2.4677668899999999E-4</v>
      </c>
      <c r="AS400" s="1">
        <v>6.2240526399999997E-25</v>
      </c>
      <c r="AT400">
        <v>18</v>
      </c>
      <c r="AU400" t="s">
        <v>10</v>
      </c>
      <c r="AV400">
        <v>0</v>
      </c>
      <c r="AW400">
        <v>1</v>
      </c>
      <c r="AX400">
        <v>0</v>
      </c>
      <c r="AY400">
        <v>1</v>
      </c>
      <c r="AZ400">
        <v>0</v>
      </c>
      <c r="BA400" t="s">
        <v>27</v>
      </c>
      <c r="BB400" t="s">
        <v>4</v>
      </c>
      <c r="BC400" t="s">
        <v>10</v>
      </c>
      <c r="BD400">
        <v>0</v>
      </c>
      <c r="BE400">
        <v>0</v>
      </c>
      <c r="BF400">
        <v>0</v>
      </c>
      <c r="BG400">
        <v>0</v>
      </c>
      <c r="BH400">
        <v>0</v>
      </c>
      <c r="BI400" t="s">
        <v>9</v>
      </c>
      <c r="BJ400">
        <v>-1.5724000000000001E-4</v>
      </c>
      <c r="BK400">
        <v>0</v>
      </c>
      <c r="BL400">
        <v>1.9018999999999999E-4</v>
      </c>
      <c r="BM400" s="2">
        <f t="shared" si="6"/>
        <v>3.7482121344691708E-6</v>
      </c>
    </row>
    <row r="401" spans="1:65" x14ac:dyDescent="0.35">
      <c r="A401">
        <v>0</v>
      </c>
      <c r="B401" t="s">
        <v>11</v>
      </c>
      <c r="C401" t="s">
        <v>4</v>
      </c>
      <c r="D401">
        <v>0</v>
      </c>
      <c r="E401" t="s">
        <v>3</v>
      </c>
      <c r="F401" t="s">
        <v>5</v>
      </c>
      <c r="G401">
        <v>4736.0197109999999</v>
      </c>
      <c r="H401" t="s">
        <v>4</v>
      </c>
      <c r="I401">
        <v>990.16341899999998</v>
      </c>
      <c r="J401">
        <v>3745.8562919999999</v>
      </c>
      <c r="K401" t="s">
        <v>6</v>
      </c>
      <c r="L401" t="s">
        <v>7</v>
      </c>
      <c r="M401" t="s">
        <v>8</v>
      </c>
      <c r="N401" t="s">
        <v>6</v>
      </c>
      <c r="O401" t="s">
        <v>3</v>
      </c>
      <c r="P401" t="s">
        <v>3</v>
      </c>
      <c r="Q401" t="s">
        <v>3</v>
      </c>
      <c r="R401" t="s">
        <v>3</v>
      </c>
      <c r="S401" t="s">
        <v>11</v>
      </c>
      <c r="T401" t="s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 t="s">
        <v>31</v>
      </c>
      <c r="AA401" t="s">
        <v>4</v>
      </c>
      <c r="AB401" t="s">
        <v>6</v>
      </c>
      <c r="AC401" t="s">
        <v>7</v>
      </c>
      <c r="AD401" t="s">
        <v>8</v>
      </c>
      <c r="AE401" t="s">
        <v>6</v>
      </c>
      <c r="AF401" t="s">
        <v>3</v>
      </c>
      <c r="AG401" t="s">
        <v>3</v>
      </c>
      <c r="AH401" t="s">
        <v>3</v>
      </c>
      <c r="AI401" t="s">
        <v>3</v>
      </c>
      <c r="AJ401" t="s">
        <v>3</v>
      </c>
      <c r="AK401" t="s">
        <v>7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9</v>
      </c>
      <c r="AR401" s="1">
        <v>5.6591137400000002E-5</v>
      </c>
      <c r="AS401" s="1">
        <v>3.2230282699999998E-26</v>
      </c>
      <c r="AT401">
        <v>17</v>
      </c>
      <c r="AU401" t="s">
        <v>10</v>
      </c>
      <c r="AV401">
        <v>0</v>
      </c>
      <c r="AW401">
        <v>0</v>
      </c>
      <c r="AX401">
        <v>0</v>
      </c>
      <c r="AY401">
        <v>0</v>
      </c>
      <c r="AZ401">
        <v>0</v>
      </c>
      <c r="BA401" t="s">
        <v>31</v>
      </c>
      <c r="BB401" t="s">
        <v>4</v>
      </c>
      <c r="BC401" t="s">
        <v>10</v>
      </c>
      <c r="BD401">
        <v>0</v>
      </c>
      <c r="BE401">
        <v>0</v>
      </c>
      <c r="BF401">
        <v>0</v>
      </c>
      <c r="BG401">
        <v>0</v>
      </c>
      <c r="BH401">
        <v>0</v>
      </c>
      <c r="BI401" t="s">
        <v>9</v>
      </c>
      <c r="BJ401">
        <v>0</v>
      </c>
      <c r="BK401">
        <v>5.6589999999999999E-5</v>
      </c>
      <c r="BL401">
        <v>0</v>
      </c>
      <c r="BM401" s="2">
        <f t="shared" si="6"/>
        <v>1.9409530044320416E-7</v>
      </c>
    </row>
    <row r="402" spans="1:65" x14ac:dyDescent="0.35">
      <c r="A402">
        <v>0</v>
      </c>
      <c r="B402" t="s">
        <v>11</v>
      </c>
      <c r="C402" t="s">
        <v>4</v>
      </c>
      <c r="D402">
        <v>0</v>
      </c>
      <c r="E402" t="s">
        <v>3</v>
      </c>
      <c r="F402" t="s">
        <v>5</v>
      </c>
      <c r="G402">
        <v>3018.3115290000001</v>
      </c>
      <c r="H402" t="s">
        <v>4</v>
      </c>
      <c r="I402">
        <v>990.16341899999998</v>
      </c>
      <c r="J402">
        <v>2028.1481100000001</v>
      </c>
      <c r="K402" t="s">
        <v>6</v>
      </c>
      <c r="L402" t="s">
        <v>7</v>
      </c>
      <c r="M402" t="s">
        <v>8</v>
      </c>
      <c r="N402" t="s">
        <v>6</v>
      </c>
      <c r="O402" t="s">
        <v>3</v>
      </c>
      <c r="P402" t="s">
        <v>3</v>
      </c>
      <c r="Q402" t="s">
        <v>3</v>
      </c>
      <c r="R402" t="s">
        <v>3</v>
      </c>
      <c r="S402" t="s">
        <v>11</v>
      </c>
      <c r="T402" t="s">
        <v>7</v>
      </c>
      <c r="U402">
        <v>1</v>
      </c>
      <c r="V402">
        <v>0</v>
      </c>
      <c r="W402">
        <v>0</v>
      </c>
      <c r="X402">
        <v>0</v>
      </c>
      <c r="Y402">
        <v>1</v>
      </c>
      <c r="Z402" t="s">
        <v>13</v>
      </c>
      <c r="AA402" t="s">
        <v>4</v>
      </c>
      <c r="AB402" t="s">
        <v>6</v>
      </c>
      <c r="AC402" t="s">
        <v>7</v>
      </c>
      <c r="AD402" t="s">
        <v>8</v>
      </c>
      <c r="AE402" t="s">
        <v>6</v>
      </c>
      <c r="AF402" t="s">
        <v>3</v>
      </c>
      <c r="AG402" t="s">
        <v>3</v>
      </c>
      <c r="AH402" t="s">
        <v>3</v>
      </c>
      <c r="AI402" t="s">
        <v>3</v>
      </c>
      <c r="AJ402" t="s">
        <v>3</v>
      </c>
      <c r="AK402" t="s">
        <v>7</v>
      </c>
      <c r="AL402">
        <v>0</v>
      </c>
      <c r="AM402">
        <v>0</v>
      </c>
      <c r="AN402">
        <v>0</v>
      </c>
      <c r="AO402">
        <v>0</v>
      </c>
      <c r="AP402">
        <v>0</v>
      </c>
      <c r="AQ402" t="s">
        <v>9</v>
      </c>
      <c r="AR402" s="1">
        <v>4.1790363700000002E-4</v>
      </c>
      <c r="AS402" s="1">
        <v>9.5157682499999993E-25</v>
      </c>
      <c r="AT402">
        <v>18</v>
      </c>
      <c r="AU402" t="s">
        <v>10</v>
      </c>
      <c r="AV402">
        <v>1</v>
      </c>
      <c r="AW402">
        <v>0</v>
      </c>
      <c r="AX402">
        <v>0</v>
      </c>
      <c r="AY402">
        <v>0</v>
      </c>
      <c r="AZ402">
        <v>1</v>
      </c>
      <c r="BA402" t="s">
        <v>13</v>
      </c>
      <c r="BB402" t="s">
        <v>4</v>
      </c>
      <c r="BC402" t="s">
        <v>10</v>
      </c>
      <c r="BD402">
        <v>0</v>
      </c>
      <c r="BE402">
        <v>0</v>
      </c>
      <c r="BF402">
        <v>0</v>
      </c>
      <c r="BG402">
        <v>0</v>
      </c>
      <c r="BH402">
        <v>0</v>
      </c>
      <c r="BI402" t="s">
        <v>9</v>
      </c>
      <c r="BJ402">
        <v>0</v>
      </c>
      <c r="BK402">
        <v>4.1790000000000002E-4</v>
      </c>
      <c r="BL402">
        <v>0</v>
      </c>
      <c r="BM402" s="2">
        <f t="shared" si="6"/>
        <v>5.73052962216696E-6</v>
      </c>
    </row>
    <row r="403" spans="1:65" x14ac:dyDescent="0.35">
      <c r="A403">
        <v>0</v>
      </c>
      <c r="B403" t="s">
        <v>11</v>
      </c>
      <c r="C403" t="s">
        <v>4</v>
      </c>
      <c r="D403">
        <v>0</v>
      </c>
      <c r="E403" t="s">
        <v>3</v>
      </c>
      <c r="F403" t="s">
        <v>5</v>
      </c>
      <c r="G403">
        <v>4384.9633000000003</v>
      </c>
      <c r="H403" t="s">
        <v>4</v>
      </c>
      <c r="I403">
        <v>990.16341899999998</v>
      </c>
      <c r="J403">
        <v>3394.7998809999999</v>
      </c>
      <c r="K403" t="s">
        <v>6</v>
      </c>
      <c r="L403" t="s">
        <v>7</v>
      </c>
      <c r="M403" t="s">
        <v>8</v>
      </c>
      <c r="N403" t="s">
        <v>6</v>
      </c>
      <c r="O403" t="s">
        <v>3</v>
      </c>
      <c r="P403" t="s">
        <v>3</v>
      </c>
      <c r="Q403" t="s">
        <v>3</v>
      </c>
      <c r="R403" t="s">
        <v>3</v>
      </c>
      <c r="S403" t="s">
        <v>11</v>
      </c>
      <c r="T403" t="s">
        <v>7</v>
      </c>
      <c r="U403">
        <v>0</v>
      </c>
      <c r="V403">
        <v>1</v>
      </c>
      <c r="W403">
        <v>0</v>
      </c>
      <c r="X403">
        <v>0</v>
      </c>
      <c r="Y403">
        <v>1</v>
      </c>
      <c r="Z403" t="s">
        <v>19</v>
      </c>
      <c r="AA403" t="s">
        <v>4</v>
      </c>
      <c r="AB403" t="s">
        <v>6</v>
      </c>
      <c r="AC403" t="s">
        <v>7</v>
      </c>
      <c r="AD403" t="s">
        <v>8</v>
      </c>
      <c r="AE403" t="s">
        <v>6</v>
      </c>
      <c r="AF403" t="s">
        <v>3</v>
      </c>
      <c r="AG403" t="s">
        <v>3</v>
      </c>
      <c r="AH403" t="s">
        <v>3</v>
      </c>
      <c r="AI403" t="s">
        <v>3</v>
      </c>
      <c r="AJ403" t="s">
        <v>3</v>
      </c>
      <c r="AK403" t="s">
        <v>7</v>
      </c>
      <c r="AL403">
        <v>0</v>
      </c>
      <c r="AM403">
        <v>0</v>
      </c>
      <c r="AN403">
        <v>0</v>
      </c>
      <c r="AO403">
        <v>0</v>
      </c>
      <c r="AP403">
        <v>0</v>
      </c>
      <c r="AQ403" t="s">
        <v>9</v>
      </c>
      <c r="AR403" s="1">
        <v>2.6122882099999999E-5</v>
      </c>
      <c r="AS403" s="1">
        <v>6.2240416499999998E-27</v>
      </c>
      <c r="AT403">
        <v>17</v>
      </c>
      <c r="AU403" t="s">
        <v>10</v>
      </c>
      <c r="AV403">
        <v>0</v>
      </c>
      <c r="AW403">
        <v>1</v>
      </c>
      <c r="AX403">
        <v>0</v>
      </c>
      <c r="AY403">
        <v>0</v>
      </c>
      <c r="AZ403">
        <v>1</v>
      </c>
      <c r="BA403" t="s">
        <v>19</v>
      </c>
      <c r="BB403" t="s">
        <v>4</v>
      </c>
      <c r="BC403" t="s">
        <v>10</v>
      </c>
      <c r="BD403">
        <v>0</v>
      </c>
      <c r="BE403">
        <v>0</v>
      </c>
      <c r="BF403">
        <v>0</v>
      </c>
      <c r="BG403">
        <v>0</v>
      </c>
      <c r="BH403">
        <v>0</v>
      </c>
      <c r="BI403" t="s">
        <v>9</v>
      </c>
      <c r="BJ403">
        <v>0</v>
      </c>
      <c r="BK403">
        <v>2.6120000000000001E-5</v>
      </c>
      <c r="BL403">
        <v>0</v>
      </c>
      <c r="BM403" s="2">
        <f t="shared" si="6"/>
        <v>3.7482055161364315E-8</v>
      </c>
    </row>
    <row r="404" spans="1:65" x14ac:dyDescent="0.35">
      <c r="A404">
        <v>0</v>
      </c>
      <c r="B404" t="s">
        <v>3</v>
      </c>
      <c r="C404" t="s">
        <v>4</v>
      </c>
      <c r="D404">
        <v>0</v>
      </c>
      <c r="E404" t="s">
        <v>3</v>
      </c>
      <c r="F404" t="s">
        <v>5</v>
      </c>
      <c r="G404">
        <v>3701.754371</v>
      </c>
      <c r="H404" t="s">
        <v>4</v>
      </c>
      <c r="I404">
        <v>990.16341899999998</v>
      </c>
      <c r="J404">
        <v>2711.590952</v>
      </c>
      <c r="K404" t="s">
        <v>6</v>
      </c>
      <c r="L404" t="s">
        <v>7</v>
      </c>
      <c r="M404" t="s">
        <v>8</v>
      </c>
      <c r="N404" t="s">
        <v>6</v>
      </c>
      <c r="O404" t="s">
        <v>3</v>
      </c>
      <c r="P404" t="s">
        <v>3</v>
      </c>
      <c r="Q404" t="s">
        <v>3</v>
      </c>
      <c r="R404" t="s">
        <v>3</v>
      </c>
      <c r="S404" t="s">
        <v>3</v>
      </c>
      <c r="T404" t="s">
        <v>7</v>
      </c>
      <c r="U404">
        <v>0</v>
      </c>
      <c r="V404">
        <v>0</v>
      </c>
      <c r="W404">
        <v>0</v>
      </c>
      <c r="X404">
        <v>0</v>
      </c>
      <c r="Y404">
        <v>0</v>
      </c>
      <c r="Z404" t="s">
        <v>20</v>
      </c>
      <c r="AA404" t="s">
        <v>4</v>
      </c>
      <c r="AB404" t="s">
        <v>6</v>
      </c>
      <c r="AC404" t="s">
        <v>7</v>
      </c>
      <c r="AD404" t="s">
        <v>8</v>
      </c>
      <c r="AE404" t="s">
        <v>6</v>
      </c>
      <c r="AF404" t="s">
        <v>3</v>
      </c>
      <c r="AG404" t="s">
        <v>3</v>
      </c>
      <c r="AH404" t="s">
        <v>3</v>
      </c>
      <c r="AI404" t="s">
        <v>3</v>
      </c>
      <c r="AJ404" t="s">
        <v>3</v>
      </c>
      <c r="AK404" t="s">
        <v>7</v>
      </c>
      <c r="AL404">
        <v>0</v>
      </c>
      <c r="AM404">
        <v>0</v>
      </c>
      <c r="AN404">
        <v>0</v>
      </c>
      <c r="AO404">
        <v>0</v>
      </c>
      <c r="AP404">
        <v>0</v>
      </c>
      <c r="AQ404" t="s">
        <v>9</v>
      </c>
      <c r="AR404" s="1">
        <v>1.0788337399999999E-4</v>
      </c>
      <c r="AS404" s="1">
        <v>8.4790752100000005E-26</v>
      </c>
      <c r="AT404">
        <v>20</v>
      </c>
      <c r="AU404" t="s">
        <v>10</v>
      </c>
      <c r="AV404">
        <v>0</v>
      </c>
      <c r="AW404">
        <v>0</v>
      </c>
      <c r="AX404">
        <v>0</v>
      </c>
      <c r="AY404">
        <v>0</v>
      </c>
      <c r="AZ404">
        <v>0</v>
      </c>
      <c r="BA404" t="s">
        <v>20</v>
      </c>
      <c r="BB404" t="s">
        <v>4</v>
      </c>
      <c r="BC404" t="s">
        <v>10</v>
      </c>
      <c r="BD404">
        <v>0</v>
      </c>
      <c r="BE404">
        <v>0</v>
      </c>
      <c r="BF404">
        <v>0</v>
      </c>
      <c r="BG404">
        <v>0</v>
      </c>
      <c r="BH404">
        <v>0</v>
      </c>
      <c r="BI404" t="s">
        <v>9</v>
      </c>
      <c r="BJ404">
        <v>-9.064E-5</v>
      </c>
      <c r="BK404">
        <v>0</v>
      </c>
      <c r="BL404">
        <v>-5.8510000000000001E-5</v>
      </c>
      <c r="BM404" s="2">
        <f t="shared" si="6"/>
        <v>5.1062184768409576E-7</v>
      </c>
    </row>
    <row r="405" spans="1:65" x14ac:dyDescent="0.35">
      <c r="A405">
        <v>0</v>
      </c>
      <c r="B405" t="s">
        <v>11</v>
      </c>
      <c r="C405" t="s">
        <v>4</v>
      </c>
      <c r="D405">
        <v>0</v>
      </c>
      <c r="E405" t="s">
        <v>3</v>
      </c>
      <c r="F405" t="s">
        <v>5</v>
      </c>
      <c r="G405">
        <v>3542.5118889999999</v>
      </c>
      <c r="H405" t="s">
        <v>4</v>
      </c>
      <c r="I405">
        <v>990.16341899999998</v>
      </c>
      <c r="J405">
        <v>2552.3484699999999</v>
      </c>
      <c r="K405" t="s">
        <v>6</v>
      </c>
      <c r="L405" t="s">
        <v>7</v>
      </c>
      <c r="M405" t="s">
        <v>8</v>
      </c>
      <c r="N405" t="s">
        <v>6</v>
      </c>
      <c r="O405" t="s">
        <v>3</v>
      </c>
      <c r="P405" t="s">
        <v>3</v>
      </c>
      <c r="Q405" t="s">
        <v>3</v>
      </c>
      <c r="R405" t="s">
        <v>3</v>
      </c>
      <c r="S405" t="s">
        <v>11</v>
      </c>
      <c r="T405" t="s">
        <v>7</v>
      </c>
      <c r="U405">
        <v>2</v>
      </c>
      <c r="V405">
        <v>1</v>
      </c>
      <c r="W405">
        <v>0</v>
      </c>
      <c r="X405">
        <v>0</v>
      </c>
      <c r="Y405">
        <v>0</v>
      </c>
      <c r="Z405" t="s">
        <v>18</v>
      </c>
      <c r="AA405" t="s">
        <v>4</v>
      </c>
      <c r="AB405" t="s">
        <v>6</v>
      </c>
      <c r="AC405" t="s">
        <v>7</v>
      </c>
      <c r="AD405" t="s">
        <v>8</v>
      </c>
      <c r="AE405" t="s">
        <v>6</v>
      </c>
      <c r="AF405" t="s">
        <v>3</v>
      </c>
      <c r="AG405" t="s">
        <v>3</v>
      </c>
      <c r="AH405" t="s">
        <v>3</v>
      </c>
      <c r="AI405" t="s">
        <v>3</v>
      </c>
      <c r="AJ405" t="s">
        <v>3</v>
      </c>
      <c r="AK405" t="s">
        <v>7</v>
      </c>
      <c r="AL405">
        <v>0</v>
      </c>
      <c r="AM405">
        <v>0</v>
      </c>
      <c r="AN405">
        <v>0</v>
      </c>
      <c r="AO405">
        <v>0</v>
      </c>
      <c r="AP405">
        <v>0</v>
      </c>
      <c r="AQ405" t="s">
        <v>9</v>
      </c>
      <c r="AR405" s="1">
        <v>2.2944330600000002E-5</v>
      </c>
      <c r="AS405" s="1">
        <v>3.6099815600000003E-27</v>
      </c>
      <c r="AT405">
        <v>17</v>
      </c>
      <c r="AU405" t="s">
        <v>10</v>
      </c>
      <c r="AV405">
        <v>2</v>
      </c>
      <c r="AW405">
        <v>1</v>
      </c>
      <c r="AX405">
        <v>0</v>
      </c>
      <c r="AY405">
        <v>0</v>
      </c>
      <c r="AZ405">
        <v>0</v>
      </c>
      <c r="BA405" t="s">
        <v>18</v>
      </c>
      <c r="BB405" t="s">
        <v>4</v>
      </c>
      <c r="BC405" t="s">
        <v>10</v>
      </c>
      <c r="BD405">
        <v>0</v>
      </c>
      <c r="BE405">
        <v>0</v>
      </c>
      <c r="BF405">
        <v>0</v>
      </c>
      <c r="BG405">
        <v>0</v>
      </c>
      <c r="BH405">
        <v>0</v>
      </c>
      <c r="BI405" t="s">
        <v>9</v>
      </c>
      <c r="BJ405">
        <v>0</v>
      </c>
      <c r="BK405">
        <v>2.2940000000000001E-5</v>
      </c>
      <c r="BL405">
        <v>0</v>
      </c>
      <c r="BM405" s="2">
        <f t="shared" si="6"/>
        <v>2.1739817239723651E-8</v>
      </c>
    </row>
    <row r="406" spans="1:65" x14ac:dyDescent="0.35">
      <c r="A406">
        <v>0</v>
      </c>
      <c r="B406" t="s">
        <v>11</v>
      </c>
      <c r="C406" t="s">
        <v>4</v>
      </c>
      <c r="D406">
        <v>0</v>
      </c>
      <c r="E406" t="s">
        <v>3</v>
      </c>
      <c r="F406" t="s">
        <v>5</v>
      </c>
      <c r="G406">
        <v>3824.9696920000001</v>
      </c>
      <c r="H406" t="s">
        <v>4</v>
      </c>
      <c r="I406">
        <v>990.16341899999998</v>
      </c>
      <c r="J406">
        <v>2834.8062730000001</v>
      </c>
      <c r="K406" t="s">
        <v>6</v>
      </c>
      <c r="L406" t="s">
        <v>7</v>
      </c>
      <c r="M406" t="s">
        <v>8</v>
      </c>
      <c r="N406" t="s">
        <v>6</v>
      </c>
      <c r="O406" t="s">
        <v>3</v>
      </c>
      <c r="P406" t="s">
        <v>3</v>
      </c>
      <c r="Q406" t="s">
        <v>3</v>
      </c>
      <c r="R406" t="s">
        <v>3</v>
      </c>
      <c r="S406" t="s">
        <v>11</v>
      </c>
      <c r="T406" t="s">
        <v>7</v>
      </c>
      <c r="U406">
        <v>1</v>
      </c>
      <c r="V406">
        <v>0</v>
      </c>
      <c r="W406">
        <v>0</v>
      </c>
      <c r="X406">
        <v>1</v>
      </c>
      <c r="Y406">
        <v>1</v>
      </c>
      <c r="Z406" t="s">
        <v>13</v>
      </c>
      <c r="AA406" t="s">
        <v>4</v>
      </c>
      <c r="AB406" t="s">
        <v>6</v>
      </c>
      <c r="AC406" t="s">
        <v>7</v>
      </c>
      <c r="AD406" t="s">
        <v>8</v>
      </c>
      <c r="AE406" t="s">
        <v>6</v>
      </c>
      <c r="AF406" t="s">
        <v>3</v>
      </c>
      <c r="AG406" t="s">
        <v>3</v>
      </c>
      <c r="AH406" t="s">
        <v>3</v>
      </c>
      <c r="AI406" t="s">
        <v>3</v>
      </c>
      <c r="AJ406" t="s">
        <v>3</v>
      </c>
      <c r="AK406" t="s">
        <v>7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9</v>
      </c>
      <c r="AR406" s="1">
        <v>1.01997487E-4</v>
      </c>
      <c r="AS406" s="1">
        <v>7.9235171499999995E-26</v>
      </c>
      <c r="AT406">
        <v>17</v>
      </c>
      <c r="AU406" t="s">
        <v>10</v>
      </c>
      <c r="AV406">
        <v>1</v>
      </c>
      <c r="AW406">
        <v>0</v>
      </c>
      <c r="AX406">
        <v>0</v>
      </c>
      <c r="AY406">
        <v>1</v>
      </c>
      <c r="AZ406">
        <v>1</v>
      </c>
      <c r="BA406" t="s">
        <v>13</v>
      </c>
      <c r="BB406" t="s">
        <v>4</v>
      </c>
      <c r="BC406" t="s">
        <v>10</v>
      </c>
      <c r="BD406">
        <v>0</v>
      </c>
      <c r="BE406">
        <v>0</v>
      </c>
      <c r="BF406">
        <v>0</v>
      </c>
      <c r="BG406">
        <v>0</v>
      </c>
      <c r="BH406">
        <v>0</v>
      </c>
      <c r="BI406" t="s">
        <v>9</v>
      </c>
      <c r="BJ406">
        <v>0</v>
      </c>
      <c r="BK406">
        <v>-1.02E-4</v>
      </c>
      <c r="BL406">
        <v>0</v>
      </c>
      <c r="BM406" s="2">
        <f t="shared" si="6"/>
        <v>4.7716535908514712E-7</v>
      </c>
    </row>
    <row r="407" spans="1:65" x14ac:dyDescent="0.35">
      <c r="A407">
        <v>0</v>
      </c>
      <c r="B407" t="s">
        <v>3</v>
      </c>
      <c r="C407" t="s">
        <v>4</v>
      </c>
      <c r="D407">
        <v>0</v>
      </c>
      <c r="E407" t="s">
        <v>3</v>
      </c>
      <c r="F407" t="s">
        <v>5</v>
      </c>
      <c r="G407">
        <v>4141.8124250000001</v>
      </c>
      <c r="H407" t="s">
        <v>4</v>
      </c>
      <c r="I407">
        <v>990.16341899999998</v>
      </c>
      <c r="J407">
        <v>3151.6490060000001</v>
      </c>
      <c r="K407" t="s">
        <v>6</v>
      </c>
      <c r="L407" t="s">
        <v>7</v>
      </c>
      <c r="M407" t="s">
        <v>8</v>
      </c>
      <c r="N407" t="s">
        <v>6</v>
      </c>
      <c r="O407" t="s">
        <v>3</v>
      </c>
      <c r="P407" t="s">
        <v>3</v>
      </c>
      <c r="Q407" t="s">
        <v>3</v>
      </c>
      <c r="R407" t="s">
        <v>3</v>
      </c>
      <c r="S407" t="s">
        <v>3</v>
      </c>
      <c r="T407" t="s">
        <v>7</v>
      </c>
      <c r="U407">
        <v>0</v>
      </c>
      <c r="V407">
        <v>1</v>
      </c>
      <c r="W407">
        <v>0</v>
      </c>
      <c r="X407">
        <v>0</v>
      </c>
      <c r="Y407">
        <v>1</v>
      </c>
      <c r="Z407" t="s">
        <v>21</v>
      </c>
      <c r="AA407" t="s">
        <v>4</v>
      </c>
      <c r="AB407" t="s">
        <v>6</v>
      </c>
      <c r="AC407" t="s">
        <v>7</v>
      </c>
      <c r="AD407" t="s">
        <v>8</v>
      </c>
      <c r="AE407" t="s">
        <v>6</v>
      </c>
      <c r="AF407" t="s">
        <v>3</v>
      </c>
      <c r="AG407" t="s">
        <v>3</v>
      </c>
      <c r="AH407" t="s">
        <v>3</v>
      </c>
      <c r="AI407" t="s">
        <v>3</v>
      </c>
      <c r="AJ407" t="s">
        <v>3</v>
      </c>
      <c r="AK407" t="s">
        <v>7</v>
      </c>
      <c r="AL407">
        <v>0</v>
      </c>
      <c r="AM407">
        <v>0</v>
      </c>
      <c r="AN407">
        <v>0</v>
      </c>
      <c r="AO407">
        <v>0</v>
      </c>
      <c r="AP407">
        <v>0</v>
      </c>
      <c r="AQ407" t="s">
        <v>9</v>
      </c>
      <c r="AR407" s="1">
        <v>3.0173879499999998E-4</v>
      </c>
      <c r="AS407" s="1">
        <v>7.7093223300000004E-25</v>
      </c>
      <c r="AT407">
        <v>20</v>
      </c>
      <c r="AU407" t="s">
        <v>10</v>
      </c>
      <c r="AV407">
        <v>0</v>
      </c>
      <c r="AW407">
        <v>1</v>
      </c>
      <c r="AX407">
        <v>0</v>
      </c>
      <c r="AY407">
        <v>0</v>
      </c>
      <c r="AZ407">
        <v>1</v>
      </c>
      <c r="BA407" t="s">
        <v>21</v>
      </c>
      <c r="BB407" t="s">
        <v>4</v>
      </c>
      <c r="BC407" t="s">
        <v>10</v>
      </c>
      <c r="BD407">
        <v>0</v>
      </c>
      <c r="BE407">
        <v>0</v>
      </c>
      <c r="BF407">
        <v>0</v>
      </c>
      <c r="BG407">
        <v>0</v>
      </c>
      <c r="BH407">
        <v>0</v>
      </c>
      <c r="BI407" t="s">
        <v>9</v>
      </c>
      <c r="BJ407">
        <v>-1.9044E-4</v>
      </c>
      <c r="BK407">
        <v>0</v>
      </c>
      <c r="BL407">
        <v>-2.3405E-4</v>
      </c>
      <c r="BM407" s="2">
        <f t="shared" si="6"/>
        <v>4.6426624543844064E-6</v>
      </c>
    </row>
    <row r="408" spans="1:65" x14ac:dyDescent="0.35">
      <c r="A408">
        <v>0</v>
      </c>
      <c r="B408" t="s">
        <v>11</v>
      </c>
      <c r="C408" t="s">
        <v>4</v>
      </c>
      <c r="D408">
        <v>0</v>
      </c>
      <c r="E408" t="s">
        <v>3</v>
      </c>
      <c r="F408" t="s">
        <v>5</v>
      </c>
      <c r="G408">
        <v>4608.9472560000004</v>
      </c>
      <c r="H408" t="s">
        <v>4</v>
      </c>
      <c r="I408">
        <v>990.16341899999998</v>
      </c>
      <c r="J408">
        <v>3618.7838369999999</v>
      </c>
      <c r="K408" t="s">
        <v>6</v>
      </c>
      <c r="L408" t="s">
        <v>7</v>
      </c>
      <c r="M408" t="s">
        <v>8</v>
      </c>
      <c r="N408" t="s">
        <v>6</v>
      </c>
      <c r="O408" t="s">
        <v>3</v>
      </c>
      <c r="P408" t="s">
        <v>3</v>
      </c>
      <c r="Q408" t="s">
        <v>3</v>
      </c>
      <c r="R408" t="s">
        <v>3</v>
      </c>
      <c r="S408" t="s">
        <v>11</v>
      </c>
      <c r="T408" t="s">
        <v>7</v>
      </c>
      <c r="U408">
        <v>1</v>
      </c>
      <c r="V408">
        <v>0</v>
      </c>
      <c r="W408">
        <v>0</v>
      </c>
      <c r="X408">
        <v>1</v>
      </c>
      <c r="Y408">
        <v>0</v>
      </c>
      <c r="Z408" t="s">
        <v>25</v>
      </c>
      <c r="AA408" t="s">
        <v>4</v>
      </c>
      <c r="AB408" t="s">
        <v>6</v>
      </c>
      <c r="AC408" t="s">
        <v>7</v>
      </c>
      <c r="AD408" t="s">
        <v>8</v>
      </c>
      <c r="AE408" t="s">
        <v>6</v>
      </c>
      <c r="AF408" t="s">
        <v>3</v>
      </c>
      <c r="AG408" t="s">
        <v>3</v>
      </c>
      <c r="AH408" t="s">
        <v>3</v>
      </c>
      <c r="AI408" t="s">
        <v>3</v>
      </c>
      <c r="AJ408" t="s">
        <v>3</v>
      </c>
      <c r="AK408" t="s">
        <v>7</v>
      </c>
      <c r="AL408">
        <v>0</v>
      </c>
      <c r="AM408">
        <v>0</v>
      </c>
      <c r="AN408">
        <v>0</v>
      </c>
      <c r="AO408">
        <v>0</v>
      </c>
      <c r="AP408">
        <v>0</v>
      </c>
      <c r="AQ408" t="s">
        <v>9</v>
      </c>
      <c r="AR408" s="1">
        <v>4.53364781E-5</v>
      </c>
      <c r="AS408" s="1">
        <v>1.9983628800000001E-26</v>
      </c>
      <c r="AT408">
        <v>20</v>
      </c>
      <c r="AU408" t="s">
        <v>10</v>
      </c>
      <c r="AV408">
        <v>1</v>
      </c>
      <c r="AW408">
        <v>0</v>
      </c>
      <c r="AX408">
        <v>0</v>
      </c>
      <c r="AY408">
        <v>1</v>
      </c>
      <c r="AZ408">
        <v>0</v>
      </c>
      <c r="BA408" t="s">
        <v>25</v>
      </c>
      <c r="BB408" t="s">
        <v>4</v>
      </c>
      <c r="BC408" t="s">
        <v>10</v>
      </c>
      <c r="BD408">
        <v>0</v>
      </c>
      <c r="BE408">
        <v>0</v>
      </c>
      <c r="BF408">
        <v>0</v>
      </c>
      <c r="BG408">
        <v>0</v>
      </c>
      <c r="BH408">
        <v>0</v>
      </c>
      <c r="BI408" t="s">
        <v>9</v>
      </c>
      <c r="BJ408">
        <v>0</v>
      </c>
      <c r="BK408">
        <v>-4.5340000000000003E-5</v>
      </c>
      <c r="BL408">
        <v>0</v>
      </c>
      <c r="BM408" s="2">
        <f t="shared" si="6"/>
        <v>1.2034422632853505E-7</v>
      </c>
    </row>
    <row r="409" spans="1:65" x14ac:dyDescent="0.35">
      <c r="A409">
        <v>0</v>
      </c>
      <c r="B409" t="s">
        <v>3</v>
      </c>
      <c r="C409" t="s">
        <v>4</v>
      </c>
      <c r="D409">
        <v>0</v>
      </c>
      <c r="E409" t="s">
        <v>3</v>
      </c>
      <c r="F409" t="s">
        <v>5</v>
      </c>
      <c r="G409">
        <v>4969.2739220000003</v>
      </c>
      <c r="H409" t="s">
        <v>4</v>
      </c>
      <c r="I409">
        <v>990.16341899999998</v>
      </c>
      <c r="J409">
        <v>3979.1105029999999</v>
      </c>
      <c r="K409" t="s">
        <v>6</v>
      </c>
      <c r="L409" t="s">
        <v>7</v>
      </c>
      <c r="M409" t="s">
        <v>8</v>
      </c>
      <c r="N409" t="s">
        <v>6</v>
      </c>
      <c r="O409" t="s">
        <v>3</v>
      </c>
      <c r="P409" t="s">
        <v>3</v>
      </c>
      <c r="Q409" t="s">
        <v>3</v>
      </c>
      <c r="R409" t="s">
        <v>3</v>
      </c>
      <c r="S409" t="s">
        <v>3</v>
      </c>
      <c r="T409" t="s">
        <v>7</v>
      </c>
      <c r="U409">
        <v>0</v>
      </c>
      <c r="V409">
        <v>1</v>
      </c>
      <c r="W409">
        <v>0</v>
      </c>
      <c r="X409">
        <v>2</v>
      </c>
      <c r="Y409">
        <v>1</v>
      </c>
      <c r="Z409" t="s">
        <v>21</v>
      </c>
      <c r="AA409" t="s">
        <v>4</v>
      </c>
      <c r="AB409" t="s">
        <v>6</v>
      </c>
      <c r="AC409" t="s">
        <v>7</v>
      </c>
      <c r="AD409" t="s">
        <v>8</v>
      </c>
      <c r="AE409" t="s">
        <v>6</v>
      </c>
      <c r="AF409" t="s">
        <v>3</v>
      </c>
      <c r="AG409" t="s">
        <v>3</v>
      </c>
      <c r="AH409" t="s">
        <v>3</v>
      </c>
      <c r="AI409" t="s">
        <v>3</v>
      </c>
      <c r="AJ409" t="s">
        <v>3</v>
      </c>
      <c r="AK409" t="s">
        <v>7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9</v>
      </c>
      <c r="AR409" s="1">
        <v>2.0046899500000001E-5</v>
      </c>
      <c r="AS409" s="1">
        <v>4.2963196699999999E-27</v>
      </c>
      <c r="AT409">
        <v>18</v>
      </c>
      <c r="AU409" t="s">
        <v>10</v>
      </c>
      <c r="AV409">
        <v>0</v>
      </c>
      <c r="AW409">
        <v>1</v>
      </c>
      <c r="AX409">
        <v>0</v>
      </c>
      <c r="AY409">
        <v>2</v>
      </c>
      <c r="AZ409">
        <v>1</v>
      </c>
      <c r="BA409" t="s">
        <v>21</v>
      </c>
      <c r="BB409" t="s">
        <v>4</v>
      </c>
      <c r="BC409" t="s">
        <v>10</v>
      </c>
      <c r="BD409">
        <v>0</v>
      </c>
      <c r="BE409">
        <v>0</v>
      </c>
      <c r="BF409">
        <v>0</v>
      </c>
      <c r="BG409">
        <v>0</v>
      </c>
      <c r="BH409">
        <v>0</v>
      </c>
      <c r="BI409" t="s">
        <v>9</v>
      </c>
      <c r="BJ409">
        <v>-2.0000000000000002E-5</v>
      </c>
      <c r="BK409">
        <v>0</v>
      </c>
      <c r="BL409">
        <v>1.35E-6</v>
      </c>
      <c r="BM409" s="2">
        <f t="shared" si="6"/>
        <v>2.5873041974549535E-8</v>
      </c>
    </row>
    <row r="410" spans="1:65" x14ac:dyDescent="0.35">
      <c r="A410">
        <v>0</v>
      </c>
      <c r="B410" t="s">
        <v>3</v>
      </c>
      <c r="C410" t="s">
        <v>4</v>
      </c>
      <c r="D410">
        <v>0</v>
      </c>
      <c r="E410" t="s">
        <v>3</v>
      </c>
      <c r="F410" t="s">
        <v>5</v>
      </c>
      <c r="G410">
        <v>2303.8348970000002</v>
      </c>
      <c r="H410" t="s">
        <v>4</v>
      </c>
      <c r="I410">
        <v>990.16341899999998</v>
      </c>
      <c r="J410">
        <v>1313.671478</v>
      </c>
      <c r="K410" t="s">
        <v>6</v>
      </c>
      <c r="L410" t="s">
        <v>7</v>
      </c>
      <c r="M410" t="s">
        <v>8</v>
      </c>
      <c r="N410" t="s">
        <v>6</v>
      </c>
      <c r="O410" t="s">
        <v>3</v>
      </c>
      <c r="P410" t="s">
        <v>3</v>
      </c>
      <c r="Q410" t="s">
        <v>3</v>
      </c>
      <c r="R410" t="s">
        <v>3</v>
      </c>
      <c r="S410" t="s">
        <v>3</v>
      </c>
      <c r="T410" t="s">
        <v>7</v>
      </c>
      <c r="U410">
        <v>1</v>
      </c>
      <c r="V410">
        <v>0</v>
      </c>
      <c r="W410">
        <v>0</v>
      </c>
      <c r="X410">
        <v>1</v>
      </c>
      <c r="Y410">
        <v>0</v>
      </c>
      <c r="Z410" t="s">
        <v>15</v>
      </c>
      <c r="AA410" t="s">
        <v>4</v>
      </c>
      <c r="AB410" t="s">
        <v>6</v>
      </c>
      <c r="AC410" t="s">
        <v>7</v>
      </c>
      <c r="AD410" t="s">
        <v>8</v>
      </c>
      <c r="AE410" t="s">
        <v>6</v>
      </c>
      <c r="AF410" t="s">
        <v>3</v>
      </c>
      <c r="AG410" t="s">
        <v>3</v>
      </c>
      <c r="AH410" t="s">
        <v>3</v>
      </c>
      <c r="AI410" t="s">
        <v>3</v>
      </c>
      <c r="AJ410" t="s">
        <v>3</v>
      </c>
      <c r="AK410" t="s">
        <v>7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9</v>
      </c>
      <c r="AR410" s="1">
        <v>3.0503963500000002E-5</v>
      </c>
      <c r="AS410" s="1">
        <v>3.2783136199999999E-27</v>
      </c>
      <c r="AT410">
        <v>17</v>
      </c>
      <c r="AU410" t="s">
        <v>10</v>
      </c>
      <c r="AV410">
        <v>1</v>
      </c>
      <c r="AW410">
        <v>0</v>
      </c>
      <c r="AX410">
        <v>0</v>
      </c>
      <c r="AY410">
        <v>1</v>
      </c>
      <c r="AZ410">
        <v>0</v>
      </c>
      <c r="BA410" t="s">
        <v>15</v>
      </c>
      <c r="BB410" t="s">
        <v>4</v>
      </c>
      <c r="BC410" t="s">
        <v>10</v>
      </c>
      <c r="BD410">
        <v>0</v>
      </c>
      <c r="BE410">
        <v>0</v>
      </c>
      <c r="BF410">
        <v>0</v>
      </c>
      <c r="BG410">
        <v>0</v>
      </c>
      <c r="BH410">
        <v>0</v>
      </c>
      <c r="BI410" t="s">
        <v>9</v>
      </c>
      <c r="BJ410">
        <v>-2.9390000000000002E-5</v>
      </c>
      <c r="BK410">
        <v>0</v>
      </c>
      <c r="BL410">
        <v>-8.1699999999999997E-6</v>
      </c>
      <c r="BM410" s="2">
        <f t="shared" si="6"/>
        <v>1.9742466206197696E-8</v>
      </c>
    </row>
    <row r="411" spans="1:65" x14ac:dyDescent="0.35">
      <c r="A411">
        <v>0</v>
      </c>
      <c r="B411" t="s">
        <v>11</v>
      </c>
      <c r="C411" t="s">
        <v>4</v>
      </c>
      <c r="D411">
        <v>0</v>
      </c>
      <c r="E411" t="s">
        <v>3</v>
      </c>
      <c r="F411" t="s">
        <v>5</v>
      </c>
      <c r="G411">
        <v>4902.761227</v>
      </c>
      <c r="H411" t="s">
        <v>4</v>
      </c>
      <c r="I411">
        <v>990.16341899999998</v>
      </c>
      <c r="J411">
        <v>3912.597808</v>
      </c>
      <c r="K411" t="s">
        <v>6</v>
      </c>
      <c r="L411" t="s">
        <v>7</v>
      </c>
      <c r="M411" t="s">
        <v>8</v>
      </c>
      <c r="N411" t="s">
        <v>6</v>
      </c>
      <c r="O411" t="s">
        <v>3</v>
      </c>
      <c r="P411" t="s">
        <v>3</v>
      </c>
      <c r="Q411" t="s">
        <v>3</v>
      </c>
      <c r="R411" t="s">
        <v>3</v>
      </c>
      <c r="S411" t="s">
        <v>11</v>
      </c>
      <c r="T411" t="s">
        <v>7</v>
      </c>
      <c r="U411">
        <v>0</v>
      </c>
      <c r="V411">
        <v>2</v>
      </c>
      <c r="W411">
        <v>0</v>
      </c>
      <c r="X411">
        <v>2</v>
      </c>
      <c r="Y411">
        <v>0</v>
      </c>
      <c r="Z411" t="s">
        <v>13</v>
      </c>
      <c r="AA411" t="s">
        <v>4</v>
      </c>
      <c r="AB411" t="s">
        <v>6</v>
      </c>
      <c r="AC411" t="s">
        <v>7</v>
      </c>
      <c r="AD411" t="s">
        <v>8</v>
      </c>
      <c r="AE411" t="s">
        <v>6</v>
      </c>
      <c r="AF411" t="s">
        <v>3</v>
      </c>
      <c r="AG411" t="s">
        <v>3</v>
      </c>
      <c r="AH411" t="s">
        <v>3</v>
      </c>
      <c r="AI411" t="s">
        <v>3</v>
      </c>
      <c r="AJ411" t="s">
        <v>3</v>
      </c>
      <c r="AK411" t="s">
        <v>7</v>
      </c>
      <c r="AL411">
        <v>0</v>
      </c>
      <c r="AM411">
        <v>0</v>
      </c>
      <c r="AN411">
        <v>0</v>
      </c>
      <c r="AO411">
        <v>0</v>
      </c>
      <c r="AP411">
        <v>0</v>
      </c>
      <c r="AQ411" t="s">
        <v>9</v>
      </c>
      <c r="AR411" s="1">
        <v>4.1712211200000004E-6</v>
      </c>
      <c r="AS411" s="1">
        <v>1.8289750999999999E-28</v>
      </c>
      <c r="AT411">
        <v>18</v>
      </c>
      <c r="AU411" t="s">
        <v>10</v>
      </c>
      <c r="AV411">
        <v>0</v>
      </c>
      <c r="AW411">
        <v>2</v>
      </c>
      <c r="AX411">
        <v>0</v>
      </c>
      <c r="AY411">
        <v>2</v>
      </c>
      <c r="AZ411">
        <v>0</v>
      </c>
      <c r="BA411" t="s">
        <v>13</v>
      </c>
      <c r="BB411" t="s">
        <v>4</v>
      </c>
      <c r="BC411" t="s">
        <v>10</v>
      </c>
      <c r="BD411">
        <v>0</v>
      </c>
      <c r="BE411">
        <v>0</v>
      </c>
      <c r="BF411">
        <v>0</v>
      </c>
      <c r="BG411">
        <v>0</v>
      </c>
      <c r="BH411">
        <v>0</v>
      </c>
      <c r="BI411" t="s">
        <v>9</v>
      </c>
      <c r="BJ411">
        <v>0</v>
      </c>
      <c r="BK411">
        <v>4.1699999999999999E-6</v>
      </c>
      <c r="BL411">
        <v>0</v>
      </c>
      <c r="BM411" s="2">
        <f t="shared" si="6"/>
        <v>1.1014345571894078E-9</v>
      </c>
    </row>
    <row r="412" spans="1:65" x14ac:dyDescent="0.35">
      <c r="A412">
        <v>0</v>
      </c>
      <c r="B412" t="s">
        <v>11</v>
      </c>
      <c r="C412" t="s">
        <v>4</v>
      </c>
      <c r="D412">
        <v>0</v>
      </c>
      <c r="E412" t="s">
        <v>3</v>
      </c>
      <c r="F412" t="s">
        <v>5</v>
      </c>
      <c r="G412">
        <v>3418.6553090000002</v>
      </c>
      <c r="H412" t="s">
        <v>4</v>
      </c>
      <c r="I412">
        <v>990.16341899999998</v>
      </c>
      <c r="J412">
        <v>2428.4918899999998</v>
      </c>
      <c r="K412" t="s">
        <v>6</v>
      </c>
      <c r="L412" t="s">
        <v>7</v>
      </c>
      <c r="M412" t="s">
        <v>8</v>
      </c>
      <c r="N412" t="s">
        <v>6</v>
      </c>
      <c r="O412" t="s">
        <v>3</v>
      </c>
      <c r="P412" t="s">
        <v>3</v>
      </c>
      <c r="Q412" t="s">
        <v>3</v>
      </c>
      <c r="R412" t="s">
        <v>3</v>
      </c>
      <c r="S412" t="s">
        <v>11</v>
      </c>
      <c r="T412" t="s">
        <v>7</v>
      </c>
      <c r="U412">
        <v>0</v>
      </c>
      <c r="V412">
        <v>0</v>
      </c>
      <c r="W412">
        <v>0</v>
      </c>
      <c r="X412">
        <v>6</v>
      </c>
      <c r="Y412">
        <v>0</v>
      </c>
      <c r="Z412" t="s">
        <v>18</v>
      </c>
      <c r="AA412" t="s">
        <v>4</v>
      </c>
      <c r="AB412" t="s">
        <v>6</v>
      </c>
      <c r="AC412" t="s">
        <v>7</v>
      </c>
      <c r="AD412" t="s">
        <v>8</v>
      </c>
      <c r="AE412" t="s">
        <v>6</v>
      </c>
      <c r="AF412" t="s">
        <v>3</v>
      </c>
      <c r="AG412" t="s">
        <v>3</v>
      </c>
      <c r="AH412" t="s">
        <v>3</v>
      </c>
      <c r="AI412" t="s">
        <v>3</v>
      </c>
      <c r="AJ412" t="s">
        <v>3</v>
      </c>
      <c r="AK412" t="s">
        <v>7</v>
      </c>
      <c r="AL412">
        <v>0</v>
      </c>
      <c r="AM412">
        <v>0</v>
      </c>
      <c r="AN412">
        <v>0</v>
      </c>
      <c r="AO412">
        <v>0</v>
      </c>
      <c r="AP412">
        <v>0</v>
      </c>
      <c r="AQ412" t="s">
        <v>9</v>
      </c>
      <c r="AR412" s="1">
        <v>3.20782283E-6</v>
      </c>
      <c r="AS412" s="1">
        <v>6.7138255899999999E-29</v>
      </c>
      <c r="AT412">
        <v>20</v>
      </c>
      <c r="AU412" t="s">
        <v>10</v>
      </c>
      <c r="AV412">
        <v>0</v>
      </c>
      <c r="AW412">
        <v>0</v>
      </c>
      <c r="AX412">
        <v>0</v>
      </c>
      <c r="AY412">
        <v>6</v>
      </c>
      <c r="AZ412">
        <v>0</v>
      </c>
      <c r="BA412" t="s">
        <v>18</v>
      </c>
      <c r="BB412" t="s">
        <v>4</v>
      </c>
      <c r="BC412" t="s">
        <v>10</v>
      </c>
      <c r="BD412">
        <v>0</v>
      </c>
      <c r="BE412">
        <v>0</v>
      </c>
      <c r="BF412">
        <v>0</v>
      </c>
      <c r="BG412">
        <v>0</v>
      </c>
      <c r="BH412">
        <v>0</v>
      </c>
      <c r="BI412" t="s">
        <v>9</v>
      </c>
      <c r="BJ412">
        <v>0</v>
      </c>
      <c r="BK412">
        <v>3.2100000000000002E-6</v>
      </c>
      <c r="BL412">
        <v>0</v>
      </c>
      <c r="BM412" s="2">
        <f t="shared" si="6"/>
        <v>4.0431603009623073E-10</v>
      </c>
    </row>
    <row r="413" spans="1:65" x14ac:dyDescent="0.35">
      <c r="A413">
        <v>0</v>
      </c>
      <c r="B413" t="s">
        <v>11</v>
      </c>
      <c r="C413" t="s">
        <v>4</v>
      </c>
      <c r="D413">
        <v>0</v>
      </c>
      <c r="E413" t="s">
        <v>3</v>
      </c>
      <c r="F413" t="s">
        <v>5</v>
      </c>
      <c r="G413">
        <v>3937.659126</v>
      </c>
      <c r="H413" t="s">
        <v>4</v>
      </c>
      <c r="I413">
        <v>990.16341899999998</v>
      </c>
      <c r="J413">
        <v>2947.495707</v>
      </c>
      <c r="K413" t="s">
        <v>6</v>
      </c>
      <c r="L413" t="s">
        <v>7</v>
      </c>
      <c r="M413" t="s">
        <v>8</v>
      </c>
      <c r="N413" t="s">
        <v>6</v>
      </c>
      <c r="O413" t="s">
        <v>3</v>
      </c>
      <c r="P413" t="s">
        <v>3</v>
      </c>
      <c r="Q413" t="s">
        <v>3</v>
      </c>
      <c r="R413" t="s">
        <v>3</v>
      </c>
      <c r="S413" t="s">
        <v>11</v>
      </c>
      <c r="T413" t="s">
        <v>7</v>
      </c>
      <c r="U413">
        <v>0</v>
      </c>
      <c r="V413">
        <v>0</v>
      </c>
      <c r="W413">
        <v>0</v>
      </c>
      <c r="X413">
        <v>0</v>
      </c>
      <c r="Y413">
        <v>1</v>
      </c>
      <c r="Z413" t="s">
        <v>25</v>
      </c>
      <c r="AA413" t="s">
        <v>4</v>
      </c>
      <c r="AB413" t="s">
        <v>6</v>
      </c>
      <c r="AC413" t="s">
        <v>7</v>
      </c>
      <c r="AD413" t="s">
        <v>8</v>
      </c>
      <c r="AE413" t="s">
        <v>6</v>
      </c>
      <c r="AF413" t="s">
        <v>3</v>
      </c>
      <c r="AG413" t="s">
        <v>3</v>
      </c>
      <c r="AH413" t="s">
        <v>3</v>
      </c>
      <c r="AI413" t="s">
        <v>3</v>
      </c>
      <c r="AJ413" t="s">
        <v>3</v>
      </c>
      <c r="AK413" t="s">
        <v>7</v>
      </c>
      <c r="AL413">
        <v>0</v>
      </c>
      <c r="AM413">
        <v>0</v>
      </c>
      <c r="AN413">
        <v>0</v>
      </c>
      <c r="AO413">
        <v>0</v>
      </c>
      <c r="AP413">
        <v>0</v>
      </c>
      <c r="AQ413" t="s">
        <v>9</v>
      </c>
      <c r="AR413" s="1">
        <v>5.2436509699999998E-5</v>
      </c>
      <c r="AS413" s="1">
        <v>2.17739194E-26</v>
      </c>
      <c r="AT413">
        <v>17</v>
      </c>
      <c r="AU413" t="s">
        <v>10</v>
      </c>
      <c r="AV413">
        <v>0</v>
      </c>
      <c r="AW413">
        <v>0</v>
      </c>
      <c r="AX413">
        <v>0</v>
      </c>
      <c r="AY413">
        <v>0</v>
      </c>
      <c r="AZ413">
        <v>1</v>
      </c>
      <c r="BA413" t="s">
        <v>25</v>
      </c>
      <c r="BB413" t="s">
        <v>4</v>
      </c>
      <c r="BC413" t="s">
        <v>10</v>
      </c>
      <c r="BD413">
        <v>0</v>
      </c>
      <c r="BE413">
        <v>0</v>
      </c>
      <c r="BF413">
        <v>0</v>
      </c>
      <c r="BG413">
        <v>0</v>
      </c>
      <c r="BH413">
        <v>0</v>
      </c>
      <c r="BI413" t="s">
        <v>9</v>
      </c>
      <c r="BJ413">
        <v>0</v>
      </c>
      <c r="BK413">
        <v>-5.2439999999999999E-5</v>
      </c>
      <c r="BL413">
        <v>0</v>
      </c>
      <c r="BM413" s="2">
        <f t="shared" si="6"/>
        <v>1.3112560839465154E-7</v>
      </c>
    </row>
    <row r="414" spans="1:65" x14ac:dyDescent="0.35">
      <c r="A414">
        <v>0</v>
      </c>
      <c r="B414" t="s">
        <v>11</v>
      </c>
      <c r="C414" t="s">
        <v>4</v>
      </c>
      <c r="D414">
        <v>0</v>
      </c>
      <c r="E414" t="s">
        <v>3</v>
      </c>
      <c r="F414" t="s">
        <v>5</v>
      </c>
      <c r="G414">
        <v>4845.4960380000002</v>
      </c>
      <c r="H414" t="s">
        <v>4</v>
      </c>
      <c r="I414">
        <v>990.16341899999998</v>
      </c>
      <c r="J414">
        <v>3855.3326189999998</v>
      </c>
      <c r="K414" t="s">
        <v>6</v>
      </c>
      <c r="L414" t="s">
        <v>7</v>
      </c>
      <c r="M414" t="s">
        <v>8</v>
      </c>
      <c r="N414" t="s">
        <v>6</v>
      </c>
      <c r="O414" t="s">
        <v>3</v>
      </c>
      <c r="P414" t="s">
        <v>3</v>
      </c>
      <c r="Q414" t="s">
        <v>3</v>
      </c>
      <c r="R414" t="s">
        <v>3</v>
      </c>
      <c r="S414" t="s">
        <v>11</v>
      </c>
      <c r="T414" t="s">
        <v>7</v>
      </c>
      <c r="U414">
        <v>0</v>
      </c>
      <c r="V414">
        <v>0</v>
      </c>
      <c r="W414">
        <v>0</v>
      </c>
      <c r="X414">
        <v>2</v>
      </c>
      <c r="Y414">
        <v>0</v>
      </c>
      <c r="Z414" t="s">
        <v>28</v>
      </c>
      <c r="AA414" t="s">
        <v>4</v>
      </c>
      <c r="AB414" t="s">
        <v>6</v>
      </c>
      <c r="AC414" t="s">
        <v>7</v>
      </c>
      <c r="AD414" t="s">
        <v>8</v>
      </c>
      <c r="AE414" t="s">
        <v>6</v>
      </c>
      <c r="AF414" t="s">
        <v>3</v>
      </c>
      <c r="AG414" t="s">
        <v>3</v>
      </c>
      <c r="AH414" t="s">
        <v>3</v>
      </c>
      <c r="AI414" t="s">
        <v>3</v>
      </c>
      <c r="AJ414" t="s">
        <v>3</v>
      </c>
      <c r="AK414" t="s">
        <v>7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9</v>
      </c>
      <c r="AR414" s="1">
        <v>2.6972355999999999E-5</v>
      </c>
      <c r="AS414" s="1">
        <v>7.5355642699999995E-27</v>
      </c>
      <c r="AT414">
        <v>18</v>
      </c>
      <c r="AU414" t="s">
        <v>10</v>
      </c>
      <c r="AV414">
        <v>0</v>
      </c>
      <c r="AW414">
        <v>0</v>
      </c>
      <c r="AX414">
        <v>0</v>
      </c>
      <c r="AY414">
        <v>2</v>
      </c>
      <c r="AZ414">
        <v>0</v>
      </c>
      <c r="BA414" t="s">
        <v>28</v>
      </c>
      <c r="BB414" t="s">
        <v>4</v>
      </c>
      <c r="BC414" t="s">
        <v>10</v>
      </c>
      <c r="BD414">
        <v>0</v>
      </c>
      <c r="BE414">
        <v>0</v>
      </c>
      <c r="BF414">
        <v>0</v>
      </c>
      <c r="BG414">
        <v>0</v>
      </c>
      <c r="BH414">
        <v>0</v>
      </c>
      <c r="BI414" t="s">
        <v>9</v>
      </c>
      <c r="BJ414">
        <v>0</v>
      </c>
      <c r="BK414">
        <v>-2.6970000000000001E-5</v>
      </c>
      <c r="BL414">
        <v>0</v>
      </c>
      <c r="BM414" s="2">
        <f t="shared" si="6"/>
        <v>4.538022904138921E-8</v>
      </c>
    </row>
    <row r="415" spans="1:65" x14ac:dyDescent="0.35">
      <c r="A415">
        <v>0</v>
      </c>
      <c r="B415" t="s">
        <v>3</v>
      </c>
      <c r="C415" t="s">
        <v>4</v>
      </c>
      <c r="D415">
        <v>0</v>
      </c>
      <c r="E415" t="s">
        <v>3</v>
      </c>
      <c r="F415" t="s">
        <v>5</v>
      </c>
      <c r="G415">
        <v>2695.2367949999998</v>
      </c>
      <c r="H415" t="s">
        <v>4</v>
      </c>
      <c r="I415">
        <v>990.16341899999998</v>
      </c>
      <c r="J415">
        <v>1705.0733760000001</v>
      </c>
      <c r="K415" t="s">
        <v>6</v>
      </c>
      <c r="L415" t="s">
        <v>7</v>
      </c>
      <c r="M415" t="s">
        <v>8</v>
      </c>
      <c r="N415" t="s">
        <v>6</v>
      </c>
      <c r="O415" t="s">
        <v>3</v>
      </c>
      <c r="P415" t="s">
        <v>3</v>
      </c>
      <c r="Q415" t="s">
        <v>3</v>
      </c>
      <c r="R415" t="s">
        <v>3</v>
      </c>
      <c r="S415" t="s">
        <v>3</v>
      </c>
      <c r="T415" t="s">
        <v>7</v>
      </c>
      <c r="U415">
        <v>0</v>
      </c>
      <c r="V415">
        <v>1</v>
      </c>
      <c r="W415">
        <v>0</v>
      </c>
      <c r="X415">
        <v>1</v>
      </c>
      <c r="Y415">
        <v>0</v>
      </c>
      <c r="Z415" t="s">
        <v>15</v>
      </c>
      <c r="AA415" t="s">
        <v>4</v>
      </c>
      <c r="AB415" t="s">
        <v>6</v>
      </c>
      <c r="AC415" t="s">
        <v>7</v>
      </c>
      <c r="AD415" t="s">
        <v>8</v>
      </c>
      <c r="AE415" t="s">
        <v>6</v>
      </c>
      <c r="AF415" t="s">
        <v>3</v>
      </c>
      <c r="AG415" t="s">
        <v>3</v>
      </c>
      <c r="AH415" t="s">
        <v>3</v>
      </c>
      <c r="AI415" t="s">
        <v>3</v>
      </c>
      <c r="AJ415" t="s">
        <v>3</v>
      </c>
      <c r="AK415" t="s">
        <v>7</v>
      </c>
      <c r="AL415">
        <v>0</v>
      </c>
      <c r="AM415">
        <v>0</v>
      </c>
      <c r="AN415">
        <v>0</v>
      </c>
      <c r="AO415">
        <v>0</v>
      </c>
      <c r="AP415">
        <v>0</v>
      </c>
      <c r="AQ415" t="s">
        <v>9</v>
      </c>
      <c r="AR415" s="1">
        <v>1.7955733000000001E-3</v>
      </c>
      <c r="AS415" s="1">
        <v>1.47655626E-23</v>
      </c>
      <c r="AT415">
        <v>17</v>
      </c>
      <c r="AU415" t="s">
        <v>10</v>
      </c>
      <c r="AV415">
        <v>0</v>
      </c>
      <c r="AW415">
        <v>1</v>
      </c>
      <c r="AX415">
        <v>0</v>
      </c>
      <c r="AY415">
        <v>1</v>
      </c>
      <c r="AZ415">
        <v>0</v>
      </c>
      <c r="BA415" t="s">
        <v>15</v>
      </c>
      <c r="BB415" t="s">
        <v>4</v>
      </c>
      <c r="BC415" t="s">
        <v>10</v>
      </c>
      <c r="BD415">
        <v>0</v>
      </c>
      <c r="BE415">
        <v>0</v>
      </c>
      <c r="BF415">
        <v>0</v>
      </c>
      <c r="BG415">
        <v>0</v>
      </c>
      <c r="BH415">
        <v>0</v>
      </c>
      <c r="BI415" t="s">
        <v>9</v>
      </c>
      <c r="BJ415">
        <v>3.1116999999999999E-4</v>
      </c>
      <c r="BK415">
        <v>0</v>
      </c>
      <c r="BL415">
        <v>-1.7684E-3</v>
      </c>
      <c r="BM415" s="2">
        <f t="shared" si="6"/>
        <v>8.8920296968414075E-5</v>
      </c>
    </row>
    <row r="416" spans="1:65" x14ac:dyDescent="0.35">
      <c r="A416">
        <v>0</v>
      </c>
      <c r="B416" t="s">
        <v>11</v>
      </c>
      <c r="C416" t="s">
        <v>4</v>
      </c>
      <c r="D416">
        <v>0</v>
      </c>
      <c r="E416" t="s">
        <v>3</v>
      </c>
      <c r="F416" t="s">
        <v>5</v>
      </c>
      <c r="G416">
        <v>4672.1891009999999</v>
      </c>
      <c r="H416" t="s">
        <v>4</v>
      </c>
      <c r="I416">
        <v>990.16341899999998</v>
      </c>
      <c r="J416">
        <v>3682.025682</v>
      </c>
      <c r="K416" t="s">
        <v>6</v>
      </c>
      <c r="L416" t="s">
        <v>7</v>
      </c>
      <c r="M416" t="s">
        <v>8</v>
      </c>
      <c r="N416" t="s">
        <v>6</v>
      </c>
      <c r="O416" t="s">
        <v>3</v>
      </c>
      <c r="P416" t="s">
        <v>3</v>
      </c>
      <c r="Q416" t="s">
        <v>3</v>
      </c>
      <c r="R416" t="s">
        <v>3</v>
      </c>
      <c r="S416" t="s">
        <v>11</v>
      </c>
      <c r="T416" t="s">
        <v>7</v>
      </c>
      <c r="U416">
        <v>4</v>
      </c>
      <c r="V416">
        <v>0</v>
      </c>
      <c r="W416">
        <v>0</v>
      </c>
      <c r="X416">
        <v>0</v>
      </c>
      <c r="Y416">
        <v>1</v>
      </c>
      <c r="Z416" t="s">
        <v>18</v>
      </c>
      <c r="AA416" t="s">
        <v>4</v>
      </c>
      <c r="AB416" t="s">
        <v>6</v>
      </c>
      <c r="AC416" t="s">
        <v>7</v>
      </c>
      <c r="AD416" t="s">
        <v>8</v>
      </c>
      <c r="AE416" t="s">
        <v>6</v>
      </c>
      <c r="AF416" t="s">
        <v>3</v>
      </c>
      <c r="AG416" t="s">
        <v>3</v>
      </c>
      <c r="AH416" t="s">
        <v>3</v>
      </c>
      <c r="AI416" t="s">
        <v>3</v>
      </c>
      <c r="AJ416" t="s">
        <v>3</v>
      </c>
      <c r="AK416" t="s">
        <v>7</v>
      </c>
      <c r="AL416">
        <v>0</v>
      </c>
      <c r="AM416">
        <v>0</v>
      </c>
      <c r="AN416">
        <v>0</v>
      </c>
      <c r="AO416">
        <v>0</v>
      </c>
      <c r="AP416">
        <v>0</v>
      </c>
      <c r="AQ416" t="s">
        <v>9</v>
      </c>
      <c r="AR416" s="1">
        <v>4.4477415300000003E-6</v>
      </c>
      <c r="AS416" s="1">
        <v>1.95696046E-28</v>
      </c>
      <c r="AT416">
        <v>18</v>
      </c>
      <c r="AU416" t="s">
        <v>10</v>
      </c>
      <c r="AV416">
        <v>4</v>
      </c>
      <c r="AW416">
        <v>0</v>
      </c>
      <c r="AX416">
        <v>0</v>
      </c>
      <c r="AY416">
        <v>0</v>
      </c>
      <c r="AZ416">
        <v>1</v>
      </c>
      <c r="BA416" t="s">
        <v>18</v>
      </c>
      <c r="BB416" t="s">
        <v>4</v>
      </c>
      <c r="BC416" t="s">
        <v>10</v>
      </c>
      <c r="BD416">
        <v>0</v>
      </c>
      <c r="BE416">
        <v>0</v>
      </c>
      <c r="BF416">
        <v>0</v>
      </c>
      <c r="BG416">
        <v>0</v>
      </c>
      <c r="BH416">
        <v>0</v>
      </c>
      <c r="BI416" t="s">
        <v>9</v>
      </c>
      <c r="BJ416">
        <v>0</v>
      </c>
      <c r="BK416">
        <v>4.4499999999999997E-6</v>
      </c>
      <c r="BL416">
        <v>0</v>
      </c>
      <c r="BM416" s="2">
        <f t="shared" si="6"/>
        <v>1.1785091430152766E-9</v>
      </c>
    </row>
    <row r="417" spans="1:65" x14ac:dyDescent="0.35">
      <c r="A417">
        <v>0</v>
      </c>
      <c r="B417" t="s">
        <v>3</v>
      </c>
      <c r="C417" t="s">
        <v>4</v>
      </c>
      <c r="D417">
        <v>0</v>
      </c>
      <c r="E417" t="s">
        <v>3</v>
      </c>
      <c r="F417" t="s">
        <v>5</v>
      </c>
      <c r="G417">
        <v>4528.7139180000004</v>
      </c>
      <c r="H417" t="s">
        <v>4</v>
      </c>
      <c r="I417">
        <v>990.16341899999998</v>
      </c>
      <c r="J417">
        <v>3538.5504989999999</v>
      </c>
      <c r="K417" t="s">
        <v>6</v>
      </c>
      <c r="L417" t="s">
        <v>7</v>
      </c>
      <c r="M417" t="s">
        <v>8</v>
      </c>
      <c r="N417" t="s">
        <v>6</v>
      </c>
      <c r="O417" t="s">
        <v>3</v>
      </c>
      <c r="P417" t="s">
        <v>3</v>
      </c>
      <c r="Q417" t="s">
        <v>3</v>
      </c>
      <c r="R417" t="s">
        <v>3</v>
      </c>
      <c r="S417" t="s">
        <v>3</v>
      </c>
      <c r="T417" t="s">
        <v>7</v>
      </c>
      <c r="U417">
        <v>2</v>
      </c>
      <c r="V417">
        <v>0</v>
      </c>
      <c r="W417">
        <v>0</v>
      </c>
      <c r="X417">
        <v>0</v>
      </c>
      <c r="Y417">
        <v>1</v>
      </c>
      <c r="Z417" t="s">
        <v>21</v>
      </c>
      <c r="AA417" t="s">
        <v>4</v>
      </c>
      <c r="AB417" t="s">
        <v>6</v>
      </c>
      <c r="AC417" t="s">
        <v>7</v>
      </c>
      <c r="AD417" t="s">
        <v>8</v>
      </c>
      <c r="AE417" t="s">
        <v>6</v>
      </c>
      <c r="AF417" t="s">
        <v>3</v>
      </c>
      <c r="AG417" t="s">
        <v>3</v>
      </c>
      <c r="AH417" t="s">
        <v>3</v>
      </c>
      <c r="AI417" t="s">
        <v>3</v>
      </c>
      <c r="AJ417" t="s">
        <v>3</v>
      </c>
      <c r="AK417" t="s">
        <v>7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9</v>
      </c>
      <c r="AR417" s="1">
        <v>4.0233818699999998E-4</v>
      </c>
      <c r="AS417" s="1">
        <v>1.5389483799999999E-24</v>
      </c>
      <c r="AT417">
        <v>17</v>
      </c>
      <c r="AU417" t="s">
        <v>10</v>
      </c>
      <c r="AV417">
        <v>2</v>
      </c>
      <c r="AW417">
        <v>0</v>
      </c>
      <c r="AX417">
        <v>0</v>
      </c>
      <c r="AY417">
        <v>0</v>
      </c>
      <c r="AZ417">
        <v>1</v>
      </c>
      <c r="BA417" t="s">
        <v>21</v>
      </c>
      <c r="BB417" t="s">
        <v>4</v>
      </c>
      <c r="BC417" t="s">
        <v>10</v>
      </c>
      <c r="BD417">
        <v>0</v>
      </c>
      <c r="BE417">
        <v>0</v>
      </c>
      <c r="BF417">
        <v>0</v>
      </c>
      <c r="BG417">
        <v>0</v>
      </c>
      <c r="BH417">
        <v>0</v>
      </c>
      <c r="BI417" t="s">
        <v>9</v>
      </c>
      <c r="BJ417">
        <v>-3.5385000000000001E-4</v>
      </c>
      <c r="BK417">
        <v>0</v>
      </c>
      <c r="BL417">
        <v>1.9149E-4</v>
      </c>
      <c r="BM417" s="2">
        <f t="shared" si="6"/>
        <v>9.2677638282919029E-6</v>
      </c>
    </row>
    <row r="418" spans="1:65" x14ac:dyDescent="0.35">
      <c r="A418">
        <v>0</v>
      </c>
      <c r="B418" t="s">
        <v>3</v>
      </c>
      <c r="C418" t="s">
        <v>4</v>
      </c>
      <c r="D418">
        <v>0</v>
      </c>
      <c r="E418" t="s">
        <v>3</v>
      </c>
      <c r="F418" t="s">
        <v>5</v>
      </c>
      <c r="G418">
        <v>3226.6655529999998</v>
      </c>
      <c r="H418" t="s">
        <v>4</v>
      </c>
      <c r="I418">
        <v>990.16341899999998</v>
      </c>
      <c r="J418">
        <v>2236.5021339999998</v>
      </c>
      <c r="K418" t="s">
        <v>6</v>
      </c>
      <c r="L418" t="s">
        <v>7</v>
      </c>
      <c r="M418" t="s">
        <v>8</v>
      </c>
      <c r="N418" t="s">
        <v>6</v>
      </c>
      <c r="O418" t="s">
        <v>3</v>
      </c>
      <c r="P418" t="s">
        <v>3</v>
      </c>
      <c r="Q418" t="s">
        <v>3</v>
      </c>
      <c r="R418" t="s">
        <v>3</v>
      </c>
      <c r="S418" t="s">
        <v>3</v>
      </c>
      <c r="T418" t="s">
        <v>7</v>
      </c>
      <c r="U418">
        <v>0</v>
      </c>
      <c r="V418">
        <v>0</v>
      </c>
      <c r="W418">
        <v>0</v>
      </c>
      <c r="X418">
        <v>1</v>
      </c>
      <c r="Y418">
        <v>0</v>
      </c>
      <c r="Z418" t="s">
        <v>22</v>
      </c>
      <c r="AA418" t="s">
        <v>4</v>
      </c>
      <c r="AB418" t="s">
        <v>6</v>
      </c>
      <c r="AC418" t="s">
        <v>7</v>
      </c>
      <c r="AD418" t="s">
        <v>8</v>
      </c>
      <c r="AE418" t="s">
        <v>6</v>
      </c>
      <c r="AF418" t="s">
        <v>3</v>
      </c>
      <c r="AG418" t="s">
        <v>3</v>
      </c>
      <c r="AH418" t="s">
        <v>3</v>
      </c>
      <c r="AI418" t="s">
        <v>3</v>
      </c>
      <c r="AJ418" t="s">
        <v>3</v>
      </c>
      <c r="AK418" t="s">
        <v>7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9</v>
      </c>
      <c r="AR418" s="1">
        <v>6.6101826099999994E-5</v>
      </c>
      <c r="AS418" s="1">
        <v>2.6254485799999998E-26</v>
      </c>
      <c r="AT418">
        <v>20</v>
      </c>
      <c r="AU418" t="s">
        <v>10</v>
      </c>
      <c r="AV418">
        <v>0</v>
      </c>
      <c r="AW418">
        <v>0</v>
      </c>
      <c r="AX418">
        <v>0</v>
      </c>
      <c r="AY418">
        <v>1</v>
      </c>
      <c r="AZ418">
        <v>0</v>
      </c>
      <c r="BA418" t="s">
        <v>22</v>
      </c>
      <c r="BB418" t="s">
        <v>4</v>
      </c>
      <c r="BC418" t="s">
        <v>10</v>
      </c>
      <c r="BD418">
        <v>0</v>
      </c>
      <c r="BE418">
        <v>0</v>
      </c>
      <c r="BF418">
        <v>0</v>
      </c>
      <c r="BG418">
        <v>0</v>
      </c>
      <c r="BH418">
        <v>0</v>
      </c>
      <c r="BI418" t="s">
        <v>9</v>
      </c>
      <c r="BJ418">
        <v>-6.567E-5</v>
      </c>
      <c r="BK418">
        <v>0</v>
      </c>
      <c r="BL418">
        <v>7.5100000000000001E-6</v>
      </c>
      <c r="BM418" s="2">
        <f t="shared" si="6"/>
        <v>1.5810821011920061E-7</v>
      </c>
    </row>
    <row r="419" spans="1:65" x14ac:dyDescent="0.35">
      <c r="A419">
        <v>0</v>
      </c>
      <c r="B419" t="s">
        <v>3</v>
      </c>
      <c r="C419" t="s">
        <v>4</v>
      </c>
      <c r="D419">
        <v>0</v>
      </c>
      <c r="E419" t="s">
        <v>3</v>
      </c>
      <c r="F419" t="s">
        <v>5</v>
      </c>
      <c r="G419">
        <v>4429.4924090000004</v>
      </c>
      <c r="H419" t="s">
        <v>4</v>
      </c>
      <c r="I419">
        <v>990.16341899999998</v>
      </c>
      <c r="J419">
        <v>3439.32899</v>
      </c>
      <c r="K419" t="s">
        <v>6</v>
      </c>
      <c r="L419" t="s">
        <v>7</v>
      </c>
      <c r="M419" t="s">
        <v>8</v>
      </c>
      <c r="N419" t="s">
        <v>6</v>
      </c>
      <c r="O419" t="s">
        <v>3</v>
      </c>
      <c r="P419" t="s">
        <v>3</v>
      </c>
      <c r="Q419" t="s">
        <v>3</v>
      </c>
      <c r="R419" t="s">
        <v>3</v>
      </c>
      <c r="S419" t="s">
        <v>3</v>
      </c>
      <c r="T419" t="s">
        <v>7</v>
      </c>
      <c r="U419">
        <v>0</v>
      </c>
      <c r="V419">
        <v>0</v>
      </c>
      <c r="W419">
        <v>0</v>
      </c>
      <c r="X419">
        <v>5</v>
      </c>
      <c r="Y419">
        <v>2</v>
      </c>
      <c r="Z419" t="s">
        <v>9</v>
      </c>
      <c r="AA419" t="s">
        <v>4</v>
      </c>
      <c r="AB419" t="s">
        <v>6</v>
      </c>
      <c r="AC419" t="s">
        <v>7</v>
      </c>
      <c r="AD419" t="s">
        <v>8</v>
      </c>
      <c r="AE419" t="s">
        <v>6</v>
      </c>
      <c r="AF419" t="s">
        <v>3</v>
      </c>
      <c r="AG419" t="s">
        <v>3</v>
      </c>
      <c r="AH419" t="s">
        <v>3</v>
      </c>
      <c r="AI419" t="s">
        <v>3</v>
      </c>
      <c r="AJ419" t="s">
        <v>3</v>
      </c>
      <c r="AK419" t="s">
        <v>7</v>
      </c>
      <c r="AL419">
        <v>0</v>
      </c>
      <c r="AM419">
        <v>0</v>
      </c>
      <c r="AN419">
        <v>0</v>
      </c>
      <c r="AO419">
        <v>0</v>
      </c>
      <c r="AP419">
        <v>0</v>
      </c>
      <c r="AQ419" t="s">
        <v>9</v>
      </c>
      <c r="AR419" s="1">
        <v>1.05427076E-4</v>
      </c>
      <c r="AS419" s="1">
        <v>1.02705613E-25</v>
      </c>
      <c r="AT419">
        <v>4</v>
      </c>
      <c r="AU419" t="s">
        <v>10</v>
      </c>
      <c r="AV419">
        <v>0</v>
      </c>
      <c r="AW419">
        <v>0</v>
      </c>
      <c r="AX419">
        <v>0</v>
      </c>
      <c r="AY419">
        <v>5</v>
      </c>
      <c r="AZ419">
        <v>2</v>
      </c>
      <c r="BA419" t="s">
        <v>9</v>
      </c>
      <c r="BB419" t="s">
        <v>4</v>
      </c>
      <c r="BC419" t="s">
        <v>10</v>
      </c>
      <c r="BD419">
        <v>0</v>
      </c>
      <c r="BE419">
        <v>0</v>
      </c>
      <c r="BF419">
        <v>0</v>
      </c>
      <c r="BG419">
        <v>0</v>
      </c>
      <c r="BH419">
        <v>0</v>
      </c>
      <c r="BI419" t="s">
        <v>9</v>
      </c>
      <c r="BJ419">
        <v>1.0441E-4</v>
      </c>
      <c r="BK419">
        <v>0</v>
      </c>
      <c r="BL419">
        <v>1.4620000000000001E-5</v>
      </c>
      <c r="BM419" s="2">
        <f t="shared" si="6"/>
        <v>6.1850766243631042E-7</v>
      </c>
    </row>
    <row r="420" spans="1:65" x14ac:dyDescent="0.35">
      <c r="A420">
        <v>0</v>
      </c>
      <c r="B420" t="s">
        <v>11</v>
      </c>
      <c r="C420" t="s">
        <v>4</v>
      </c>
      <c r="D420">
        <v>0</v>
      </c>
      <c r="E420" t="s">
        <v>3</v>
      </c>
      <c r="F420" t="s">
        <v>5</v>
      </c>
      <c r="G420">
        <v>1771.187134</v>
      </c>
      <c r="H420" t="s">
        <v>4</v>
      </c>
      <c r="I420">
        <v>990.16341899999998</v>
      </c>
      <c r="J420">
        <v>781.02371500000004</v>
      </c>
      <c r="K420" t="s">
        <v>6</v>
      </c>
      <c r="L420" t="s">
        <v>7</v>
      </c>
      <c r="M420" t="s">
        <v>8</v>
      </c>
      <c r="N420" t="s">
        <v>6</v>
      </c>
      <c r="O420" t="s">
        <v>3</v>
      </c>
      <c r="P420" t="s">
        <v>3</v>
      </c>
      <c r="Q420" t="s">
        <v>3</v>
      </c>
      <c r="R420" t="s">
        <v>3</v>
      </c>
      <c r="S420" t="s">
        <v>11</v>
      </c>
      <c r="T420" t="s">
        <v>7</v>
      </c>
      <c r="U420">
        <v>1</v>
      </c>
      <c r="V420">
        <v>0</v>
      </c>
      <c r="W420">
        <v>0</v>
      </c>
      <c r="X420">
        <v>1</v>
      </c>
      <c r="Y420">
        <v>0</v>
      </c>
      <c r="Z420" t="s">
        <v>18</v>
      </c>
      <c r="AA420" t="s">
        <v>4</v>
      </c>
      <c r="AB420" t="s">
        <v>6</v>
      </c>
      <c r="AC420" t="s">
        <v>7</v>
      </c>
      <c r="AD420" t="s">
        <v>8</v>
      </c>
      <c r="AE420" t="s">
        <v>6</v>
      </c>
      <c r="AF420" t="s">
        <v>3</v>
      </c>
      <c r="AG420" t="s">
        <v>3</v>
      </c>
      <c r="AH420" t="s">
        <v>3</v>
      </c>
      <c r="AI420" t="s">
        <v>3</v>
      </c>
      <c r="AJ420" t="s">
        <v>3</v>
      </c>
      <c r="AK420" t="s">
        <v>7</v>
      </c>
      <c r="AL420">
        <v>0</v>
      </c>
      <c r="AM420">
        <v>0</v>
      </c>
      <c r="AN420">
        <v>0</v>
      </c>
      <c r="AO420">
        <v>0</v>
      </c>
      <c r="AP420">
        <v>0</v>
      </c>
      <c r="AQ420" t="s">
        <v>9</v>
      </c>
      <c r="AR420" s="1">
        <v>7.7662742899999994E-6</v>
      </c>
      <c r="AS420" s="1">
        <v>1.23647657E-28</v>
      </c>
      <c r="AT420">
        <v>21</v>
      </c>
      <c r="AU420" t="s">
        <v>10</v>
      </c>
      <c r="AV420">
        <v>1</v>
      </c>
      <c r="AW420">
        <v>0</v>
      </c>
      <c r="AX420">
        <v>0</v>
      </c>
      <c r="AY420">
        <v>1</v>
      </c>
      <c r="AZ420">
        <v>0</v>
      </c>
      <c r="BA420" t="s">
        <v>18</v>
      </c>
      <c r="BB420" t="s">
        <v>4</v>
      </c>
      <c r="BC420" t="s">
        <v>10</v>
      </c>
      <c r="BD420">
        <v>0</v>
      </c>
      <c r="BE420">
        <v>0</v>
      </c>
      <c r="BF420">
        <v>0</v>
      </c>
      <c r="BG420">
        <v>0</v>
      </c>
      <c r="BH420">
        <v>0</v>
      </c>
      <c r="BI420" t="s">
        <v>9</v>
      </c>
      <c r="BJ420">
        <v>0</v>
      </c>
      <c r="BK420">
        <v>7.7700000000000001E-6</v>
      </c>
      <c r="BL420">
        <v>0</v>
      </c>
      <c r="BM420" s="2">
        <f t="shared" si="6"/>
        <v>7.4462360004410555E-10</v>
      </c>
    </row>
    <row r="421" spans="1:65" x14ac:dyDescent="0.35">
      <c r="A421">
        <v>0</v>
      </c>
      <c r="B421" t="s">
        <v>3</v>
      </c>
      <c r="C421" t="s">
        <v>4</v>
      </c>
      <c r="D421">
        <v>0</v>
      </c>
      <c r="E421" t="s">
        <v>3</v>
      </c>
      <c r="F421" t="s">
        <v>5</v>
      </c>
      <c r="G421">
        <v>4318.2755370000004</v>
      </c>
      <c r="H421" t="s">
        <v>4</v>
      </c>
      <c r="I421">
        <v>990.16341899999998</v>
      </c>
      <c r="J421">
        <v>3328.112118</v>
      </c>
      <c r="K421" t="s">
        <v>6</v>
      </c>
      <c r="L421" t="s">
        <v>7</v>
      </c>
      <c r="M421" t="s">
        <v>8</v>
      </c>
      <c r="N421" t="s">
        <v>6</v>
      </c>
      <c r="O421" t="s">
        <v>3</v>
      </c>
      <c r="P421" t="s">
        <v>3</v>
      </c>
      <c r="Q421" t="s">
        <v>3</v>
      </c>
      <c r="R421" t="s">
        <v>3</v>
      </c>
      <c r="S421" t="s">
        <v>3</v>
      </c>
      <c r="T421" t="s">
        <v>7</v>
      </c>
      <c r="U421">
        <v>3</v>
      </c>
      <c r="V421">
        <v>0</v>
      </c>
      <c r="W421">
        <v>0</v>
      </c>
      <c r="X421">
        <v>2</v>
      </c>
      <c r="Y421">
        <v>0</v>
      </c>
      <c r="Z421" t="s">
        <v>9</v>
      </c>
      <c r="AA421" t="s">
        <v>4</v>
      </c>
      <c r="AB421" t="s">
        <v>6</v>
      </c>
      <c r="AC421" t="s">
        <v>7</v>
      </c>
      <c r="AD421" t="s">
        <v>8</v>
      </c>
      <c r="AE421" t="s">
        <v>6</v>
      </c>
      <c r="AF421" t="s">
        <v>3</v>
      </c>
      <c r="AG421" t="s">
        <v>3</v>
      </c>
      <c r="AH421" t="s">
        <v>3</v>
      </c>
      <c r="AI421" t="s">
        <v>3</v>
      </c>
      <c r="AJ421" t="s">
        <v>3</v>
      </c>
      <c r="AK421" t="s">
        <v>7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9</v>
      </c>
      <c r="AR421" s="1">
        <v>4.9628064599999998E-5</v>
      </c>
      <c r="AS421" s="1">
        <v>2.2022607700000001E-26</v>
      </c>
      <c r="AT421">
        <v>18</v>
      </c>
      <c r="AU421" t="s">
        <v>10</v>
      </c>
      <c r="AV421">
        <v>3</v>
      </c>
      <c r="AW421">
        <v>0</v>
      </c>
      <c r="AX421">
        <v>0</v>
      </c>
      <c r="AY421">
        <v>2</v>
      </c>
      <c r="AZ421">
        <v>0</v>
      </c>
      <c r="BA421" t="s">
        <v>9</v>
      </c>
      <c r="BB421" t="s">
        <v>4</v>
      </c>
      <c r="BC421" t="s">
        <v>10</v>
      </c>
      <c r="BD421">
        <v>0</v>
      </c>
      <c r="BE421">
        <v>0</v>
      </c>
      <c r="BF421">
        <v>0</v>
      </c>
      <c r="BG421">
        <v>0</v>
      </c>
      <c r="BH421">
        <v>0</v>
      </c>
      <c r="BI421" t="s">
        <v>9</v>
      </c>
      <c r="BJ421">
        <v>-4.8019999999999998E-5</v>
      </c>
      <c r="BK421">
        <v>0</v>
      </c>
      <c r="BL421">
        <v>1.2510000000000001E-5</v>
      </c>
      <c r="BM421" s="2">
        <f t="shared" si="6"/>
        <v>1.3262324435256417E-7</v>
      </c>
    </row>
    <row r="422" spans="1:65" x14ac:dyDescent="0.35">
      <c r="A422">
        <v>0</v>
      </c>
      <c r="B422" t="s">
        <v>3</v>
      </c>
      <c r="C422" t="s">
        <v>4</v>
      </c>
      <c r="D422">
        <v>0</v>
      </c>
      <c r="E422" t="s">
        <v>3</v>
      </c>
      <c r="F422" t="s">
        <v>5</v>
      </c>
      <c r="G422">
        <v>4022.1230599999999</v>
      </c>
      <c r="H422" t="s">
        <v>4</v>
      </c>
      <c r="I422">
        <v>990.16341899999998</v>
      </c>
      <c r="J422">
        <v>3031.95964</v>
      </c>
      <c r="K422" t="s">
        <v>6</v>
      </c>
      <c r="L422" t="s">
        <v>7</v>
      </c>
      <c r="M422" t="s">
        <v>8</v>
      </c>
      <c r="N422" t="s">
        <v>6</v>
      </c>
      <c r="O422" t="s">
        <v>3</v>
      </c>
      <c r="P422" t="s">
        <v>3</v>
      </c>
      <c r="Q422" t="s">
        <v>3</v>
      </c>
      <c r="R422" t="s">
        <v>3</v>
      </c>
      <c r="S422" t="s">
        <v>3</v>
      </c>
      <c r="T422" t="s">
        <v>7</v>
      </c>
      <c r="U422">
        <v>2</v>
      </c>
      <c r="V422">
        <v>0</v>
      </c>
      <c r="W422">
        <v>0</v>
      </c>
      <c r="X422">
        <v>1</v>
      </c>
      <c r="Y422">
        <v>1</v>
      </c>
      <c r="Z422" t="s">
        <v>9</v>
      </c>
      <c r="AA422" t="s">
        <v>4</v>
      </c>
      <c r="AB422" t="s">
        <v>6</v>
      </c>
      <c r="AC422" t="s">
        <v>7</v>
      </c>
      <c r="AD422" t="s">
        <v>8</v>
      </c>
      <c r="AE422" t="s">
        <v>6</v>
      </c>
      <c r="AF422" t="s">
        <v>3</v>
      </c>
      <c r="AG422" t="s">
        <v>3</v>
      </c>
      <c r="AH422" t="s">
        <v>3</v>
      </c>
      <c r="AI422" t="s">
        <v>3</v>
      </c>
      <c r="AJ422" t="s">
        <v>3</v>
      </c>
      <c r="AK422" t="s">
        <v>7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9</v>
      </c>
      <c r="AR422" s="1">
        <v>1.7639577300000001E-4</v>
      </c>
      <c r="AS422" s="1">
        <v>2.5346367900000001E-25</v>
      </c>
      <c r="AT422">
        <v>18</v>
      </c>
      <c r="AU422" t="s">
        <v>10</v>
      </c>
      <c r="AV422">
        <v>2</v>
      </c>
      <c r="AW422">
        <v>0</v>
      </c>
      <c r="AX422">
        <v>0</v>
      </c>
      <c r="AY422">
        <v>1</v>
      </c>
      <c r="AZ422">
        <v>1</v>
      </c>
      <c r="BA422" t="s">
        <v>9</v>
      </c>
      <c r="BB422" t="s">
        <v>4</v>
      </c>
      <c r="BC422" t="s">
        <v>10</v>
      </c>
      <c r="BD422">
        <v>0</v>
      </c>
      <c r="BE422">
        <v>0</v>
      </c>
      <c r="BF422">
        <v>0</v>
      </c>
      <c r="BG422">
        <v>0</v>
      </c>
      <c r="BH422">
        <v>0</v>
      </c>
      <c r="BI422" t="s">
        <v>9</v>
      </c>
      <c r="BJ422">
        <v>1.7550000000000001E-4</v>
      </c>
      <c r="BK422">
        <v>0</v>
      </c>
      <c r="BL422">
        <v>-1.7799999999999999E-5</v>
      </c>
      <c r="BM422" s="2">
        <f t="shared" si="6"/>
        <v>1.5263939626240033E-6</v>
      </c>
    </row>
    <row r="423" spans="1:65" x14ac:dyDescent="0.35">
      <c r="A423">
        <v>0</v>
      </c>
      <c r="B423" t="s">
        <v>11</v>
      </c>
      <c r="C423" t="s">
        <v>4</v>
      </c>
      <c r="D423">
        <v>0</v>
      </c>
      <c r="E423" t="s">
        <v>3</v>
      </c>
      <c r="F423" t="s">
        <v>5</v>
      </c>
      <c r="G423">
        <v>4233.478924</v>
      </c>
      <c r="H423" t="s">
        <v>4</v>
      </c>
      <c r="I423">
        <v>990.16341899999998</v>
      </c>
      <c r="J423">
        <v>3243.315505</v>
      </c>
      <c r="K423" t="s">
        <v>6</v>
      </c>
      <c r="L423" t="s">
        <v>7</v>
      </c>
      <c r="M423" t="s">
        <v>8</v>
      </c>
      <c r="N423" t="s">
        <v>6</v>
      </c>
      <c r="O423" t="s">
        <v>3</v>
      </c>
      <c r="P423" t="s">
        <v>3</v>
      </c>
      <c r="Q423" t="s">
        <v>3</v>
      </c>
      <c r="R423" t="s">
        <v>3</v>
      </c>
      <c r="S423" t="s">
        <v>11</v>
      </c>
      <c r="T423" t="s">
        <v>7</v>
      </c>
      <c r="U423">
        <v>0</v>
      </c>
      <c r="V423">
        <v>0</v>
      </c>
      <c r="W423">
        <v>0</v>
      </c>
      <c r="X423">
        <v>6</v>
      </c>
      <c r="Y423">
        <v>1</v>
      </c>
      <c r="Z423" t="s">
        <v>18</v>
      </c>
      <c r="AA423" t="s">
        <v>4</v>
      </c>
      <c r="AB423" t="s">
        <v>6</v>
      </c>
      <c r="AC423" t="s">
        <v>7</v>
      </c>
      <c r="AD423" t="s">
        <v>8</v>
      </c>
      <c r="AE423" t="s">
        <v>6</v>
      </c>
      <c r="AF423" t="s">
        <v>3</v>
      </c>
      <c r="AG423" t="s">
        <v>3</v>
      </c>
      <c r="AH423" t="s">
        <v>3</v>
      </c>
      <c r="AI423" t="s">
        <v>3</v>
      </c>
      <c r="AJ423" t="s">
        <v>3</v>
      </c>
      <c r="AK423" t="s">
        <v>7</v>
      </c>
      <c r="AL423">
        <v>0</v>
      </c>
      <c r="AM423">
        <v>0</v>
      </c>
      <c r="AN423">
        <v>0</v>
      </c>
      <c r="AO423">
        <v>0</v>
      </c>
      <c r="AP423">
        <v>0</v>
      </c>
      <c r="AQ423" t="s">
        <v>9</v>
      </c>
      <c r="AR423" s="1">
        <v>2.4542512900000002E-5</v>
      </c>
      <c r="AS423" s="1">
        <v>5.2485984700000002E-27</v>
      </c>
      <c r="AT423">
        <v>18</v>
      </c>
      <c r="AU423" t="s">
        <v>10</v>
      </c>
      <c r="AV423">
        <v>0</v>
      </c>
      <c r="AW423">
        <v>0</v>
      </c>
      <c r="AX423">
        <v>0</v>
      </c>
      <c r="AY423">
        <v>6</v>
      </c>
      <c r="AZ423">
        <v>1</v>
      </c>
      <c r="BA423" t="s">
        <v>18</v>
      </c>
      <c r="BB423" t="s">
        <v>4</v>
      </c>
      <c r="BC423" t="s">
        <v>10</v>
      </c>
      <c r="BD423">
        <v>0</v>
      </c>
      <c r="BE423">
        <v>0</v>
      </c>
      <c r="BF423">
        <v>0</v>
      </c>
      <c r="BG423">
        <v>0</v>
      </c>
      <c r="BH423">
        <v>0</v>
      </c>
      <c r="BI423" t="s">
        <v>9</v>
      </c>
      <c r="BJ423">
        <v>0</v>
      </c>
      <c r="BK423">
        <v>-2.4539999999999999E-5</v>
      </c>
      <c r="BL423">
        <v>0</v>
      </c>
      <c r="BM423" s="2">
        <f t="shared" si="6"/>
        <v>3.1607798989004579E-8</v>
      </c>
    </row>
    <row r="424" spans="1:65" x14ac:dyDescent="0.35">
      <c r="A424">
        <v>0</v>
      </c>
      <c r="B424" t="s">
        <v>3</v>
      </c>
      <c r="C424" t="s">
        <v>4</v>
      </c>
      <c r="D424">
        <v>0</v>
      </c>
      <c r="E424" t="s">
        <v>3</v>
      </c>
      <c r="F424" t="s">
        <v>5</v>
      </c>
      <c r="G424">
        <v>4795.1995989999996</v>
      </c>
      <c r="H424" t="s">
        <v>4</v>
      </c>
      <c r="I424">
        <v>990.16341899999998</v>
      </c>
      <c r="J424">
        <v>3805.0361800000001</v>
      </c>
      <c r="K424" t="s">
        <v>6</v>
      </c>
      <c r="L424" t="s">
        <v>7</v>
      </c>
      <c r="M424" t="s">
        <v>8</v>
      </c>
      <c r="N424" t="s">
        <v>6</v>
      </c>
      <c r="O424" t="s">
        <v>3</v>
      </c>
      <c r="P424" t="s">
        <v>3</v>
      </c>
      <c r="Q424" t="s">
        <v>3</v>
      </c>
      <c r="R424" t="s">
        <v>3</v>
      </c>
      <c r="S424" t="s">
        <v>3</v>
      </c>
      <c r="T424" t="s">
        <v>7</v>
      </c>
      <c r="U424">
        <v>0</v>
      </c>
      <c r="V424">
        <v>1</v>
      </c>
      <c r="W424">
        <v>0</v>
      </c>
      <c r="X424">
        <v>5</v>
      </c>
      <c r="Y424">
        <v>0</v>
      </c>
      <c r="Z424" t="s">
        <v>15</v>
      </c>
      <c r="AA424" t="s">
        <v>4</v>
      </c>
      <c r="AB424" t="s">
        <v>6</v>
      </c>
      <c r="AC424" t="s">
        <v>7</v>
      </c>
      <c r="AD424" t="s">
        <v>8</v>
      </c>
      <c r="AE424" t="s">
        <v>6</v>
      </c>
      <c r="AF424" t="s">
        <v>3</v>
      </c>
      <c r="AG424" t="s">
        <v>3</v>
      </c>
      <c r="AH424" t="s">
        <v>3</v>
      </c>
      <c r="AI424" t="s">
        <v>3</v>
      </c>
      <c r="AJ424" t="s">
        <v>3</v>
      </c>
      <c r="AK424" t="s">
        <v>7</v>
      </c>
      <c r="AL424">
        <v>0</v>
      </c>
      <c r="AM424">
        <v>0</v>
      </c>
      <c r="AN424">
        <v>0</v>
      </c>
      <c r="AO424">
        <v>0</v>
      </c>
      <c r="AP424">
        <v>0</v>
      </c>
      <c r="AQ424" t="s">
        <v>9</v>
      </c>
      <c r="AR424" s="1">
        <v>4.6428859099999998E-5</v>
      </c>
      <c r="AS424" s="1">
        <v>2.2036923900000001E-26</v>
      </c>
      <c r="AT424">
        <v>19</v>
      </c>
      <c r="AU424" t="s">
        <v>10</v>
      </c>
      <c r="AV424">
        <v>0</v>
      </c>
      <c r="AW424">
        <v>1</v>
      </c>
      <c r="AX424">
        <v>0</v>
      </c>
      <c r="AY424">
        <v>5</v>
      </c>
      <c r="AZ424">
        <v>0</v>
      </c>
      <c r="BA424" t="s">
        <v>15</v>
      </c>
      <c r="BB424" t="s">
        <v>4</v>
      </c>
      <c r="BC424" t="s">
        <v>10</v>
      </c>
      <c r="BD424">
        <v>0</v>
      </c>
      <c r="BE424">
        <v>0</v>
      </c>
      <c r="BF424">
        <v>0</v>
      </c>
      <c r="BG424">
        <v>0</v>
      </c>
      <c r="BH424">
        <v>0</v>
      </c>
      <c r="BI424" t="s">
        <v>9</v>
      </c>
      <c r="BJ424">
        <v>2.974E-5</v>
      </c>
      <c r="BK424">
        <v>0</v>
      </c>
      <c r="BL424">
        <v>-3.5660000000000001E-5</v>
      </c>
      <c r="BM424" s="2">
        <f t="shared" si="6"/>
        <v>1.327094585246851E-7</v>
      </c>
    </row>
    <row r="425" spans="1:65" x14ac:dyDescent="0.35">
      <c r="A425">
        <v>0</v>
      </c>
      <c r="B425" t="s">
        <v>11</v>
      </c>
      <c r="C425" t="s">
        <v>4</v>
      </c>
      <c r="D425">
        <v>0</v>
      </c>
      <c r="E425" t="s">
        <v>3</v>
      </c>
      <c r="F425" t="s">
        <v>5</v>
      </c>
      <c r="G425">
        <v>4739.8444559999998</v>
      </c>
      <c r="H425" t="s">
        <v>4</v>
      </c>
      <c r="I425">
        <v>990.16341899999998</v>
      </c>
      <c r="J425">
        <v>3749.6810369999998</v>
      </c>
      <c r="K425" t="s">
        <v>6</v>
      </c>
      <c r="L425" t="s">
        <v>7</v>
      </c>
      <c r="M425" t="s">
        <v>8</v>
      </c>
      <c r="N425" t="s">
        <v>6</v>
      </c>
      <c r="O425" t="s">
        <v>3</v>
      </c>
      <c r="P425" t="s">
        <v>3</v>
      </c>
      <c r="Q425" t="s">
        <v>3</v>
      </c>
      <c r="R425" t="s">
        <v>3</v>
      </c>
      <c r="S425" t="s">
        <v>11</v>
      </c>
      <c r="T425" t="s">
        <v>7</v>
      </c>
      <c r="U425">
        <v>3</v>
      </c>
      <c r="V425">
        <v>0</v>
      </c>
      <c r="W425">
        <v>0</v>
      </c>
      <c r="X425">
        <v>3</v>
      </c>
      <c r="Y425">
        <v>0</v>
      </c>
      <c r="Z425" t="s">
        <v>18</v>
      </c>
      <c r="AA425" t="s">
        <v>4</v>
      </c>
      <c r="AB425" t="s">
        <v>6</v>
      </c>
      <c r="AC425" t="s">
        <v>7</v>
      </c>
      <c r="AD425" t="s">
        <v>8</v>
      </c>
      <c r="AE425" t="s">
        <v>6</v>
      </c>
      <c r="AF425" t="s">
        <v>3</v>
      </c>
      <c r="AG425" t="s">
        <v>3</v>
      </c>
      <c r="AH425" t="s">
        <v>3</v>
      </c>
      <c r="AI425" t="s">
        <v>3</v>
      </c>
      <c r="AJ425" t="s">
        <v>3</v>
      </c>
      <c r="AK425" t="s">
        <v>7</v>
      </c>
      <c r="AL425">
        <v>0</v>
      </c>
      <c r="AM425">
        <v>0</v>
      </c>
      <c r="AN425">
        <v>0</v>
      </c>
      <c r="AO425">
        <v>0</v>
      </c>
      <c r="AP425">
        <v>0</v>
      </c>
      <c r="AQ425" t="s">
        <v>9</v>
      </c>
      <c r="AR425" s="1">
        <v>3.29889485E-6</v>
      </c>
      <c r="AS425" s="1">
        <v>1.0963454799999999E-28</v>
      </c>
      <c r="AT425">
        <v>18</v>
      </c>
      <c r="AU425" t="s">
        <v>10</v>
      </c>
      <c r="AV425">
        <v>3</v>
      </c>
      <c r="AW425">
        <v>0</v>
      </c>
      <c r="AX425">
        <v>0</v>
      </c>
      <c r="AY425">
        <v>3</v>
      </c>
      <c r="AZ425">
        <v>0</v>
      </c>
      <c r="BA425" t="s">
        <v>18</v>
      </c>
      <c r="BB425" t="s">
        <v>4</v>
      </c>
      <c r="BC425" t="s">
        <v>10</v>
      </c>
      <c r="BD425">
        <v>0</v>
      </c>
      <c r="BE425">
        <v>0</v>
      </c>
      <c r="BF425">
        <v>0</v>
      </c>
      <c r="BG425">
        <v>0</v>
      </c>
      <c r="BH425">
        <v>0</v>
      </c>
      <c r="BI425" t="s">
        <v>9</v>
      </c>
      <c r="BJ425">
        <v>0</v>
      </c>
      <c r="BK425">
        <v>3.3000000000000002E-6</v>
      </c>
      <c r="BL425">
        <v>0</v>
      </c>
      <c r="BM425" s="2">
        <f t="shared" si="6"/>
        <v>6.6023468460035832E-10</v>
      </c>
    </row>
    <row r="426" spans="1:65" x14ac:dyDescent="0.35">
      <c r="A426">
        <v>0</v>
      </c>
      <c r="B426" t="s">
        <v>3</v>
      </c>
      <c r="C426" t="s">
        <v>4</v>
      </c>
      <c r="D426">
        <v>0</v>
      </c>
      <c r="E426" t="s">
        <v>3</v>
      </c>
      <c r="F426" t="s">
        <v>5</v>
      </c>
      <c r="G426">
        <v>3704.4309870000002</v>
      </c>
      <c r="H426" t="s">
        <v>4</v>
      </c>
      <c r="I426">
        <v>990.16341899999998</v>
      </c>
      <c r="J426">
        <v>2714.2675680000002</v>
      </c>
      <c r="K426" t="s">
        <v>6</v>
      </c>
      <c r="L426" t="s">
        <v>7</v>
      </c>
      <c r="M426" t="s">
        <v>8</v>
      </c>
      <c r="N426" t="s">
        <v>6</v>
      </c>
      <c r="O426" t="s">
        <v>3</v>
      </c>
      <c r="P426" t="s">
        <v>3</v>
      </c>
      <c r="Q426" t="s">
        <v>3</v>
      </c>
      <c r="R426" t="s">
        <v>3</v>
      </c>
      <c r="S426" t="s">
        <v>3</v>
      </c>
      <c r="T426" t="s">
        <v>7</v>
      </c>
      <c r="U426">
        <v>1</v>
      </c>
      <c r="V426">
        <v>1</v>
      </c>
      <c r="W426">
        <v>0</v>
      </c>
      <c r="X426">
        <v>4</v>
      </c>
      <c r="Y426">
        <v>0</v>
      </c>
      <c r="Z426" t="s">
        <v>8</v>
      </c>
      <c r="AA426" t="s">
        <v>4</v>
      </c>
      <c r="AB426" t="s">
        <v>6</v>
      </c>
      <c r="AC426" t="s">
        <v>7</v>
      </c>
      <c r="AD426" t="s">
        <v>8</v>
      </c>
      <c r="AE426" t="s">
        <v>6</v>
      </c>
      <c r="AF426" t="s">
        <v>3</v>
      </c>
      <c r="AG426" t="s">
        <v>3</v>
      </c>
      <c r="AH426" t="s">
        <v>3</v>
      </c>
      <c r="AI426" t="s">
        <v>3</v>
      </c>
      <c r="AJ426" t="s">
        <v>3</v>
      </c>
      <c r="AK426" t="s">
        <v>7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9</v>
      </c>
      <c r="AR426" s="1">
        <v>2.0571715599999999E-5</v>
      </c>
      <c r="AS426" s="1">
        <v>3.08609264E-27</v>
      </c>
      <c r="AT426">
        <v>21</v>
      </c>
      <c r="AU426" t="s">
        <v>10</v>
      </c>
      <c r="AV426">
        <v>1</v>
      </c>
      <c r="AW426">
        <v>1</v>
      </c>
      <c r="AX426">
        <v>0</v>
      </c>
      <c r="AY426">
        <v>4</v>
      </c>
      <c r="AZ426">
        <v>0</v>
      </c>
      <c r="BA426" t="s">
        <v>8</v>
      </c>
      <c r="BB426" t="s">
        <v>4</v>
      </c>
      <c r="BC426" t="s">
        <v>10</v>
      </c>
      <c r="BD426">
        <v>0</v>
      </c>
      <c r="BE426">
        <v>0</v>
      </c>
      <c r="BF426">
        <v>0</v>
      </c>
      <c r="BG426">
        <v>0</v>
      </c>
      <c r="BH426">
        <v>0</v>
      </c>
      <c r="BI426" t="s">
        <v>9</v>
      </c>
      <c r="BJ426">
        <v>1.19E-6</v>
      </c>
      <c r="BK426">
        <v>0</v>
      </c>
      <c r="BL426">
        <v>-2.054E-5</v>
      </c>
      <c r="BM426" s="2">
        <f t="shared" si="6"/>
        <v>1.8584884399923711E-8</v>
      </c>
    </row>
    <row r="427" spans="1:65" x14ac:dyDescent="0.35">
      <c r="A427">
        <v>0</v>
      </c>
      <c r="B427" t="s">
        <v>3</v>
      </c>
      <c r="C427" t="s">
        <v>4</v>
      </c>
      <c r="D427">
        <v>0</v>
      </c>
      <c r="E427" t="s">
        <v>3</v>
      </c>
      <c r="F427" t="s">
        <v>5</v>
      </c>
      <c r="G427">
        <v>3024.7623939999999</v>
      </c>
      <c r="H427" t="s">
        <v>4</v>
      </c>
      <c r="I427">
        <v>990.16341899999998</v>
      </c>
      <c r="J427">
        <v>2034.5989750000001</v>
      </c>
      <c r="K427" t="s">
        <v>6</v>
      </c>
      <c r="L427" t="s">
        <v>7</v>
      </c>
      <c r="M427" t="s">
        <v>8</v>
      </c>
      <c r="N427" t="s">
        <v>6</v>
      </c>
      <c r="O427" t="s">
        <v>3</v>
      </c>
      <c r="P427" t="s">
        <v>3</v>
      </c>
      <c r="Q427" t="s">
        <v>3</v>
      </c>
      <c r="R427" t="s">
        <v>3</v>
      </c>
      <c r="S427" t="s">
        <v>3</v>
      </c>
      <c r="T427" t="s">
        <v>7</v>
      </c>
      <c r="U427">
        <v>0</v>
      </c>
      <c r="V427">
        <v>0</v>
      </c>
      <c r="W427">
        <v>0</v>
      </c>
      <c r="X427">
        <v>0</v>
      </c>
      <c r="Y427">
        <v>0</v>
      </c>
      <c r="Z427" t="s">
        <v>27</v>
      </c>
      <c r="AA427" t="s">
        <v>4</v>
      </c>
      <c r="AB427" t="s">
        <v>6</v>
      </c>
      <c r="AC427" t="s">
        <v>7</v>
      </c>
      <c r="AD427" t="s">
        <v>8</v>
      </c>
      <c r="AE427" t="s">
        <v>6</v>
      </c>
      <c r="AF427" t="s">
        <v>3</v>
      </c>
      <c r="AG427" t="s">
        <v>3</v>
      </c>
      <c r="AH427" t="s">
        <v>3</v>
      </c>
      <c r="AI427" t="s">
        <v>3</v>
      </c>
      <c r="AJ427" t="s">
        <v>3</v>
      </c>
      <c r="AK427" t="s">
        <v>7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9</v>
      </c>
      <c r="AR427" s="1">
        <v>1.1834131299999999E-4</v>
      </c>
      <c r="AS427" s="1">
        <v>7.6549828799999996E-26</v>
      </c>
      <c r="AT427">
        <v>19</v>
      </c>
      <c r="AU427" t="s">
        <v>10</v>
      </c>
      <c r="AV427">
        <v>0</v>
      </c>
      <c r="AW427">
        <v>0</v>
      </c>
      <c r="AX427">
        <v>0</v>
      </c>
      <c r="AY427">
        <v>0</v>
      </c>
      <c r="AZ427">
        <v>0</v>
      </c>
      <c r="BA427" t="s">
        <v>27</v>
      </c>
      <c r="BB427" t="s">
        <v>4</v>
      </c>
      <c r="BC427" t="s">
        <v>10</v>
      </c>
      <c r="BD427">
        <v>0</v>
      </c>
      <c r="BE427">
        <v>0</v>
      </c>
      <c r="BF427">
        <v>0</v>
      </c>
      <c r="BG427">
        <v>0</v>
      </c>
      <c r="BH427">
        <v>0</v>
      </c>
      <c r="BI427" t="s">
        <v>9</v>
      </c>
      <c r="BJ427">
        <v>7.8310000000000001E-5</v>
      </c>
      <c r="BK427">
        <v>0</v>
      </c>
      <c r="BL427">
        <v>-8.8729999999999999E-5</v>
      </c>
      <c r="BM427" s="2">
        <f t="shared" si="6"/>
        <v>4.6099384724949502E-7</v>
      </c>
    </row>
    <row r="428" spans="1:65" x14ac:dyDescent="0.35">
      <c r="A428">
        <v>0</v>
      </c>
      <c r="B428" t="s">
        <v>3</v>
      </c>
      <c r="C428" t="s">
        <v>4</v>
      </c>
      <c r="D428">
        <v>0</v>
      </c>
      <c r="E428" t="s">
        <v>3</v>
      </c>
      <c r="F428" t="s">
        <v>5</v>
      </c>
      <c r="G428">
        <v>4385.5892670000003</v>
      </c>
      <c r="H428" t="s">
        <v>4</v>
      </c>
      <c r="I428">
        <v>990.16341899999998</v>
      </c>
      <c r="J428">
        <v>3395.4258479999999</v>
      </c>
      <c r="K428" t="s">
        <v>6</v>
      </c>
      <c r="L428" t="s">
        <v>7</v>
      </c>
      <c r="M428" t="s">
        <v>8</v>
      </c>
      <c r="N428" t="s">
        <v>6</v>
      </c>
      <c r="O428" t="s">
        <v>3</v>
      </c>
      <c r="P428" t="s">
        <v>3</v>
      </c>
      <c r="Q428" t="s">
        <v>3</v>
      </c>
      <c r="R428" t="s">
        <v>3</v>
      </c>
      <c r="S428" t="s">
        <v>3</v>
      </c>
      <c r="T428" t="s">
        <v>7</v>
      </c>
      <c r="U428">
        <v>3</v>
      </c>
      <c r="V428">
        <v>0</v>
      </c>
      <c r="W428">
        <v>0</v>
      </c>
      <c r="X428">
        <v>2</v>
      </c>
      <c r="Y428">
        <v>0</v>
      </c>
      <c r="Z428" t="s">
        <v>15</v>
      </c>
      <c r="AA428" t="s">
        <v>4</v>
      </c>
      <c r="AB428" t="s">
        <v>6</v>
      </c>
      <c r="AC428" t="s">
        <v>7</v>
      </c>
      <c r="AD428" t="s">
        <v>8</v>
      </c>
      <c r="AE428" t="s">
        <v>6</v>
      </c>
      <c r="AF428" t="s">
        <v>3</v>
      </c>
      <c r="AG428" t="s">
        <v>3</v>
      </c>
      <c r="AH428" t="s">
        <v>3</v>
      </c>
      <c r="AI428" t="s">
        <v>3</v>
      </c>
      <c r="AJ428" t="s">
        <v>3</v>
      </c>
      <c r="AK428" t="s">
        <v>7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9</v>
      </c>
      <c r="AR428" s="1">
        <v>3.5749171099999999E-5</v>
      </c>
      <c r="AS428" s="1">
        <v>1.16584908E-26</v>
      </c>
      <c r="AT428">
        <v>18</v>
      </c>
      <c r="AU428" t="s">
        <v>10</v>
      </c>
      <c r="AV428">
        <v>3</v>
      </c>
      <c r="AW428">
        <v>0</v>
      </c>
      <c r="AX428">
        <v>0</v>
      </c>
      <c r="AY428">
        <v>2</v>
      </c>
      <c r="AZ428">
        <v>0</v>
      </c>
      <c r="BA428" t="s">
        <v>15</v>
      </c>
      <c r="BB428" t="s">
        <v>4</v>
      </c>
      <c r="BC428" t="s">
        <v>10</v>
      </c>
      <c r="BD428">
        <v>0</v>
      </c>
      <c r="BE428">
        <v>0</v>
      </c>
      <c r="BF428">
        <v>0</v>
      </c>
      <c r="BG428">
        <v>0</v>
      </c>
      <c r="BH428">
        <v>0</v>
      </c>
      <c r="BI428" t="s">
        <v>9</v>
      </c>
      <c r="BJ428">
        <v>-2.8960000000000001E-5</v>
      </c>
      <c r="BK428">
        <v>0</v>
      </c>
      <c r="BL428">
        <v>2.0959999999999999E-5</v>
      </c>
      <c r="BM428" s="2">
        <f t="shared" si="6"/>
        <v>7.0209073113104644E-8</v>
      </c>
    </row>
    <row r="429" spans="1:65" x14ac:dyDescent="0.35">
      <c r="A429">
        <v>0</v>
      </c>
      <c r="B429" t="s">
        <v>3</v>
      </c>
      <c r="C429" t="s">
        <v>4</v>
      </c>
      <c r="D429">
        <v>0</v>
      </c>
      <c r="E429" t="s">
        <v>3</v>
      </c>
      <c r="F429" t="s">
        <v>5</v>
      </c>
      <c r="G429">
        <v>4142.9490329999999</v>
      </c>
      <c r="H429" t="s">
        <v>4</v>
      </c>
      <c r="I429">
        <v>990.16341899999998</v>
      </c>
      <c r="J429">
        <v>3152.7856139999999</v>
      </c>
      <c r="K429" t="s">
        <v>6</v>
      </c>
      <c r="L429" t="s">
        <v>7</v>
      </c>
      <c r="M429" t="s">
        <v>8</v>
      </c>
      <c r="N429" t="s">
        <v>6</v>
      </c>
      <c r="O429" t="s">
        <v>3</v>
      </c>
      <c r="P429" t="s">
        <v>3</v>
      </c>
      <c r="Q429" t="s">
        <v>3</v>
      </c>
      <c r="R429" t="s">
        <v>3</v>
      </c>
      <c r="S429" t="s">
        <v>3</v>
      </c>
      <c r="T429" t="s">
        <v>7</v>
      </c>
      <c r="U429">
        <v>0</v>
      </c>
      <c r="V429">
        <v>1</v>
      </c>
      <c r="W429">
        <v>0</v>
      </c>
      <c r="X429">
        <v>2</v>
      </c>
      <c r="Y429">
        <v>0</v>
      </c>
      <c r="Z429" t="s">
        <v>24</v>
      </c>
      <c r="AA429" t="s">
        <v>4</v>
      </c>
      <c r="AB429" t="s">
        <v>6</v>
      </c>
      <c r="AC429" t="s">
        <v>7</v>
      </c>
      <c r="AD429" t="s">
        <v>8</v>
      </c>
      <c r="AE429" t="s">
        <v>6</v>
      </c>
      <c r="AF429" t="s">
        <v>3</v>
      </c>
      <c r="AG429" t="s">
        <v>3</v>
      </c>
      <c r="AH429" t="s">
        <v>3</v>
      </c>
      <c r="AI429" t="s">
        <v>3</v>
      </c>
      <c r="AJ429" t="s">
        <v>3</v>
      </c>
      <c r="AK429" t="s">
        <v>7</v>
      </c>
      <c r="AL429">
        <v>0</v>
      </c>
      <c r="AM429">
        <v>0</v>
      </c>
      <c r="AN429">
        <v>0</v>
      </c>
      <c r="AO429">
        <v>0</v>
      </c>
      <c r="AP429">
        <v>0</v>
      </c>
      <c r="AQ429" t="s">
        <v>9</v>
      </c>
      <c r="AR429" s="1">
        <v>3.4259247700000001E-4</v>
      </c>
      <c r="AS429" s="1">
        <v>9.9418256199999992E-25</v>
      </c>
      <c r="AT429">
        <v>21</v>
      </c>
      <c r="AU429" t="s">
        <v>10</v>
      </c>
      <c r="AV429">
        <v>0</v>
      </c>
      <c r="AW429">
        <v>1</v>
      </c>
      <c r="AX429">
        <v>0</v>
      </c>
      <c r="AY429">
        <v>2</v>
      </c>
      <c r="AZ429">
        <v>0</v>
      </c>
      <c r="BA429" t="s">
        <v>24</v>
      </c>
      <c r="BB429" t="s">
        <v>4</v>
      </c>
      <c r="BC429" t="s">
        <v>10</v>
      </c>
      <c r="BD429">
        <v>0</v>
      </c>
      <c r="BE429">
        <v>0</v>
      </c>
      <c r="BF429">
        <v>0</v>
      </c>
      <c r="BG429">
        <v>0</v>
      </c>
      <c r="BH429">
        <v>0</v>
      </c>
      <c r="BI429" t="s">
        <v>9</v>
      </c>
      <c r="BJ429">
        <v>3.2433000000000001E-4</v>
      </c>
      <c r="BK429">
        <v>0</v>
      </c>
      <c r="BL429">
        <v>1.1035E-4</v>
      </c>
      <c r="BM429" s="2">
        <f t="shared" si="6"/>
        <v>5.9871073692687303E-6</v>
      </c>
    </row>
    <row r="430" spans="1:65" x14ac:dyDescent="0.35">
      <c r="A430">
        <v>0</v>
      </c>
      <c r="B430" t="s">
        <v>11</v>
      </c>
      <c r="C430" t="s">
        <v>4</v>
      </c>
      <c r="D430">
        <v>0</v>
      </c>
      <c r="E430" t="s">
        <v>3</v>
      </c>
      <c r="F430" t="s">
        <v>5</v>
      </c>
      <c r="G430">
        <v>3545.9152330000002</v>
      </c>
      <c r="H430" t="s">
        <v>4</v>
      </c>
      <c r="I430">
        <v>990.16341899999998</v>
      </c>
      <c r="J430">
        <v>2555.7518140000002</v>
      </c>
      <c r="K430" t="s">
        <v>6</v>
      </c>
      <c r="L430" t="s">
        <v>7</v>
      </c>
      <c r="M430" t="s">
        <v>8</v>
      </c>
      <c r="N430" t="s">
        <v>6</v>
      </c>
      <c r="O430" t="s">
        <v>3</v>
      </c>
      <c r="P430" t="s">
        <v>3</v>
      </c>
      <c r="Q430" t="s">
        <v>3</v>
      </c>
      <c r="R430" t="s">
        <v>3</v>
      </c>
      <c r="S430" t="s">
        <v>11</v>
      </c>
      <c r="T430" t="s">
        <v>7</v>
      </c>
      <c r="U430">
        <v>0</v>
      </c>
      <c r="V430">
        <v>0</v>
      </c>
      <c r="W430">
        <v>0</v>
      </c>
      <c r="X430">
        <v>4</v>
      </c>
      <c r="Y430">
        <v>1</v>
      </c>
      <c r="Z430" t="s">
        <v>18</v>
      </c>
      <c r="AA430" t="s">
        <v>4</v>
      </c>
      <c r="AB430" t="s">
        <v>6</v>
      </c>
      <c r="AC430" t="s">
        <v>7</v>
      </c>
      <c r="AD430" t="s">
        <v>8</v>
      </c>
      <c r="AE430" t="s">
        <v>6</v>
      </c>
      <c r="AF430" t="s">
        <v>3</v>
      </c>
      <c r="AG430" t="s">
        <v>3</v>
      </c>
      <c r="AH430" t="s">
        <v>3</v>
      </c>
      <c r="AI430" t="s">
        <v>3</v>
      </c>
      <c r="AJ430" t="s">
        <v>3</v>
      </c>
      <c r="AK430" t="s">
        <v>7</v>
      </c>
      <c r="AL430">
        <v>0</v>
      </c>
      <c r="AM430">
        <v>0</v>
      </c>
      <c r="AN430">
        <v>0</v>
      </c>
      <c r="AO430">
        <v>0</v>
      </c>
      <c r="AP430">
        <v>0</v>
      </c>
      <c r="AQ430" t="s">
        <v>9</v>
      </c>
      <c r="AR430" s="1">
        <v>2.6576784599999999E-5</v>
      </c>
      <c r="AS430" s="1">
        <v>4.8499561700000001E-27</v>
      </c>
      <c r="AT430">
        <v>18</v>
      </c>
      <c r="AU430" t="s">
        <v>10</v>
      </c>
      <c r="AV430">
        <v>0</v>
      </c>
      <c r="AW430">
        <v>0</v>
      </c>
      <c r="AX430">
        <v>0</v>
      </c>
      <c r="AY430">
        <v>4</v>
      </c>
      <c r="AZ430">
        <v>1</v>
      </c>
      <c r="BA430" t="s">
        <v>18</v>
      </c>
      <c r="BB430" t="s">
        <v>4</v>
      </c>
      <c r="BC430" t="s">
        <v>10</v>
      </c>
      <c r="BD430">
        <v>0</v>
      </c>
      <c r="BE430">
        <v>0</v>
      </c>
      <c r="BF430">
        <v>0</v>
      </c>
      <c r="BG430">
        <v>0</v>
      </c>
      <c r="BH430">
        <v>0</v>
      </c>
      <c r="BI430" t="s">
        <v>9</v>
      </c>
      <c r="BJ430">
        <v>0</v>
      </c>
      <c r="BK430">
        <v>-2.658E-5</v>
      </c>
      <c r="BL430">
        <v>0</v>
      </c>
      <c r="BM430" s="2">
        <f t="shared" si="6"/>
        <v>2.9207118929568737E-8</v>
      </c>
    </row>
    <row r="431" spans="1:65" x14ac:dyDescent="0.35">
      <c r="A431">
        <v>0</v>
      </c>
      <c r="B431" t="s">
        <v>3</v>
      </c>
      <c r="C431" t="s">
        <v>4</v>
      </c>
      <c r="D431">
        <v>0</v>
      </c>
      <c r="E431" t="s">
        <v>3</v>
      </c>
      <c r="F431" t="s">
        <v>5</v>
      </c>
      <c r="G431">
        <v>4610.0360719999999</v>
      </c>
      <c r="H431" t="s">
        <v>4</v>
      </c>
      <c r="I431">
        <v>990.16341899999998</v>
      </c>
      <c r="J431">
        <v>3619.8726529999999</v>
      </c>
      <c r="K431" t="s">
        <v>6</v>
      </c>
      <c r="L431" t="s">
        <v>7</v>
      </c>
      <c r="M431" t="s">
        <v>8</v>
      </c>
      <c r="N431" t="s">
        <v>6</v>
      </c>
      <c r="O431" t="s">
        <v>3</v>
      </c>
      <c r="P431" t="s">
        <v>3</v>
      </c>
      <c r="Q431" t="s">
        <v>3</v>
      </c>
      <c r="R431" t="s">
        <v>3</v>
      </c>
      <c r="S431" t="s">
        <v>3</v>
      </c>
      <c r="T431" t="s">
        <v>7</v>
      </c>
      <c r="U431">
        <v>1</v>
      </c>
      <c r="V431">
        <v>3</v>
      </c>
      <c r="W431">
        <v>0</v>
      </c>
      <c r="X431">
        <v>0</v>
      </c>
      <c r="Y431">
        <v>0</v>
      </c>
      <c r="Z431" t="s">
        <v>8</v>
      </c>
      <c r="AA431" t="s">
        <v>4</v>
      </c>
      <c r="AB431" t="s">
        <v>6</v>
      </c>
      <c r="AC431" t="s">
        <v>7</v>
      </c>
      <c r="AD431" t="s">
        <v>8</v>
      </c>
      <c r="AE431" t="s">
        <v>6</v>
      </c>
      <c r="AF431" t="s">
        <v>3</v>
      </c>
      <c r="AG431" t="s">
        <v>3</v>
      </c>
      <c r="AH431" t="s">
        <v>3</v>
      </c>
      <c r="AI431" t="s">
        <v>3</v>
      </c>
      <c r="AJ431" t="s">
        <v>3</v>
      </c>
      <c r="AK431" t="s">
        <v>7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9</v>
      </c>
      <c r="AR431" s="1">
        <v>1.0381529800000001E-3</v>
      </c>
      <c r="AS431" s="1">
        <v>1.04817103E-23</v>
      </c>
      <c r="AT431">
        <v>21</v>
      </c>
      <c r="AU431" t="s">
        <v>10</v>
      </c>
      <c r="AV431">
        <v>1</v>
      </c>
      <c r="AW431">
        <v>3</v>
      </c>
      <c r="AX431">
        <v>0</v>
      </c>
      <c r="AY431">
        <v>0</v>
      </c>
      <c r="AZ431">
        <v>0</v>
      </c>
      <c r="BA431" t="s">
        <v>8</v>
      </c>
      <c r="BB431" t="s">
        <v>4</v>
      </c>
      <c r="BC431" t="s">
        <v>10</v>
      </c>
      <c r="BD431">
        <v>0</v>
      </c>
      <c r="BE431">
        <v>0</v>
      </c>
      <c r="BF431">
        <v>0</v>
      </c>
      <c r="BG431">
        <v>0</v>
      </c>
      <c r="BH431">
        <v>0</v>
      </c>
      <c r="BI431" t="s">
        <v>9</v>
      </c>
      <c r="BJ431">
        <v>-7.7262999999999995E-4</v>
      </c>
      <c r="BK431">
        <v>0</v>
      </c>
      <c r="BL431">
        <v>6.9340000000000005E-4</v>
      </c>
      <c r="BM431" s="2">
        <f t="shared" si="6"/>
        <v>6.3122335251410247E-5</v>
      </c>
    </row>
    <row r="432" spans="1:65" x14ac:dyDescent="0.35">
      <c r="A432">
        <v>0</v>
      </c>
      <c r="B432" t="s">
        <v>3</v>
      </c>
      <c r="C432" t="s">
        <v>4</v>
      </c>
      <c r="D432">
        <v>0</v>
      </c>
      <c r="E432" t="s">
        <v>3</v>
      </c>
      <c r="F432" t="s">
        <v>5</v>
      </c>
      <c r="G432">
        <v>3825.761242</v>
      </c>
      <c r="H432" t="s">
        <v>4</v>
      </c>
      <c r="I432">
        <v>990.16341899999998</v>
      </c>
      <c r="J432">
        <v>2835.5978230000001</v>
      </c>
      <c r="K432" t="s">
        <v>6</v>
      </c>
      <c r="L432" t="s">
        <v>7</v>
      </c>
      <c r="M432" t="s">
        <v>8</v>
      </c>
      <c r="N432" t="s">
        <v>6</v>
      </c>
      <c r="O432" t="s">
        <v>3</v>
      </c>
      <c r="P432" t="s">
        <v>3</v>
      </c>
      <c r="Q432" t="s">
        <v>3</v>
      </c>
      <c r="R432" t="s">
        <v>3</v>
      </c>
      <c r="S432" t="s">
        <v>3</v>
      </c>
      <c r="T432" t="s">
        <v>7</v>
      </c>
      <c r="U432">
        <v>2</v>
      </c>
      <c r="V432">
        <v>0</v>
      </c>
      <c r="W432">
        <v>0</v>
      </c>
      <c r="X432">
        <v>4</v>
      </c>
      <c r="Y432">
        <v>0</v>
      </c>
      <c r="Z432" t="s">
        <v>8</v>
      </c>
      <c r="AA432" t="s">
        <v>4</v>
      </c>
      <c r="AB432" t="s">
        <v>6</v>
      </c>
      <c r="AC432" t="s">
        <v>7</v>
      </c>
      <c r="AD432" t="s">
        <v>8</v>
      </c>
      <c r="AE432" t="s">
        <v>6</v>
      </c>
      <c r="AF432" t="s">
        <v>3</v>
      </c>
      <c r="AG432" t="s">
        <v>3</v>
      </c>
      <c r="AH432" t="s">
        <v>3</v>
      </c>
      <c r="AI432" t="s">
        <v>3</v>
      </c>
      <c r="AJ432" t="s">
        <v>3</v>
      </c>
      <c r="AK432" t="s">
        <v>7</v>
      </c>
      <c r="AL432">
        <v>0</v>
      </c>
      <c r="AM432">
        <v>0</v>
      </c>
      <c r="AN432">
        <v>0</v>
      </c>
      <c r="AO432">
        <v>0</v>
      </c>
      <c r="AP432">
        <v>0</v>
      </c>
      <c r="AQ432" t="s">
        <v>9</v>
      </c>
      <c r="AR432" s="1">
        <v>1.3866724800000001E-5</v>
      </c>
      <c r="AS432" s="1">
        <v>1.4649003899999999E-27</v>
      </c>
      <c r="AT432">
        <v>18</v>
      </c>
      <c r="AU432" t="s">
        <v>10</v>
      </c>
      <c r="AV432">
        <v>2</v>
      </c>
      <c r="AW432">
        <v>0</v>
      </c>
      <c r="AX432">
        <v>0</v>
      </c>
      <c r="AY432">
        <v>4</v>
      </c>
      <c r="AZ432">
        <v>0</v>
      </c>
      <c r="BA432" t="s">
        <v>8</v>
      </c>
      <c r="BB432" t="s">
        <v>4</v>
      </c>
      <c r="BC432" t="s">
        <v>10</v>
      </c>
      <c r="BD432">
        <v>0</v>
      </c>
      <c r="BE432">
        <v>0</v>
      </c>
      <c r="BF432">
        <v>0</v>
      </c>
      <c r="BG432">
        <v>0</v>
      </c>
      <c r="BH432">
        <v>0</v>
      </c>
      <c r="BI432" t="s">
        <v>9</v>
      </c>
      <c r="BJ432">
        <v>-8.32E-6</v>
      </c>
      <c r="BK432">
        <v>0</v>
      </c>
      <c r="BL432">
        <v>1.1090000000000001E-5</v>
      </c>
      <c r="BM432" s="2">
        <f t="shared" si="6"/>
        <v>8.821836406554912E-9</v>
      </c>
    </row>
    <row r="433" spans="1:65" x14ac:dyDescent="0.35">
      <c r="A433">
        <v>0</v>
      </c>
      <c r="B433" t="s">
        <v>3</v>
      </c>
      <c r="C433" t="s">
        <v>4</v>
      </c>
      <c r="D433">
        <v>0</v>
      </c>
      <c r="E433" t="s">
        <v>3</v>
      </c>
      <c r="F433" t="s">
        <v>5</v>
      </c>
      <c r="G433">
        <v>4969.5657389999997</v>
      </c>
      <c r="H433" t="s">
        <v>4</v>
      </c>
      <c r="I433">
        <v>990.16341899999998</v>
      </c>
      <c r="J433">
        <v>3979.4023200000001</v>
      </c>
      <c r="K433" t="s">
        <v>6</v>
      </c>
      <c r="L433" t="s">
        <v>7</v>
      </c>
      <c r="M433" t="s">
        <v>8</v>
      </c>
      <c r="N433" t="s">
        <v>6</v>
      </c>
      <c r="O433" t="s">
        <v>3</v>
      </c>
      <c r="P433" t="s">
        <v>3</v>
      </c>
      <c r="Q433" t="s">
        <v>3</v>
      </c>
      <c r="R433" t="s">
        <v>3</v>
      </c>
      <c r="S433" t="s">
        <v>3</v>
      </c>
      <c r="T433" t="s">
        <v>7</v>
      </c>
      <c r="U433">
        <v>0</v>
      </c>
      <c r="V433">
        <v>4</v>
      </c>
      <c r="W433">
        <v>0</v>
      </c>
      <c r="X433">
        <v>0</v>
      </c>
      <c r="Y433">
        <v>0</v>
      </c>
      <c r="Z433" t="s">
        <v>8</v>
      </c>
      <c r="AA433" t="s">
        <v>4</v>
      </c>
      <c r="AB433" t="s">
        <v>6</v>
      </c>
      <c r="AC433" t="s">
        <v>7</v>
      </c>
      <c r="AD433" t="s">
        <v>8</v>
      </c>
      <c r="AE433" t="s">
        <v>6</v>
      </c>
      <c r="AF433" t="s">
        <v>3</v>
      </c>
      <c r="AG433" t="s">
        <v>3</v>
      </c>
      <c r="AH433" t="s">
        <v>3</v>
      </c>
      <c r="AI433" t="s">
        <v>3</v>
      </c>
      <c r="AJ433" t="s">
        <v>3</v>
      </c>
      <c r="AK433" t="s">
        <v>7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9</v>
      </c>
      <c r="AR433" s="1">
        <v>2.71719626E-6</v>
      </c>
      <c r="AS433" s="1">
        <v>7.8936165299999996E-29</v>
      </c>
      <c r="AT433">
        <v>19</v>
      </c>
      <c r="AU433" t="s">
        <v>10</v>
      </c>
      <c r="AV433">
        <v>0</v>
      </c>
      <c r="AW433">
        <v>4</v>
      </c>
      <c r="AX433">
        <v>0</v>
      </c>
      <c r="AY433">
        <v>0</v>
      </c>
      <c r="AZ433">
        <v>0</v>
      </c>
      <c r="BA433" t="s">
        <v>8</v>
      </c>
      <c r="BB433" t="s">
        <v>4</v>
      </c>
      <c r="BC433" t="s">
        <v>10</v>
      </c>
      <c r="BD433">
        <v>0</v>
      </c>
      <c r="BE433">
        <v>0</v>
      </c>
      <c r="BF433">
        <v>0</v>
      </c>
      <c r="BG433">
        <v>0</v>
      </c>
      <c r="BH433">
        <v>0</v>
      </c>
      <c r="BI433" t="s">
        <v>9</v>
      </c>
      <c r="BJ433">
        <v>3.4999999999999998E-7</v>
      </c>
      <c r="BK433">
        <v>0</v>
      </c>
      <c r="BL433">
        <v>-2.6900000000000001E-6</v>
      </c>
      <c r="BM433" s="2">
        <f t="shared" si="6"/>
        <v>4.753647016486742E-10</v>
      </c>
    </row>
    <row r="434" spans="1:65" x14ac:dyDescent="0.35">
      <c r="A434">
        <v>0</v>
      </c>
      <c r="B434" t="s">
        <v>3</v>
      </c>
      <c r="C434" t="s">
        <v>4</v>
      </c>
      <c r="D434">
        <v>0</v>
      </c>
      <c r="E434" t="s">
        <v>3</v>
      </c>
      <c r="F434" t="s">
        <v>5</v>
      </c>
      <c r="G434">
        <v>3423.0036789999999</v>
      </c>
      <c r="H434" t="s">
        <v>4</v>
      </c>
      <c r="I434">
        <v>990.16341899999998</v>
      </c>
      <c r="J434">
        <v>2432.8402599999999</v>
      </c>
      <c r="K434" t="s">
        <v>6</v>
      </c>
      <c r="L434" t="s">
        <v>7</v>
      </c>
      <c r="M434" t="s">
        <v>8</v>
      </c>
      <c r="N434" t="s">
        <v>6</v>
      </c>
      <c r="O434" t="s">
        <v>3</v>
      </c>
      <c r="P434" t="s">
        <v>3</v>
      </c>
      <c r="Q434" t="s">
        <v>3</v>
      </c>
      <c r="R434" t="s">
        <v>3</v>
      </c>
      <c r="S434" t="s">
        <v>3</v>
      </c>
      <c r="T434" t="s">
        <v>7</v>
      </c>
      <c r="U434">
        <v>2</v>
      </c>
      <c r="V434">
        <v>0</v>
      </c>
      <c r="W434">
        <v>0</v>
      </c>
      <c r="X434">
        <v>3</v>
      </c>
      <c r="Y434">
        <v>0</v>
      </c>
      <c r="Z434" t="s">
        <v>8</v>
      </c>
      <c r="AA434" t="s">
        <v>4</v>
      </c>
      <c r="AB434" t="s">
        <v>6</v>
      </c>
      <c r="AC434" t="s">
        <v>7</v>
      </c>
      <c r="AD434" t="s">
        <v>8</v>
      </c>
      <c r="AE434" t="s">
        <v>6</v>
      </c>
      <c r="AF434" t="s">
        <v>3</v>
      </c>
      <c r="AG434" t="s">
        <v>3</v>
      </c>
      <c r="AH434" t="s">
        <v>3</v>
      </c>
      <c r="AI434" t="s">
        <v>3</v>
      </c>
      <c r="AJ434" t="s">
        <v>3</v>
      </c>
      <c r="AK434" t="s">
        <v>7</v>
      </c>
      <c r="AL434">
        <v>0</v>
      </c>
      <c r="AM434">
        <v>0</v>
      </c>
      <c r="AN434">
        <v>0</v>
      </c>
      <c r="AO434">
        <v>0</v>
      </c>
      <c r="AP434">
        <v>0</v>
      </c>
      <c r="AQ434" t="s">
        <v>9</v>
      </c>
      <c r="AR434" s="1">
        <v>5.0789124300000001E-4</v>
      </c>
      <c r="AS434" s="1">
        <v>1.6860395899999999E-24</v>
      </c>
      <c r="AT434">
        <v>21</v>
      </c>
      <c r="AU434" t="s">
        <v>10</v>
      </c>
      <c r="AV434">
        <v>2</v>
      </c>
      <c r="AW434">
        <v>0</v>
      </c>
      <c r="AX434">
        <v>0</v>
      </c>
      <c r="AY434">
        <v>3</v>
      </c>
      <c r="AZ434">
        <v>0</v>
      </c>
      <c r="BA434" t="s">
        <v>8</v>
      </c>
      <c r="BB434" t="s">
        <v>4</v>
      </c>
      <c r="BC434" t="s">
        <v>10</v>
      </c>
      <c r="BD434">
        <v>0</v>
      </c>
      <c r="BE434">
        <v>0</v>
      </c>
      <c r="BF434">
        <v>0</v>
      </c>
      <c r="BG434">
        <v>0</v>
      </c>
      <c r="BH434">
        <v>0</v>
      </c>
      <c r="BI434" t="s">
        <v>9</v>
      </c>
      <c r="BJ434">
        <v>-5.0175999999999997E-4</v>
      </c>
      <c r="BK434">
        <v>0</v>
      </c>
      <c r="BL434">
        <v>7.8679999999999999E-5</v>
      </c>
      <c r="BM434" s="2">
        <f t="shared" si="6"/>
        <v>1.0153567805354271E-5</v>
      </c>
    </row>
    <row r="435" spans="1:65" x14ac:dyDescent="0.35">
      <c r="A435">
        <v>0</v>
      </c>
      <c r="B435" t="s">
        <v>3</v>
      </c>
      <c r="C435" t="s">
        <v>4</v>
      </c>
      <c r="D435">
        <v>0</v>
      </c>
      <c r="E435" t="s">
        <v>3</v>
      </c>
      <c r="F435" t="s">
        <v>5</v>
      </c>
      <c r="G435">
        <v>4903.7199190000001</v>
      </c>
      <c r="H435" t="s">
        <v>4</v>
      </c>
      <c r="I435">
        <v>990.16341899999998</v>
      </c>
      <c r="J435">
        <v>3913.5565000000001</v>
      </c>
      <c r="K435" t="s">
        <v>6</v>
      </c>
      <c r="L435" t="s">
        <v>7</v>
      </c>
      <c r="M435" t="s">
        <v>8</v>
      </c>
      <c r="N435" t="s">
        <v>6</v>
      </c>
      <c r="O435" t="s">
        <v>3</v>
      </c>
      <c r="P435" t="s">
        <v>3</v>
      </c>
      <c r="Q435" t="s">
        <v>3</v>
      </c>
      <c r="R435" t="s">
        <v>3</v>
      </c>
      <c r="S435" t="s">
        <v>3</v>
      </c>
      <c r="T435" t="s">
        <v>7</v>
      </c>
      <c r="U435">
        <v>0</v>
      </c>
      <c r="V435">
        <v>2</v>
      </c>
      <c r="W435">
        <v>0</v>
      </c>
      <c r="X435">
        <v>1</v>
      </c>
      <c r="Y435">
        <v>1</v>
      </c>
      <c r="Z435" t="s">
        <v>9</v>
      </c>
      <c r="AA435" t="s">
        <v>4</v>
      </c>
      <c r="AB435" t="s">
        <v>6</v>
      </c>
      <c r="AC435" t="s">
        <v>7</v>
      </c>
      <c r="AD435" t="s">
        <v>8</v>
      </c>
      <c r="AE435" t="s">
        <v>6</v>
      </c>
      <c r="AF435" t="s">
        <v>3</v>
      </c>
      <c r="AG435" t="s">
        <v>3</v>
      </c>
      <c r="AH435" t="s">
        <v>3</v>
      </c>
      <c r="AI435" t="s">
        <v>3</v>
      </c>
      <c r="AJ435" t="s">
        <v>3</v>
      </c>
      <c r="AK435" t="s">
        <v>7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9</v>
      </c>
      <c r="AR435" s="1">
        <v>2.16731068E-5</v>
      </c>
      <c r="AS435" s="1">
        <v>4.9388986200000003E-27</v>
      </c>
      <c r="AT435">
        <v>19</v>
      </c>
      <c r="AU435" t="s">
        <v>10</v>
      </c>
      <c r="AV435">
        <v>0</v>
      </c>
      <c r="AW435">
        <v>2</v>
      </c>
      <c r="AX435">
        <v>0</v>
      </c>
      <c r="AY435">
        <v>1</v>
      </c>
      <c r="AZ435">
        <v>1</v>
      </c>
      <c r="BA435" t="s">
        <v>9</v>
      </c>
      <c r="BB435" t="s">
        <v>4</v>
      </c>
      <c r="BC435" t="s">
        <v>10</v>
      </c>
      <c r="BD435">
        <v>0</v>
      </c>
      <c r="BE435">
        <v>0</v>
      </c>
      <c r="BF435">
        <v>0</v>
      </c>
      <c r="BG435">
        <v>0</v>
      </c>
      <c r="BH435">
        <v>0</v>
      </c>
      <c r="BI435" t="s">
        <v>9</v>
      </c>
      <c r="BJ435">
        <v>8.4600000000000003E-6</v>
      </c>
      <c r="BK435">
        <v>0</v>
      </c>
      <c r="BL435">
        <v>-1.995E-5</v>
      </c>
      <c r="BM435" s="2">
        <f t="shared" si="6"/>
        <v>2.9742742886565696E-8</v>
      </c>
    </row>
    <row r="436" spans="1:65" x14ac:dyDescent="0.35">
      <c r="A436">
        <v>0</v>
      </c>
      <c r="B436" t="s">
        <v>3</v>
      </c>
      <c r="C436" t="s">
        <v>4</v>
      </c>
      <c r="D436">
        <v>0</v>
      </c>
      <c r="E436" t="s">
        <v>3</v>
      </c>
      <c r="F436" t="s">
        <v>5</v>
      </c>
      <c r="G436">
        <v>2321.8968490000002</v>
      </c>
      <c r="H436" t="s">
        <v>4</v>
      </c>
      <c r="I436">
        <v>990.16341899999998</v>
      </c>
      <c r="J436">
        <v>1331.73343</v>
      </c>
      <c r="K436" t="s">
        <v>6</v>
      </c>
      <c r="L436" t="s">
        <v>7</v>
      </c>
      <c r="M436" t="s">
        <v>8</v>
      </c>
      <c r="N436" t="s">
        <v>6</v>
      </c>
      <c r="O436" t="s">
        <v>3</v>
      </c>
      <c r="P436" t="s">
        <v>3</v>
      </c>
      <c r="Q436" t="s">
        <v>3</v>
      </c>
      <c r="R436" t="s">
        <v>3</v>
      </c>
      <c r="S436" t="s">
        <v>3</v>
      </c>
      <c r="T436" t="s">
        <v>7</v>
      </c>
      <c r="U436">
        <v>0</v>
      </c>
      <c r="V436">
        <v>1</v>
      </c>
      <c r="W436">
        <v>0</v>
      </c>
      <c r="X436">
        <v>0</v>
      </c>
      <c r="Y436">
        <v>0</v>
      </c>
      <c r="Z436" t="s">
        <v>15</v>
      </c>
      <c r="AA436" t="s">
        <v>4</v>
      </c>
      <c r="AB436" t="s">
        <v>6</v>
      </c>
      <c r="AC436" t="s">
        <v>7</v>
      </c>
      <c r="AD436" t="s">
        <v>8</v>
      </c>
      <c r="AE436" t="s">
        <v>6</v>
      </c>
      <c r="AF436" t="s">
        <v>3</v>
      </c>
      <c r="AG436" t="s">
        <v>3</v>
      </c>
      <c r="AH436" t="s">
        <v>3</v>
      </c>
      <c r="AI436" t="s">
        <v>3</v>
      </c>
      <c r="AJ436" t="s">
        <v>3</v>
      </c>
      <c r="AK436" t="s">
        <v>7</v>
      </c>
      <c r="AL436">
        <v>0</v>
      </c>
      <c r="AM436">
        <v>0</v>
      </c>
      <c r="AN436">
        <v>0</v>
      </c>
      <c r="AO436">
        <v>0</v>
      </c>
      <c r="AP436">
        <v>0</v>
      </c>
      <c r="AQ436" t="s">
        <v>9</v>
      </c>
      <c r="AR436" s="1">
        <v>1.9632700199999999E-5</v>
      </c>
      <c r="AS436" s="1">
        <v>1.3768685799999999E-27</v>
      </c>
      <c r="AT436">
        <v>18</v>
      </c>
      <c r="AU436" t="s">
        <v>10</v>
      </c>
      <c r="AV436">
        <v>0</v>
      </c>
      <c r="AW436">
        <v>1</v>
      </c>
      <c r="AX436">
        <v>0</v>
      </c>
      <c r="AY436">
        <v>0</v>
      </c>
      <c r="AZ436">
        <v>0</v>
      </c>
      <c r="BA436" t="s">
        <v>15</v>
      </c>
      <c r="BB436" t="s">
        <v>4</v>
      </c>
      <c r="BC436" t="s">
        <v>10</v>
      </c>
      <c r="BD436">
        <v>0</v>
      </c>
      <c r="BE436">
        <v>0</v>
      </c>
      <c r="BF436">
        <v>0</v>
      </c>
      <c r="BG436">
        <v>0</v>
      </c>
      <c r="BH436">
        <v>0</v>
      </c>
      <c r="BI436" t="s">
        <v>9</v>
      </c>
      <c r="BJ436">
        <v>1.7430000000000001E-5</v>
      </c>
      <c r="BK436">
        <v>0</v>
      </c>
      <c r="BL436">
        <v>9.0399999999999998E-6</v>
      </c>
      <c r="BM436" s="2">
        <f t="shared" si="6"/>
        <v>8.2916964518560633E-9</v>
      </c>
    </row>
    <row r="437" spans="1:65" x14ac:dyDescent="0.35">
      <c r="A437">
        <v>0</v>
      </c>
      <c r="B437" t="s">
        <v>3</v>
      </c>
      <c r="C437" t="s">
        <v>4</v>
      </c>
      <c r="D437">
        <v>0</v>
      </c>
      <c r="E437" t="s">
        <v>3</v>
      </c>
      <c r="F437" t="s">
        <v>5</v>
      </c>
      <c r="G437">
        <v>3939.5951460000001</v>
      </c>
      <c r="H437" t="s">
        <v>4</v>
      </c>
      <c r="I437">
        <v>990.16341899999998</v>
      </c>
      <c r="J437">
        <v>2949.4317270000001</v>
      </c>
      <c r="K437" t="s">
        <v>6</v>
      </c>
      <c r="L437" t="s">
        <v>7</v>
      </c>
      <c r="M437" t="s">
        <v>8</v>
      </c>
      <c r="N437" t="s">
        <v>6</v>
      </c>
      <c r="O437" t="s">
        <v>3</v>
      </c>
      <c r="P437" t="s">
        <v>3</v>
      </c>
      <c r="Q437" t="s">
        <v>3</v>
      </c>
      <c r="R437" t="s">
        <v>3</v>
      </c>
      <c r="S437" t="s">
        <v>3</v>
      </c>
      <c r="T437" t="s">
        <v>7</v>
      </c>
      <c r="U437">
        <v>1</v>
      </c>
      <c r="V437">
        <v>0</v>
      </c>
      <c r="W437">
        <v>0</v>
      </c>
      <c r="X437">
        <v>0</v>
      </c>
      <c r="Y437">
        <v>1</v>
      </c>
      <c r="Z437" t="s">
        <v>24</v>
      </c>
      <c r="AA437" t="s">
        <v>4</v>
      </c>
      <c r="AB437" t="s">
        <v>6</v>
      </c>
      <c r="AC437" t="s">
        <v>7</v>
      </c>
      <c r="AD437" t="s">
        <v>8</v>
      </c>
      <c r="AE437" t="s">
        <v>6</v>
      </c>
      <c r="AF437" t="s">
        <v>3</v>
      </c>
      <c r="AG437" t="s">
        <v>3</v>
      </c>
      <c r="AH437" t="s">
        <v>3</v>
      </c>
      <c r="AI437" t="s">
        <v>3</v>
      </c>
      <c r="AJ437" t="s">
        <v>3</v>
      </c>
      <c r="AK437" t="s">
        <v>7</v>
      </c>
      <c r="AL437">
        <v>0</v>
      </c>
      <c r="AM437">
        <v>0</v>
      </c>
      <c r="AN437">
        <v>0</v>
      </c>
      <c r="AO437">
        <v>0</v>
      </c>
      <c r="AP437">
        <v>0</v>
      </c>
      <c r="AQ437" t="s">
        <v>9</v>
      </c>
      <c r="AR437" s="1">
        <v>2.31017712E-5</v>
      </c>
      <c r="AS437" s="1">
        <v>4.2290691300000002E-27</v>
      </c>
      <c r="AT437">
        <v>18</v>
      </c>
      <c r="AU437" t="s">
        <v>10</v>
      </c>
      <c r="AV437">
        <v>1</v>
      </c>
      <c r="AW437">
        <v>0</v>
      </c>
      <c r="AX437">
        <v>0</v>
      </c>
      <c r="AY437">
        <v>0</v>
      </c>
      <c r="AZ437">
        <v>1</v>
      </c>
      <c r="BA437" t="s">
        <v>24</v>
      </c>
      <c r="BB437" t="s">
        <v>4</v>
      </c>
      <c r="BC437" t="s">
        <v>10</v>
      </c>
      <c r="BD437">
        <v>0</v>
      </c>
      <c r="BE437">
        <v>0</v>
      </c>
      <c r="BF437">
        <v>0</v>
      </c>
      <c r="BG437">
        <v>0</v>
      </c>
      <c r="BH437">
        <v>0</v>
      </c>
      <c r="BI437" t="s">
        <v>9</v>
      </c>
      <c r="BJ437">
        <v>-1.4759999999999999E-5</v>
      </c>
      <c r="BK437">
        <v>0</v>
      </c>
      <c r="BL437">
        <v>-1.7779999999999999E-5</v>
      </c>
      <c r="BM437" s="2">
        <f t="shared" si="6"/>
        <v>2.5468049753793502E-8</v>
      </c>
    </row>
    <row r="438" spans="1:65" x14ac:dyDescent="0.35">
      <c r="A438">
        <v>0</v>
      </c>
      <c r="B438" t="s">
        <v>11</v>
      </c>
      <c r="C438" t="s">
        <v>4</v>
      </c>
      <c r="D438">
        <v>0</v>
      </c>
      <c r="E438" t="s">
        <v>3</v>
      </c>
      <c r="F438" t="s">
        <v>5</v>
      </c>
      <c r="G438">
        <v>3229.9550450000002</v>
      </c>
      <c r="H438" t="s">
        <v>4</v>
      </c>
      <c r="I438">
        <v>990.16341899999998</v>
      </c>
      <c r="J438">
        <v>2239.7916260000002</v>
      </c>
      <c r="K438" t="s">
        <v>6</v>
      </c>
      <c r="L438" t="s">
        <v>7</v>
      </c>
      <c r="M438" t="s">
        <v>8</v>
      </c>
      <c r="N438" t="s">
        <v>6</v>
      </c>
      <c r="O438" t="s">
        <v>3</v>
      </c>
      <c r="P438" t="s">
        <v>3</v>
      </c>
      <c r="Q438" t="s">
        <v>3</v>
      </c>
      <c r="R438" t="s">
        <v>3</v>
      </c>
      <c r="S438" t="s">
        <v>11</v>
      </c>
      <c r="T438" t="s">
        <v>7</v>
      </c>
      <c r="U438">
        <v>1</v>
      </c>
      <c r="V438">
        <v>0</v>
      </c>
      <c r="W438">
        <v>0</v>
      </c>
      <c r="X438">
        <v>0</v>
      </c>
      <c r="Y438">
        <v>1</v>
      </c>
      <c r="Z438" t="s">
        <v>14</v>
      </c>
      <c r="AA438" t="s">
        <v>4</v>
      </c>
      <c r="AB438" t="s">
        <v>6</v>
      </c>
      <c r="AC438" t="s">
        <v>7</v>
      </c>
      <c r="AD438" t="s">
        <v>8</v>
      </c>
      <c r="AE438" t="s">
        <v>6</v>
      </c>
      <c r="AF438" t="s">
        <v>3</v>
      </c>
      <c r="AG438" t="s">
        <v>3</v>
      </c>
      <c r="AH438" t="s">
        <v>3</v>
      </c>
      <c r="AI438" t="s">
        <v>3</v>
      </c>
      <c r="AJ438" t="s">
        <v>3</v>
      </c>
      <c r="AK438" t="s">
        <v>7</v>
      </c>
      <c r="AL438">
        <v>0</v>
      </c>
      <c r="AM438">
        <v>0</v>
      </c>
      <c r="AN438">
        <v>0</v>
      </c>
      <c r="AO438">
        <v>0</v>
      </c>
      <c r="AP438">
        <v>0</v>
      </c>
      <c r="AQ438" t="s">
        <v>9</v>
      </c>
      <c r="AR438" s="1">
        <v>7.1577318100000004E-5</v>
      </c>
      <c r="AS438" s="1">
        <v>3.0829457799999998E-26</v>
      </c>
      <c r="AT438">
        <v>21</v>
      </c>
      <c r="AU438" t="s">
        <v>10</v>
      </c>
      <c r="AV438">
        <v>1</v>
      </c>
      <c r="AW438">
        <v>0</v>
      </c>
      <c r="AX438">
        <v>0</v>
      </c>
      <c r="AY438">
        <v>0</v>
      </c>
      <c r="AZ438">
        <v>1</v>
      </c>
      <c r="BA438" t="s">
        <v>14</v>
      </c>
      <c r="BB438" t="s">
        <v>4</v>
      </c>
      <c r="BC438" t="s">
        <v>10</v>
      </c>
      <c r="BD438">
        <v>0</v>
      </c>
      <c r="BE438">
        <v>0</v>
      </c>
      <c r="BF438">
        <v>0</v>
      </c>
      <c r="BG438">
        <v>0</v>
      </c>
      <c r="BH438">
        <v>0</v>
      </c>
      <c r="BI438" t="s">
        <v>9</v>
      </c>
      <c r="BJ438">
        <v>0</v>
      </c>
      <c r="BK438">
        <v>-7.1580000000000002E-5</v>
      </c>
      <c r="BL438">
        <v>0</v>
      </c>
      <c r="BM438" s="2">
        <f t="shared" si="6"/>
        <v>1.8565933565925822E-7</v>
      </c>
    </row>
    <row r="439" spans="1:65" x14ac:dyDescent="0.35">
      <c r="A439">
        <v>0</v>
      </c>
      <c r="B439" t="s">
        <v>3</v>
      </c>
      <c r="C439" t="s">
        <v>4</v>
      </c>
      <c r="D439">
        <v>0</v>
      </c>
      <c r="E439" t="s">
        <v>3</v>
      </c>
      <c r="F439" t="s">
        <v>5</v>
      </c>
      <c r="G439">
        <v>4845.8807820000002</v>
      </c>
      <c r="H439" t="s">
        <v>4</v>
      </c>
      <c r="I439">
        <v>990.16341899999998</v>
      </c>
      <c r="J439">
        <v>3855.7173630000002</v>
      </c>
      <c r="K439" t="s">
        <v>6</v>
      </c>
      <c r="L439" t="s">
        <v>7</v>
      </c>
      <c r="M439" t="s">
        <v>8</v>
      </c>
      <c r="N439" t="s">
        <v>6</v>
      </c>
      <c r="O439" t="s">
        <v>3</v>
      </c>
      <c r="P439" t="s">
        <v>3</v>
      </c>
      <c r="Q439" t="s">
        <v>3</v>
      </c>
      <c r="R439" t="s">
        <v>3</v>
      </c>
      <c r="S439" t="s">
        <v>3</v>
      </c>
      <c r="T439" t="s">
        <v>7</v>
      </c>
      <c r="U439">
        <v>1</v>
      </c>
      <c r="V439">
        <v>0</v>
      </c>
      <c r="W439">
        <v>0</v>
      </c>
      <c r="X439">
        <v>8</v>
      </c>
      <c r="Y439">
        <v>0</v>
      </c>
      <c r="Z439" t="s">
        <v>8</v>
      </c>
      <c r="AA439" t="s">
        <v>4</v>
      </c>
      <c r="AB439" t="s">
        <v>6</v>
      </c>
      <c r="AC439" t="s">
        <v>7</v>
      </c>
      <c r="AD439" t="s">
        <v>8</v>
      </c>
      <c r="AE439" t="s">
        <v>6</v>
      </c>
      <c r="AF439" t="s">
        <v>3</v>
      </c>
      <c r="AG439" t="s">
        <v>3</v>
      </c>
      <c r="AH439" t="s">
        <v>3</v>
      </c>
      <c r="AI439" t="s">
        <v>3</v>
      </c>
      <c r="AJ439" t="s">
        <v>3</v>
      </c>
      <c r="AK439" t="s">
        <v>7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9</v>
      </c>
      <c r="AR439" s="1">
        <v>9.0860870900000005E-6</v>
      </c>
      <c r="AS439" s="1">
        <v>8.5521466700000001E-28</v>
      </c>
      <c r="AT439">
        <v>19</v>
      </c>
      <c r="AU439" t="s">
        <v>10</v>
      </c>
      <c r="AV439">
        <v>1</v>
      </c>
      <c r="AW439">
        <v>0</v>
      </c>
      <c r="AX439">
        <v>0</v>
      </c>
      <c r="AY439">
        <v>8</v>
      </c>
      <c r="AZ439">
        <v>0</v>
      </c>
      <c r="BA439" t="s">
        <v>8</v>
      </c>
      <c r="BB439" t="s">
        <v>4</v>
      </c>
      <c r="BC439" t="s">
        <v>10</v>
      </c>
      <c r="BD439">
        <v>0</v>
      </c>
      <c r="BE439">
        <v>0</v>
      </c>
      <c r="BF439">
        <v>0</v>
      </c>
      <c r="BG439">
        <v>0</v>
      </c>
      <c r="BH439">
        <v>0</v>
      </c>
      <c r="BI439" t="s">
        <v>9</v>
      </c>
      <c r="BJ439">
        <v>7.4000000000000003E-6</v>
      </c>
      <c r="BK439">
        <v>0</v>
      </c>
      <c r="BL439">
        <v>-5.2700000000000004E-6</v>
      </c>
      <c r="BM439" s="2">
        <f t="shared" si="6"/>
        <v>5.1502231388991135E-9</v>
      </c>
    </row>
    <row r="440" spans="1:65" x14ac:dyDescent="0.35">
      <c r="A440">
        <v>0</v>
      </c>
      <c r="B440" t="s">
        <v>11</v>
      </c>
      <c r="C440" t="s">
        <v>4</v>
      </c>
      <c r="D440">
        <v>0</v>
      </c>
      <c r="E440" t="s">
        <v>3</v>
      </c>
      <c r="F440" t="s">
        <v>5</v>
      </c>
      <c r="G440">
        <v>4672.7266030000001</v>
      </c>
      <c r="H440" t="s">
        <v>4</v>
      </c>
      <c r="I440">
        <v>990.16341899999998</v>
      </c>
      <c r="J440">
        <v>3682.5631840000001</v>
      </c>
      <c r="K440" t="s">
        <v>6</v>
      </c>
      <c r="L440" t="s">
        <v>7</v>
      </c>
      <c r="M440" t="s">
        <v>8</v>
      </c>
      <c r="N440" t="s">
        <v>6</v>
      </c>
      <c r="O440" t="s">
        <v>3</v>
      </c>
      <c r="P440" t="s">
        <v>3</v>
      </c>
      <c r="Q440" t="s">
        <v>3</v>
      </c>
      <c r="R440" t="s">
        <v>3</v>
      </c>
      <c r="S440" t="s">
        <v>11</v>
      </c>
      <c r="T440" t="s">
        <v>7</v>
      </c>
      <c r="U440">
        <v>4</v>
      </c>
      <c r="V440">
        <v>0</v>
      </c>
      <c r="W440">
        <v>0</v>
      </c>
      <c r="X440">
        <v>2</v>
      </c>
      <c r="Y440">
        <v>0</v>
      </c>
      <c r="Z440" t="s">
        <v>18</v>
      </c>
      <c r="AA440" t="s">
        <v>4</v>
      </c>
      <c r="AB440" t="s">
        <v>6</v>
      </c>
      <c r="AC440" t="s">
        <v>7</v>
      </c>
      <c r="AD440" t="s">
        <v>8</v>
      </c>
      <c r="AE440" t="s">
        <v>6</v>
      </c>
      <c r="AF440" t="s">
        <v>3</v>
      </c>
      <c r="AG440" t="s">
        <v>3</v>
      </c>
      <c r="AH440" t="s">
        <v>3</v>
      </c>
      <c r="AI440" t="s">
        <v>3</v>
      </c>
      <c r="AJ440" t="s">
        <v>3</v>
      </c>
      <c r="AK440" t="s">
        <v>7</v>
      </c>
      <c r="AL440">
        <v>0</v>
      </c>
      <c r="AM440">
        <v>0</v>
      </c>
      <c r="AN440">
        <v>0</v>
      </c>
      <c r="AO440">
        <v>0</v>
      </c>
      <c r="AP440">
        <v>0</v>
      </c>
      <c r="AQ440" t="s">
        <v>9</v>
      </c>
      <c r="AR440" s="1">
        <v>1.5596057299999998E-5</v>
      </c>
      <c r="AS440" s="1">
        <v>2.4065561800000001E-27</v>
      </c>
      <c r="AT440">
        <v>19</v>
      </c>
      <c r="AU440" t="s">
        <v>10</v>
      </c>
      <c r="AV440">
        <v>4</v>
      </c>
      <c r="AW440">
        <v>0</v>
      </c>
      <c r="AX440">
        <v>0</v>
      </c>
      <c r="AY440">
        <v>2</v>
      </c>
      <c r="AZ440">
        <v>0</v>
      </c>
      <c r="BA440" t="s">
        <v>18</v>
      </c>
      <c r="BB440" t="s">
        <v>4</v>
      </c>
      <c r="BC440" t="s">
        <v>10</v>
      </c>
      <c r="BD440">
        <v>0</v>
      </c>
      <c r="BE440">
        <v>0</v>
      </c>
      <c r="BF440">
        <v>0</v>
      </c>
      <c r="BG440">
        <v>0</v>
      </c>
      <c r="BH440">
        <v>0</v>
      </c>
      <c r="BI440" t="s">
        <v>9</v>
      </c>
      <c r="BJ440">
        <v>0</v>
      </c>
      <c r="BK440">
        <v>-1.56E-5</v>
      </c>
      <c r="BL440">
        <v>0</v>
      </c>
      <c r="BM440" s="2">
        <f t="shared" si="6"/>
        <v>1.4492620159070145E-8</v>
      </c>
    </row>
    <row r="441" spans="1:65" x14ac:dyDescent="0.35">
      <c r="A441">
        <v>0</v>
      </c>
      <c r="B441" t="s">
        <v>3</v>
      </c>
      <c r="C441" t="s">
        <v>4</v>
      </c>
      <c r="D441">
        <v>0</v>
      </c>
      <c r="E441" t="s">
        <v>3</v>
      </c>
      <c r="F441" t="s">
        <v>5</v>
      </c>
      <c r="G441">
        <v>4529.3059069999999</v>
      </c>
      <c r="H441" t="s">
        <v>4</v>
      </c>
      <c r="I441">
        <v>990.16341899999998</v>
      </c>
      <c r="J441">
        <v>3539.142488</v>
      </c>
      <c r="K441" t="s">
        <v>6</v>
      </c>
      <c r="L441" t="s">
        <v>7</v>
      </c>
      <c r="M441" t="s">
        <v>8</v>
      </c>
      <c r="N441" t="s">
        <v>6</v>
      </c>
      <c r="O441" t="s">
        <v>3</v>
      </c>
      <c r="P441" t="s">
        <v>3</v>
      </c>
      <c r="Q441" t="s">
        <v>3</v>
      </c>
      <c r="R441" t="s">
        <v>3</v>
      </c>
      <c r="S441" t="s">
        <v>3</v>
      </c>
      <c r="T441" t="s">
        <v>7</v>
      </c>
      <c r="U441">
        <v>0</v>
      </c>
      <c r="V441">
        <v>1</v>
      </c>
      <c r="W441">
        <v>0</v>
      </c>
      <c r="X441">
        <v>3</v>
      </c>
      <c r="Y441">
        <v>0</v>
      </c>
      <c r="Z441" t="s">
        <v>24</v>
      </c>
      <c r="AA441" t="s">
        <v>4</v>
      </c>
      <c r="AB441" t="s">
        <v>6</v>
      </c>
      <c r="AC441" t="s">
        <v>7</v>
      </c>
      <c r="AD441" t="s">
        <v>8</v>
      </c>
      <c r="AE441" t="s">
        <v>6</v>
      </c>
      <c r="AF441" t="s">
        <v>3</v>
      </c>
      <c r="AG441" t="s">
        <v>3</v>
      </c>
      <c r="AH441" t="s">
        <v>3</v>
      </c>
      <c r="AI441" t="s">
        <v>3</v>
      </c>
      <c r="AJ441" t="s">
        <v>3</v>
      </c>
      <c r="AK441" t="s">
        <v>7</v>
      </c>
      <c r="AL441">
        <v>0</v>
      </c>
      <c r="AM441">
        <v>0</v>
      </c>
      <c r="AN441">
        <v>0</v>
      </c>
      <c r="AO441">
        <v>0</v>
      </c>
      <c r="AP441">
        <v>0</v>
      </c>
      <c r="AQ441" t="s">
        <v>9</v>
      </c>
      <c r="AR441" s="1">
        <v>5.92980958E-5</v>
      </c>
      <c r="AS441" s="1">
        <v>3.3434565900000001E-26</v>
      </c>
      <c r="AT441">
        <v>18</v>
      </c>
      <c r="AU441" t="s">
        <v>10</v>
      </c>
      <c r="AV441">
        <v>0</v>
      </c>
      <c r="AW441">
        <v>1</v>
      </c>
      <c r="AX441">
        <v>0</v>
      </c>
      <c r="AY441">
        <v>3</v>
      </c>
      <c r="AZ441">
        <v>0</v>
      </c>
      <c r="BA441" t="s">
        <v>24</v>
      </c>
      <c r="BB441" t="s">
        <v>4</v>
      </c>
      <c r="BC441" t="s">
        <v>10</v>
      </c>
      <c r="BD441">
        <v>0</v>
      </c>
      <c r="BE441">
        <v>0</v>
      </c>
      <c r="BF441">
        <v>0</v>
      </c>
      <c r="BG441">
        <v>0</v>
      </c>
      <c r="BH441">
        <v>0</v>
      </c>
      <c r="BI441" t="s">
        <v>9</v>
      </c>
      <c r="BJ441">
        <v>5.3000000000000001E-5</v>
      </c>
      <c r="BK441">
        <v>0</v>
      </c>
      <c r="BL441">
        <v>-2.6599999999999999E-5</v>
      </c>
      <c r="BM441" s="2">
        <f t="shared" si="6"/>
        <v>2.0134766343667874E-7</v>
      </c>
    </row>
    <row r="442" spans="1:65" x14ac:dyDescent="0.35">
      <c r="A442">
        <v>0</v>
      </c>
      <c r="B442" t="s">
        <v>11</v>
      </c>
      <c r="C442" t="s">
        <v>4</v>
      </c>
      <c r="D442">
        <v>0</v>
      </c>
      <c r="E442" t="s">
        <v>3</v>
      </c>
      <c r="F442" t="s">
        <v>5</v>
      </c>
      <c r="G442">
        <v>1789.8882799999999</v>
      </c>
      <c r="H442" t="s">
        <v>4</v>
      </c>
      <c r="I442">
        <v>990.16341899999998</v>
      </c>
      <c r="J442">
        <v>799.72486100000003</v>
      </c>
      <c r="K442" t="s">
        <v>6</v>
      </c>
      <c r="L442" t="s">
        <v>7</v>
      </c>
      <c r="M442" t="s">
        <v>8</v>
      </c>
      <c r="N442" t="s">
        <v>6</v>
      </c>
      <c r="O442" t="s">
        <v>3</v>
      </c>
      <c r="P442" t="s">
        <v>3</v>
      </c>
      <c r="Q442" t="s">
        <v>3</v>
      </c>
      <c r="R442" t="s">
        <v>3</v>
      </c>
      <c r="S442" t="s">
        <v>11</v>
      </c>
      <c r="T442" t="s">
        <v>7</v>
      </c>
      <c r="U442">
        <v>0</v>
      </c>
      <c r="V442">
        <v>1</v>
      </c>
      <c r="W442">
        <v>0</v>
      </c>
      <c r="X442">
        <v>0</v>
      </c>
      <c r="Y442">
        <v>0</v>
      </c>
      <c r="Z442" t="s">
        <v>18</v>
      </c>
      <c r="AA442" t="s">
        <v>4</v>
      </c>
      <c r="AB442" t="s">
        <v>6</v>
      </c>
      <c r="AC442" t="s">
        <v>7</v>
      </c>
      <c r="AD442" t="s">
        <v>8</v>
      </c>
      <c r="AE442" t="s">
        <v>6</v>
      </c>
      <c r="AF442" t="s">
        <v>3</v>
      </c>
      <c r="AG442" t="s">
        <v>3</v>
      </c>
      <c r="AH442" t="s">
        <v>3</v>
      </c>
      <c r="AI442" t="s">
        <v>3</v>
      </c>
      <c r="AJ442" t="s">
        <v>3</v>
      </c>
      <c r="AK442" t="s">
        <v>7</v>
      </c>
      <c r="AL442">
        <v>0</v>
      </c>
      <c r="AM442">
        <v>0</v>
      </c>
      <c r="AN442">
        <v>0</v>
      </c>
      <c r="AO442">
        <v>0</v>
      </c>
      <c r="AP442">
        <v>0</v>
      </c>
      <c r="AQ442" t="s">
        <v>9</v>
      </c>
      <c r="AR442" s="1">
        <v>6.1652396600000002E-6</v>
      </c>
      <c r="AS442" s="1">
        <v>7.9950246100000003E-29</v>
      </c>
      <c r="AT442">
        <v>22</v>
      </c>
      <c r="AU442" t="s">
        <v>10</v>
      </c>
      <c r="AV442">
        <v>0</v>
      </c>
      <c r="AW442">
        <v>1</v>
      </c>
      <c r="AX442">
        <v>0</v>
      </c>
      <c r="AY442">
        <v>0</v>
      </c>
      <c r="AZ442">
        <v>0</v>
      </c>
      <c r="BA442" t="s">
        <v>18</v>
      </c>
      <c r="BB442" t="s">
        <v>4</v>
      </c>
      <c r="BC442" t="s">
        <v>10</v>
      </c>
      <c r="BD442">
        <v>0</v>
      </c>
      <c r="BE442">
        <v>0</v>
      </c>
      <c r="BF442">
        <v>0</v>
      </c>
      <c r="BG442">
        <v>0</v>
      </c>
      <c r="BH442">
        <v>0</v>
      </c>
      <c r="BI442" t="s">
        <v>9</v>
      </c>
      <c r="BJ442">
        <v>0</v>
      </c>
      <c r="BK442">
        <v>-6.1700000000000002E-6</v>
      </c>
      <c r="BL442">
        <v>0</v>
      </c>
      <c r="BM442" s="2">
        <f t="shared" si="6"/>
        <v>4.8147163900885095E-10</v>
      </c>
    </row>
    <row r="443" spans="1:65" x14ac:dyDescent="0.35">
      <c r="A443">
        <v>0</v>
      </c>
      <c r="B443" t="s">
        <v>3</v>
      </c>
      <c r="C443" t="s">
        <v>4</v>
      </c>
      <c r="D443">
        <v>0</v>
      </c>
      <c r="E443" t="s">
        <v>3</v>
      </c>
      <c r="F443" t="s">
        <v>5</v>
      </c>
      <c r="G443">
        <v>2695.4443259999998</v>
      </c>
      <c r="H443" t="s">
        <v>4</v>
      </c>
      <c r="I443">
        <v>990.16341899999998</v>
      </c>
      <c r="J443">
        <v>1705.2809070000001</v>
      </c>
      <c r="K443" t="s">
        <v>6</v>
      </c>
      <c r="L443" t="s">
        <v>7</v>
      </c>
      <c r="M443" t="s">
        <v>8</v>
      </c>
      <c r="N443" t="s">
        <v>6</v>
      </c>
      <c r="O443" t="s">
        <v>3</v>
      </c>
      <c r="P443" t="s">
        <v>3</v>
      </c>
      <c r="Q443" t="s">
        <v>3</v>
      </c>
      <c r="R443" t="s">
        <v>3</v>
      </c>
      <c r="S443" t="s">
        <v>3</v>
      </c>
      <c r="T443" t="s">
        <v>7</v>
      </c>
      <c r="U443">
        <v>0</v>
      </c>
      <c r="V443">
        <v>1</v>
      </c>
      <c r="W443">
        <v>0</v>
      </c>
      <c r="X443">
        <v>1</v>
      </c>
      <c r="Y443">
        <v>0</v>
      </c>
      <c r="Z443" t="s">
        <v>9</v>
      </c>
      <c r="AA443" t="s">
        <v>4</v>
      </c>
      <c r="AB443" t="s">
        <v>6</v>
      </c>
      <c r="AC443" t="s">
        <v>7</v>
      </c>
      <c r="AD443" t="s">
        <v>8</v>
      </c>
      <c r="AE443" t="s">
        <v>6</v>
      </c>
      <c r="AF443" t="s">
        <v>3</v>
      </c>
      <c r="AG443" t="s">
        <v>3</v>
      </c>
      <c r="AH443" t="s">
        <v>3</v>
      </c>
      <c r="AI443" t="s">
        <v>3</v>
      </c>
      <c r="AJ443" t="s">
        <v>3</v>
      </c>
      <c r="AK443" t="s">
        <v>7</v>
      </c>
      <c r="AL443">
        <v>0</v>
      </c>
      <c r="AM443">
        <v>0</v>
      </c>
      <c r="AN443">
        <v>0</v>
      </c>
      <c r="AO443">
        <v>0</v>
      </c>
      <c r="AP443">
        <v>0</v>
      </c>
      <c r="AQ443" t="s">
        <v>9</v>
      </c>
      <c r="AR443" s="1">
        <v>1.31942198E-2</v>
      </c>
      <c r="AS443" s="1">
        <v>7.9737776599999999E-22</v>
      </c>
      <c r="AT443">
        <v>18</v>
      </c>
      <c r="AU443" t="s">
        <v>10</v>
      </c>
      <c r="AV443">
        <v>0</v>
      </c>
      <c r="AW443">
        <v>1</v>
      </c>
      <c r="AX443">
        <v>0</v>
      </c>
      <c r="AY443">
        <v>1</v>
      </c>
      <c r="AZ443">
        <v>0</v>
      </c>
      <c r="BA443" t="s">
        <v>9</v>
      </c>
      <c r="BB443" t="s">
        <v>4</v>
      </c>
      <c r="BC443" t="s">
        <v>10</v>
      </c>
      <c r="BD443">
        <v>0</v>
      </c>
      <c r="BE443">
        <v>0</v>
      </c>
      <c r="BF443">
        <v>0</v>
      </c>
      <c r="BG443">
        <v>0</v>
      </c>
      <c r="BH443">
        <v>0</v>
      </c>
      <c r="BI443" t="s">
        <v>9</v>
      </c>
      <c r="BJ443">
        <v>1.12159E-3</v>
      </c>
      <c r="BK443">
        <v>0</v>
      </c>
      <c r="BL443">
        <v>-1.314646E-2</v>
      </c>
      <c r="BM443" s="2">
        <f t="shared" si="6"/>
        <v>4.8019211776414534E-3</v>
      </c>
    </row>
    <row r="444" spans="1:65" x14ac:dyDescent="0.35">
      <c r="A444">
        <v>0</v>
      </c>
      <c r="B444" t="s">
        <v>3</v>
      </c>
      <c r="C444" t="s">
        <v>4</v>
      </c>
      <c r="D444">
        <v>0</v>
      </c>
      <c r="E444" t="s">
        <v>3</v>
      </c>
      <c r="F444" t="s">
        <v>5</v>
      </c>
      <c r="G444">
        <v>4430.3634810000003</v>
      </c>
      <c r="H444" t="s">
        <v>4</v>
      </c>
      <c r="I444">
        <v>990.16341899999998</v>
      </c>
      <c r="J444">
        <v>3440.2000619999999</v>
      </c>
      <c r="K444" t="s">
        <v>6</v>
      </c>
      <c r="L444" t="s">
        <v>7</v>
      </c>
      <c r="M444" t="s">
        <v>8</v>
      </c>
      <c r="N444" t="s">
        <v>6</v>
      </c>
      <c r="O444" t="s">
        <v>3</v>
      </c>
      <c r="P444" t="s">
        <v>3</v>
      </c>
      <c r="Q444" t="s">
        <v>3</v>
      </c>
      <c r="R444" t="s">
        <v>3</v>
      </c>
      <c r="S444" t="s">
        <v>3</v>
      </c>
      <c r="T444" t="s">
        <v>7</v>
      </c>
      <c r="U444">
        <v>1</v>
      </c>
      <c r="V444">
        <v>0</v>
      </c>
      <c r="W444">
        <v>1</v>
      </c>
      <c r="X444">
        <v>0</v>
      </c>
      <c r="Y444">
        <v>0</v>
      </c>
      <c r="Z444" t="s">
        <v>8</v>
      </c>
      <c r="AA444" t="s">
        <v>4</v>
      </c>
      <c r="AB444" t="s">
        <v>6</v>
      </c>
      <c r="AC444" t="s">
        <v>7</v>
      </c>
      <c r="AD444" t="s">
        <v>8</v>
      </c>
      <c r="AE444" t="s">
        <v>6</v>
      </c>
      <c r="AF444" t="s">
        <v>3</v>
      </c>
      <c r="AG444" t="s">
        <v>3</v>
      </c>
      <c r="AH444" t="s">
        <v>3</v>
      </c>
      <c r="AI444" t="s">
        <v>3</v>
      </c>
      <c r="AJ444" t="s">
        <v>3</v>
      </c>
      <c r="AK444" t="s">
        <v>7</v>
      </c>
      <c r="AL444">
        <v>0</v>
      </c>
      <c r="AM444">
        <v>0</v>
      </c>
      <c r="AN444">
        <v>0</v>
      </c>
      <c r="AO444">
        <v>0</v>
      </c>
      <c r="AP444">
        <v>0</v>
      </c>
      <c r="AQ444" t="s">
        <v>9</v>
      </c>
      <c r="AR444" s="1">
        <v>3.8424197299999997E-5</v>
      </c>
      <c r="AS444" s="1">
        <v>1.3646128100000001E-26</v>
      </c>
      <c r="AT444">
        <v>5</v>
      </c>
      <c r="AU444" t="s">
        <v>10</v>
      </c>
      <c r="AV444">
        <v>1</v>
      </c>
      <c r="AW444">
        <v>0</v>
      </c>
      <c r="AX444">
        <v>1</v>
      </c>
      <c r="AY444">
        <v>0</v>
      </c>
      <c r="AZ444">
        <v>0</v>
      </c>
      <c r="BA444" t="s">
        <v>8</v>
      </c>
      <c r="BB444" t="s">
        <v>4</v>
      </c>
      <c r="BC444" t="s">
        <v>10</v>
      </c>
      <c r="BD444">
        <v>0</v>
      </c>
      <c r="BE444">
        <v>0</v>
      </c>
      <c r="BF444">
        <v>0</v>
      </c>
      <c r="BG444">
        <v>0</v>
      </c>
      <c r="BH444">
        <v>0</v>
      </c>
      <c r="BI444" t="s">
        <v>9</v>
      </c>
      <c r="BJ444">
        <v>-3.8330000000000001E-5</v>
      </c>
      <c r="BK444">
        <v>0</v>
      </c>
      <c r="BL444">
        <v>-2.6299999999999998E-6</v>
      </c>
      <c r="BM444" s="2">
        <f t="shared" si="6"/>
        <v>8.2178904793036483E-8</v>
      </c>
    </row>
    <row r="445" spans="1:65" x14ac:dyDescent="0.35">
      <c r="A445">
        <v>0</v>
      </c>
      <c r="B445" t="s">
        <v>11</v>
      </c>
      <c r="C445" t="s">
        <v>4</v>
      </c>
      <c r="D445">
        <v>0</v>
      </c>
      <c r="E445" t="s">
        <v>3</v>
      </c>
      <c r="F445" t="s">
        <v>5</v>
      </c>
      <c r="G445">
        <v>4319.0152260000004</v>
      </c>
      <c r="H445" t="s">
        <v>4</v>
      </c>
      <c r="I445">
        <v>990.16341899999998</v>
      </c>
      <c r="J445">
        <v>3328.851807</v>
      </c>
      <c r="K445" t="s">
        <v>6</v>
      </c>
      <c r="L445" t="s">
        <v>7</v>
      </c>
      <c r="M445" t="s">
        <v>8</v>
      </c>
      <c r="N445" t="s">
        <v>6</v>
      </c>
      <c r="O445" t="s">
        <v>3</v>
      </c>
      <c r="P445" t="s">
        <v>3</v>
      </c>
      <c r="Q445" t="s">
        <v>3</v>
      </c>
      <c r="R445" t="s">
        <v>3</v>
      </c>
      <c r="S445" t="s">
        <v>11</v>
      </c>
      <c r="T445" t="s">
        <v>7</v>
      </c>
      <c r="U445">
        <v>1</v>
      </c>
      <c r="V445">
        <v>2</v>
      </c>
      <c r="W445">
        <v>0</v>
      </c>
      <c r="X445">
        <v>1</v>
      </c>
      <c r="Y445">
        <v>0</v>
      </c>
      <c r="Z445" t="s">
        <v>18</v>
      </c>
      <c r="AA445" t="s">
        <v>4</v>
      </c>
      <c r="AB445" t="s">
        <v>6</v>
      </c>
      <c r="AC445" t="s">
        <v>7</v>
      </c>
      <c r="AD445" t="s">
        <v>8</v>
      </c>
      <c r="AE445" t="s">
        <v>6</v>
      </c>
      <c r="AF445" t="s">
        <v>3</v>
      </c>
      <c r="AG445" t="s">
        <v>3</v>
      </c>
      <c r="AH445" t="s">
        <v>3</v>
      </c>
      <c r="AI445" t="s">
        <v>3</v>
      </c>
      <c r="AJ445" t="s">
        <v>3</v>
      </c>
      <c r="AK445" t="s">
        <v>7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9</v>
      </c>
      <c r="AR445" s="1">
        <v>3.94795222E-6</v>
      </c>
      <c r="AS445" s="1">
        <v>1.39397298E-28</v>
      </c>
      <c r="AT445">
        <v>19</v>
      </c>
      <c r="AU445" t="s">
        <v>10</v>
      </c>
      <c r="AV445">
        <v>1</v>
      </c>
      <c r="AW445">
        <v>2</v>
      </c>
      <c r="AX445">
        <v>0</v>
      </c>
      <c r="AY445">
        <v>1</v>
      </c>
      <c r="AZ445">
        <v>0</v>
      </c>
      <c r="BA445" t="s">
        <v>18</v>
      </c>
      <c r="BB445" t="s">
        <v>4</v>
      </c>
      <c r="BC445" t="s">
        <v>10</v>
      </c>
      <c r="BD445">
        <v>0</v>
      </c>
      <c r="BE445">
        <v>0</v>
      </c>
      <c r="BF445">
        <v>0</v>
      </c>
      <c r="BG445">
        <v>0</v>
      </c>
      <c r="BH445">
        <v>0</v>
      </c>
      <c r="BI445" t="s">
        <v>9</v>
      </c>
      <c r="BJ445">
        <v>0</v>
      </c>
      <c r="BK445">
        <v>3.9500000000000003E-6</v>
      </c>
      <c r="BL445">
        <v>0</v>
      </c>
      <c r="BM445" s="2">
        <f t="shared" si="6"/>
        <v>8.3947015569555846E-10</v>
      </c>
    </row>
    <row r="446" spans="1:65" x14ac:dyDescent="0.35">
      <c r="A446">
        <v>0</v>
      </c>
      <c r="B446" t="s">
        <v>3</v>
      </c>
      <c r="C446" t="s">
        <v>4</v>
      </c>
      <c r="D446">
        <v>0</v>
      </c>
      <c r="E446" t="s">
        <v>3</v>
      </c>
      <c r="F446" t="s">
        <v>5</v>
      </c>
      <c r="G446">
        <v>4033.260859</v>
      </c>
      <c r="H446" t="s">
        <v>4</v>
      </c>
      <c r="I446">
        <v>990.16341899999998</v>
      </c>
      <c r="J446">
        <v>3043.09744</v>
      </c>
      <c r="K446" t="s">
        <v>6</v>
      </c>
      <c r="L446" t="s">
        <v>7</v>
      </c>
      <c r="M446" t="s">
        <v>8</v>
      </c>
      <c r="N446" t="s">
        <v>6</v>
      </c>
      <c r="O446" t="s">
        <v>3</v>
      </c>
      <c r="P446" t="s">
        <v>3</v>
      </c>
      <c r="Q446" t="s">
        <v>3</v>
      </c>
      <c r="R446" t="s">
        <v>3</v>
      </c>
      <c r="S446" t="s">
        <v>3</v>
      </c>
      <c r="T446" t="s">
        <v>7</v>
      </c>
      <c r="U446">
        <v>2</v>
      </c>
      <c r="V446">
        <v>1</v>
      </c>
      <c r="W446">
        <v>0</v>
      </c>
      <c r="X446">
        <v>0</v>
      </c>
      <c r="Y446">
        <v>0</v>
      </c>
      <c r="Z446" t="s">
        <v>15</v>
      </c>
      <c r="AA446" t="s">
        <v>4</v>
      </c>
      <c r="AB446" t="s">
        <v>6</v>
      </c>
      <c r="AC446" t="s">
        <v>7</v>
      </c>
      <c r="AD446" t="s">
        <v>8</v>
      </c>
      <c r="AE446" t="s">
        <v>6</v>
      </c>
      <c r="AF446" t="s">
        <v>3</v>
      </c>
      <c r="AG446" t="s">
        <v>3</v>
      </c>
      <c r="AH446" t="s">
        <v>3</v>
      </c>
      <c r="AI446" t="s">
        <v>3</v>
      </c>
      <c r="AJ446" t="s">
        <v>3</v>
      </c>
      <c r="AK446" t="s">
        <v>7</v>
      </c>
      <c r="AL446">
        <v>0</v>
      </c>
      <c r="AM446">
        <v>0</v>
      </c>
      <c r="AN446">
        <v>0</v>
      </c>
      <c r="AO446">
        <v>0</v>
      </c>
      <c r="AP446">
        <v>0</v>
      </c>
      <c r="AQ446" t="s">
        <v>9</v>
      </c>
      <c r="AR446" s="1">
        <v>4.3244209899999997E-5</v>
      </c>
      <c r="AS446" s="1">
        <v>1.5289306099999999E-26</v>
      </c>
      <c r="AT446">
        <v>19</v>
      </c>
      <c r="AU446" t="s">
        <v>10</v>
      </c>
      <c r="AV446">
        <v>2</v>
      </c>
      <c r="AW446">
        <v>1</v>
      </c>
      <c r="AX446">
        <v>0</v>
      </c>
      <c r="AY446">
        <v>0</v>
      </c>
      <c r="AZ446">
        <v>0</v>
      </c>
      <c r="BA446" t="s">
        <v>15</v>
      </c>
      <c r="BB446" t="s">
        <v>4</v>
      </c>
      <c r="BC446" t="s">
        <v>10</v>
      </c>
      <c r="BD446">
        <v>0</v>
      </c>
      <c r="BE446">
        <v>0</v>
      </c>
      <c r="BF446">
        <v>0</v>
      </c>
      <c r="BG446">
        <v>0</v>
      </c>
      <c r="BH446">
        <v>0</v>
      </c>
      <c r="BI446" t="s">
        <v>9</v>
      </c>
      <c r="BJ446">
        <v>4.1199999999999999E-5</v>
      </c>
      <c r="BK446">
        <v>0</v>
      </c>
      <c r="BL446">
        <v>1.3149999999999999E-5</v>
      </c>
      <c r="BM446" s="2">
        <f t="shared" si="6"/>
        <v>9.2074354068498861E-8</v>
      </c>
    </row>
    <row r="447" spans="1:65" x14ac:dyDescent="0.35">
      <c r="A447">
        <v>0</v>
      </c>
      <c r="B447" t="s">
        <v>11</v>
      </c>
      <c r="C447" t="s">
        <v>4</v>
      </c>
      <c r="D447">
        <v>0</v>
      </c>
      <c r="E447" t="s">
        <v>3</v>
      </c>
      <c r="F447" t="s">
        <v>5</v>
      </c>
      <c r="G447">
        <v>4796.0878480000001</v>
      </c>
      <c r="H447" t="s">
        <v>4</v>
      </c>
      <c r="I447">
        <v>990.16341899999998</v>
      </c>
      <c r="J447">
        <v>3805.9244290000001</v>
      </c>
      <c r="K447" t="s">
        <v>6</v>
      </c>
      <c r="L447" t="s">
        <v>7</v>
      </c>
      <c r="M447" t="s">
        <v>8</v>
      </c>
      <c r="N447" t="s">
        <v>6</v>
      </c>
      <c r="O447" t="s">
        <v>3</v>
      </c>
      <c r="P447" t="s">
        <v>3</v>
      </c>
      <c r="Q447" t="s">
        <v>3</v>
      </c>
      <c r="R447" t="s">
        <v>3</v>
      </c>
      <c r="S447" t="s">
        <v>11</v>
      </c>
      <c r="T447" t="s">
        <v>7</v>
      </c>
      <c r="U447">
        <v>3</v>
      </c>
      <c r="V447">
        <v>0</v>
      </c>
      <c r="W447">
        <v>0</v>
      </c>
      <c r="X447">
        <v>0</v>
      </c>
      <c r="Y447">
        <v>0</v>
      </c>
      <c r="Z447" t="s">
        <v>12</v>
      </c>
      <c r="AA447" t="s">
        <v>4</v>
      </c>
      <c r="AB447" t="s">
        <v>6</v>
      </c>
      <c r="AC447" t="s">
        <v>7</v>
      </c>
      <c r="AD447" t="s">
        <v>8</v>
      </c>
      <c r="AE447" t="s">
        <v>6</v>
      </c>
      <c r="AF447" t="s">
        <v>3</v>
      </c>
      <c r="AG447" t="s">
        <v>3</v>
      </c>
      <c r="AH447" t="s">
        <v>3</v>
      </c>
      <c r="AI447" t="s">
        <v>3</v>
      </c>
      <c r="AJ447" t="s">
        <v>3</v>
      </c>
      <c r="AK447" t="s">
        <v>7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9</v>
      </c>
      <c r="AR447" s="1">
        <v>1.0845862899999999E-5</v>
      </c>
      <c r="AS447" s="1">
        <v>1.2028308E-27</v>
      </c>
      <c r="AT447">
        <v>20</v>
      </c>
      <c r="AU447" t="s">
        <v>10</v>
      </c>
      <c r="AV447">
        <v>3</v>
      </c>
      <c r="AW447">
        <v>0</v>
      </c>
      <c r="AX447">
        <v>0</v>
      </c>
      <c r="AY447">
        <v>0</v>
      </c>
      <c r="AZ447">
        <v>0</v>
      </c>
      <c r="BA447" t="s">
        <v>12</v>
      </c>
      <c r="BB447" t="s">
        <v>4</v>
      </c>
      <c r="BC447" t="s">
        <v>10</v>
      </c>
      <c r="BD447">
        <v>0</v>
      </c>
      <c r="BE447">
        <v>0</v>
      </c>
      <c r="BF447">
        <v>0</v>
      </c>
      <c r="BG447">
        <v>0</v>
      </c>
      <c r="BH447">
        <v>0</v>
      </c>
      <c r="BI447" t="s">
        <v>9</v>
      </c>
      <c r="BJ447">
        <v>0</v>
      </c>
      <c r="BK447">
        <v>1.0849999999999999E-5</v>
      </c>
      <c r="BL447">
        <v>0</v>
      </c>
      <c r="BM447" s="2">
        <f t="shared" si="6"/>
        <v>7.2436164361766402E-9</v>
      </c>
    </row>
    <row r="448" spans="1:65" x14ac:dyDescent="0.35">
      <c r="A448">
        <v>0</v>
      </c>
      <c r="B448" t="s">
        <v>3</v>
      </c>
      <c r="C448" t="s">
        <v>4</v>
      </c>
      <c r="D448">
        <v>0</v>
      </c>
      <c r="E448" t="s">
        <v>3</v>
      </c>
      <c r="F448" t="s">
        <v>5</v>
      </c>
      <c r="G448">
        <v>3708.2311979999999</v>
      </c>
      <c r="H448" t="s">
        <v>4</v>
      </c>
      <c r="I448">
        <v>990.16341899999998</v>
      </c>
      <c r="J448">
        <v>2718.067779</v>
      </c>
      <c r="K448" t="s">
        <v>6</v>
      </c>
      <c r="L448" t="s">
        <v>7</v>
      </c>
      <c r="M448" t="s">
        <v>8</v>
      </c>
      <c r="N448" t="s">
        <v>6</v>
      </c>
      <c r="O448" t="s">
        <v>3</v>
      </c>
      <c r="P448" t="s">
        <v>3</v>
      </c>
      <c r="Q448" t="s">
        <v>3</v>
      </c>
      <c r="R448" t="s">
        <v>3</v>
      </c>
      <c r="S448" t="s">
        <v>3</v>
      </c>
      <c r="T448" t="s">
        <v>7</v>
      </c>
      <c r="U448">
        <v>3</v>
      </c>
      <c r="V448">
        <v>0</v>
      </c>
      <c r="W448">
        <v>0</v>
      </c>
      <c r="X448">
        <v>3</v>
      </c>
      <c r="Y448">
        <v>0</v>
      </c>
      <c r="Z448" t="s">
        <v>8</v>
      </c>
      <c r="AA448" t="s">
        <v>4</v>
      </c>
      <c r="AB448" t="s">
        <v>6</v>
      </c>
      <c r="AC448" t="s">
        <v>7</v>
      </c>
      <c r="AD448" t="s">
        <v>8</v>
      </c>
      <c r="AE448" t="s">
        <v>6</v>
      </c>
      <c r="AF448" t="s">
        <v>3</v>
      </c>
      <c r="AG448" t="s">
        <v>3</v>
      </c>
      <c r="AH448" t="s">
        <v>3</v>
      </c>
      <c r="AI448" t="s">
        <v>3</v>
      </c>
      <c r="AJ448" t="s">
        <v>3</v>
      </c>
      <c r="AK448" t="s">
        <v>7</v>
      </c>
      <c r="AL448">
        <v>0</v>
      </c>
      <c r="AM448">
        <v>0</v>
      </c>
      <c r="AN448">
        <v>0</v>
      </c>
      <c r="AO448">
        <v>0</v>
      </c>
      <c r="AP448">
        <v>0</v>
      </c>
      <c r="AQ448" t="s">
        <v>9</v>
      </c>
      <c r="AR448" s="1">
        <v>1.22814087E-5</v>
      </c>
      <c r="AS448" s="1">
        <v>1.10146816E-27</v>
      </c>
      <c r="AT448">
        <v>22</v>
      </c>
      <c r="AU448" t="s">
        <v>10</v>
      </c>
      <c r="AV448">
        <v>3</v>
      </c>
      <c r="AW448">
        <v>0</v>
      </c>
      <c r="AX448">
        <v>0</v>
      </c>
      <c r="AY448">
        <v>3</v>
      </c>
      <c r="AZ448">
        <v>0</v>
      </c>
      <c r="BA448" t="s">
        <v>8</v>
      </c>
      <c r="BB448" t="s">
        <v>4</v>
      </c>
      <c r="BC448" t="s">
        <v>10</v>
      </c>
      <c r="BD448">
        <v>0</v>
      </c>
      <c r="BE448">
        <v>0</v>
      </c>
      <c r="BF448">
        <v>0</v>
      </c>
      <c r="BG448">
        <v>0</v>
      </c>
      <c r="BH448">
        <v>0</v>
      </c>
      <c r="BI448" t="s">
        <v>9</v>
      </c>
      <c r="BJ448">
        <v>1.082E-5</v>
      </c>
      <c r="BK448">
        <v>0</v>
      </c>
      <c r="BL448">
        <v>-5.8000000000000004E-6</v>
      </c>
      <c r="BM448" s="2">
        <f t="shared" si="6"/>
        <v>6.6331963462369274E-9</v>
      </c>
    </row>
    <row r="449" spans="1:65" x14ac:dyDescent="0.35">
      <c r="A449">
        <v>0</v>
      </c>
      <c r="B449" t="s">
        <v>3</v>
      </c>
      <c r="C449" t="s">
        <v>4</v>
      </c>
      <c r="D449">
        <v>0</v>
      </c>
      <c r="E449" t="s">
        <v>3</v>
      </c>
      <c r="F449" t="s">
        <v>5</v>
      </c>
      <c r="G449">
        <v>4234.021369</v>
      </c>
      <c r="H449" t="s">
        <v>4</v>
      </c>
      <c r="I449">
        <v>990.16341899999998</v>
      </c>
      <c r="J449">
        <v>3243.8579500000001</v>
      </c>
      <c r="K449" t="s">
        <v>6</v>
      </c>
      <c r="L449" t="s">
        <v>7</v>
      </c>
      <c r="M449" t="s">
        <v>8</v>
      </c>
      <c r="N449" t="s">
        <v>6</v>
      </c>
      <c r="O449" t="s">
        <v>3</v>
      </c>
      <c r="P449" t="s">
        <v>3</v>
      </c>
      <c r="Q449" t="s">
        <v>3</v>
      </c>
      <c r="R449" t="s">
        <v>3</v>
      </c>
      <c r="S449" t="s">
        <v>3</v>
      </c>
      <c r="T449" t="s">
        <v>7</v>
      </c>
      <c r="U449">
        <v>3</v>
      </c>
      <c r="V449">
        <v>1</v>
      </c>
      <c r="W449">
        <v>0</v>
      </c>
      <c r="X449">
        <v>1</v>
      </c>
      <c r="Y449">
        <v>0</v>
      </c>
      <c r="Z449" t="s">
        <v>8</v>
      </c>
      <c r="AA449" t="s">
        <v>4</v>
      </c>
      <c r="AB449" t="s">
        <v>6</v>
      </c>
      <c r="AC449" t="s">
        <v>7</v>
      </c>
      <c r="AD449" t="s">
        <v>8</v>
      </c>
      <c r="AE449" t="s">
        <v>6</v>
      </c>
      <c r="AF449" t="s">
        <v>3</v>
      </c>
      <c r="AG449" t="s">
        <v>3</v>
      </c>
      <c r="AH449" t="s">
        <v>3</v>
      </c>
      <c r="AI449" t="s">
        <v>3</v>
      </c>
      <c r="AJ449" t="s">
        <v>3</v>
      </c>
      <c r="AK449" t="s">
        <v>7</v>
      </c>
      <c r="AL449">
        <v>0</v>
      </c>
      <c r="AM449">
        <v>0</v>
      </c>
      <c r="AN449">
        <v>0</v>
      </c>
      <c r="AO449">
        <v>0</v>
      </c>
      <c r="AP449">
        <v>0</v>
      </c>
      <c r="AQ449" t="s">
        <v>9</v>
      </c>
      <c r="AR449" s="1">
        <v>8.98326771E-5</v>
      </c>
      <c r="AS449" s="1">
        <v>7.0330970000000001E-26</v>
      </c>
      <c r="AT449">
        <v>19</v>
      </c>
      <c r="AU449" t="s">
        <v>10</v>
      </c>
      <c r="AV449">
        <v>3</v>
      </c>
      <c r="AW449">
        <v>1</v>
      </c>
      <c r="AX449">
        <v>0</v>
      </c>
      <c r="AY449">
        <v>1</v>
      </c>
      <c r="AZ449">
        <v>0</v>
      </c>
      <c r="BA449" t="s">
        <v>8</v>
      </c>
      <c r="BB449" t="s">
        <v>4</v>
      </c>
      <c r="BC449" t="s">
        <v>10</v>
      </c>
      <c r="BD449">
        <v>0</v>
      </c>
      <c r="BE449">
        <v>0</v>
      </c>
      <c r="BF449">
        <v>0</v>
      </c>
      <c r="BG449">
        <v>0</v>
      </c>
      <c r="BH449">
        <v>0</v>
      </c>
      <c r="BI449" t="s">
        <v>9</v>
      </c>
      <c r="BJ449">
        <v>8.8690000000000006E-5</v>
      </c>
      <c r="BK449">
        <v>0</v>
      </c>
      <c r="BL449">
        <v>-1.428E-5</v>
      </c>
      <c r="BM449" s="2">
        <f t="shared" si="6"/>
        <v>4.2354300394057596E-7</v>
      </c>
    </row>
    <row r="450" spans="1:65" x14ac:dyDescent="0.35">
      <c r="A450">
        <v>0</v>
      </c>
      <c r="B450" t="s">
        <v>11</v>
      </c>
      <c r="C450" t="s">
        <v>4</v>
      </c>
      <c r="D450">
        <v>0</v>
      </c>
      <c r="E450" t="s">
        <v>3</v>
      </c>
      <c r="F450" t="s">
        <v>5</v>
      </c>
      <c r="G450">
        <v>4742.2838140000003</v>
      </c>
      <c r="H450" t="s">
        <v>4</v>
      </c>
      <c r="I450">
        <v>990.16341899999998</v>
      </c>
      <c r="J450">
        <v>3752.1203949999999</v>
      </c>
      <c r="K450" t="s">
        <v>6</v>
      </c>
      <c r="L450" t="s">
        <v>7</v>
      </c>
      <c r="M450" t="s">
        <v>8</v>
      </c>
      <c r="N450" t="s">
        <v>6</v>
      </c>
      <c r="O450" t="s">
        <v>3</v>
      </c>
      <c r="P450" t="s">
        <v>3</v>
      </c>
      <c r="Q450" t="s">
        <v>3</v>
      </c>
      <c r="R450" t="s">
        <v>3</v>
      </c>
      <c r="S450" t="s">
        <v>11</v>
      </c>
      <c r="T450" t="s">
        <v>7</v>
      </c>
      <c r="U450">
        <v>1</v>
      </c>
      <c r="V450">
        <v>2</v>
      </c>
      <c r="W450">
        <v>0</v>
      </c>
      <c r="X450">
        <v>2</v>
      </c>
      <c r="Y450">
        <v>0</v>
      </c>
      <c r="Z450" t="s">
        <v>18</v>
      </c>
      <c r="AA450" t="s">
        <v>4</v>
      </c>
      <c r="AB450" t="s">
        <v>6</v>
      </c>
      <c r="AC450" t="s">
        <v>7</v>
      </c>
      <c r="AD450" t="s">
        <v>8</v>
      </c>
      <c r="AE450" t="s">
        <v>6</v>
      </c>
      <c r="AF450" t="s">
        <v>3</v>
      </c>
      <c r="AG450" t="s">
        <v>3</v>
      </c>
      <c r="AH450" t="s">
        <v>3</v>
      </c>
      <c r="AI450" t="s">
        <v>3</v>
      </c>
      <c r="AJ450" t="s">
        <v>3</v>
      </c>
      <c r="AK450" t="s">
        <v>7</v>
      </c>
      <c r="AL450">
        <v>0</v>
      </c>
      <c r="AM450">
        <v>0</v>
      </c>
      <c r="AN450">
        <v>0</v>
      </c>
      <c r="AO450">
        <v>0</v>
      </c>
      <c r="AP450">
        <v>0</v>
      </c>
      <c r="AQ450" t="s">
        <v>9</v>
      </c>
      <c r="AR450" s="1">
        <v>9.4571330099999997E-6</v>
      </c>
      <c r="AS450" s="1">
        <v>9.0159587699999999E-28</v>
      </c>
      <c r="AT450">
        <v>19</v>
      </c>
      <c r="AU450" t="s">
        <v>10</v>
      </c>
      <c r="AV450">
        <v>1</v>
      </c>
      <c r="AW450">
        <v>2</v>
      </c>
      <c r="AX450">
        <v>0</v>
      </c>
      <c r="AY450">
        <v>2</v>
      </c>
      <c r="AZ450">
        <v>0</v>
      </c>
      <c r="BA450" t="s">
        <v>18</v>
      </c>
      <c r="BB450" t="s">
        <v>4</v>
      </c>
      <c r="BC450" t="s">
        <v>10</v>
      </c>
      <c r="BD450">
        <v>0</v>
      </c>
      <c r="BE450">
        <v>0</v>
      </c>
      <c r="BF450">
        <v>0</v>
      </c>
      <c r="BG450">
        <v>0</v>
      </c>
      <c r="BH450">
        <v>0</v>
      </c>
      <c r="BI450" t="s">
        <v>9</v>
      </c>
      <c r="BJ450">
        <v>0</v>
      </c>
      <c r="BK450">
        <v>-9.4599999999999992E-6</v>
      </c>
      <c r="BL450">
        <v>0</v>
      </c>
      <c r="BM450" s="2">
        <f t="shared" ref="BM450:BM513" si="7">AS450*10^(-5)*6.0221408*10^(23)</f>
        <v>5.4295373159934811E-9</v>
      </c>
    </row>
    <row r="451" spans="1:65" x14ac:dyDescent="0.35">
      <c r="A451">
        <v>0</v>
      </c>
      <c r="B451" t="s">
        <v>11</v>
      </c>
      <c r="C451" t="s">
        <v>4</v>
      </c>
      <c r="D451">
        <v>0</v>
      </c>
      <c r="E451" t="s">
        <v>3</v>
      </c>
      <c r="F451" t="s">
        <v>5</v>
      </c>
      <c r="G451">
        <v>4143.9213229999996</v>
      </c>
      <c r="H451" t="s">
        <v>4</v>
      </c>
      <c r="I451">
        <v>990.16341899999998</v>
      </c>
      <c r="J451">
        <v>3153.7579040000001</v>
      </c>
      <c r="K451" t="s">
        <v>6</v>
      </c>
      <c r="L451" t="s">
        <v>7</v>
      </c>
      <c r="M451" t="s">
        <v>8</v>
      </c>
      <c r="N451" t="s">
        <v>6</v>
      </c>
      <c r="O451" t="s">
        <v>3</v>
      </c>
      <c r="P451" t="s">
        <v>3</v>
      </c>
      <c r="Q451" t="s">
        <v>3</v>
      </c>
      <c r="R451" t="s">
        <v>3</v>
      </c>
      <c r="S451" t="s">
        <v>11</v>
      </c>
      <c r="T451" t="s">
        <v>7</v>
      </c>
      <c r="U451">
        <v>0</v>
      </c>
      <c r="V451">
        <v>0</v>
      </c>
      <c r="W451">
        <v>0</v>
      </c>
      <c r="X451">
        <v>1</v>
      </c>
      <c r="Y451">
        <v>1</v>
      </c>
      <c r="Z451" t="s">
        <v>23</v>
      </c>
      <c r="AA451" t="s">
        <v>4</v>
      </c>
      <c r="AB451" t="s">
        <v>6</v>
      </c>
      <c r="AC451" t="s">
        <v>7</v>
      </c>
      <c r="AD451" t="s">
        <v>8</v>
      </c>
      <c r="AE451" t="s">
        <v>6</v>
      </c>
      <c r="AF451" t="s">
        <v>3</v>
      </c>
      <c r="AG451" t="s">
        <v>3</v>
      </c>
      <c r="AH451" t="s">
        <v>3</v>
      </c>
      <c r="AI451" t="s">
        <v>3</v>
      </c>
      <c r="AJ451" t="s">
        <v>3</v>
      </c>
      <c r="AK451" t="s">
        <v>7</v>
      </c>
      <c r="AL451">
        <v>0</v>
      </c>
      <c r="AM451">
        <v>0</v>
      </c>
      <c r="AN451">
        <v>0</v>
      </c>
      <c r="AO451">
        <v>0</v>
      </c>
      <c r="AP451">
        <v>0</v>
      </c>
      <c r="AQ451" t="s">
        <v>9</v>
      </c>
      <c r="AR451" s="1">
        <v>4.6264667099999999E-5</v>
      </c>
      <c r="AS451" s="1">
        <v>1.81360745E-26</v>
      </c>
      <c r="AT451">
        <v>22</v>
      </c>
      <c r="AU451" t="s">
        <v>10</v>
      </c>
      <c r="AV451">
        <v>0</v>
      </c>
      <c r="AW451">
        <v>0</v>
      </c>
      <c r="AX451">
        <v>0</v>
      </c>
      <c r="AY451">
        <v>1</v>
      </c>
      <c r="AZ451">
        <v>1</v>
      </c>
      <c r="BA451" t="s">
        <v>23</v>
      </c>
      <c r="BB451" t="s">
        <v>4</v>
      </c>
      <c r="BC451" t="s">
        <v>10</v>
      </c>
      <c r="BD451">
        <v>0</v>
      </c>
      <c r="BE451">
        <v>0</v>
      </c>
      <c r="BF451">
        <v>0</v>
      </c>
      <c r="BG451">
        <v>0</v>
      </c>
      <c r="BH451">
        <v>0</v>
      </c>
      <c r="BI451" t="s">
        <v>9</v>
      </c>
      <c r="BJ451">
        <v>0</v>
      </c>
      <c r="BK451">
        <v>-4.6260000000000001E-5</v>
      </c>
      <c r="BL451">
        <v>0</v>
      </c>
      <c r="BM451" s="2">
        <f t="shared" si="7"/>
        <v>1.0921799419828959E-7</v>
      </c>
    </row>
    <row r="452" spans="1:65" x14ac:dyDescent="0.35">
      <c r="A452">
        <v>0</v>
      </c>
      <c r="B452" t="s">
        <v>11</v>
      </c>
      <c r="C452" t="s">
        <v>4</v>
      </c>
      <c r="D452">
        <v>0</v>
      </c>
      <c r="E452" t="s">
        <v>3</v>
      </c>
      <c r="F452" t="s">
        <v>5</v>
      </c>
      <c r="G452">
        <v>3033.4247740000001</v>
      </c>
      <c r="H452" t="s">
        <v>4</v>
      </c>
      <c r="I452">
        <v>990.16341899999998</v>
      </c>
      <c r="J452">
        <v>2043.2613550000001</v>
      </c>
      <c r="K452" t="s">
        <v>6</v>
      </c>
      <c r="L452" t="s">
        <v>7</v>
      </c>
      <c r="M452" t="s">
        <v>8</v>
      </c>
      <c r="N452" t="s">
        <v>6</v>
      </c>
      <c r="O452" t="s">
        <v>3</v>
      </c>
      <c r="P452" t="s">
        <v>3</v>
      </c>
      <c r="Q452" t="s">
        <v>3</v>
      </c>
      <c r="R452" t="s">
        <v>3</v>
      </c>
      <c r="S452" t="s">
        <v>11</v>
      </c>
      <c r="T452" t="s">
        <v>7</v>
      </c>
      <c r="U452">
        <v>0</v>
      </c>
      <c r="V452">
        <v>2</v>
      </c>
      <c r="W452">
        <v>0</v>
      </c>
      <c r="X452">
        <v>0</v>
      </c>
      <c r="Y452">
        <v>0</v>
      </c>
      <c r="Z452" t="s">
        <v>18</v>
      </c>
      <c r="AA452" t="s">
        <v>4</v>
      </c>
      <c r="AB452" t="s">
        <v>6</v>
      </c>
      <c r="AC452" t="s">
        <v>7</v>
      </c>
      <c r="AD452" t="s">
        <v>8</v>
      </c>
      <c r="AE452" t="s">
        <v>6</v>
      </c>
      <c r="AF452" t="s">
        <v>3</v>
      </c>
      <c r="AG452" t="s">
        <v>3</v>
      </c>
      <c r="AH452" t="s">
        <v>3</v>
      </c>
      <c r="AI452" t="s">
        <v>3</v>
      </c>
      <c r="AJ452" t="s">
        <v>3</v>
      </c>
      <c r="AK452" t="s">
        <v>7</v>
      </c>
      <c r="AL452">
        <v>0</v>
      </c>
      <c r="AM452">
        <v>0</v>
      </c>
      <c r="AN452">
        <v>0</v>
      </c>
      <c r="AO452">
        <v>0</v>
      </c>
      <c r="AP452">
        <v>0</v>
      </c>
      <c r="AQ452" t="s">
        <v>9</v>
      </c>
      <c r="AR452" s="1">
        <v>6.8759207999999997E-6</v>
      </c>
      <c r="AS452" s="1">
        <v>2.5952502900000001E-28</v>
      </c>
      <c r="AT452">
        <v>20</v>
      </c>
      <c r="AU452" t="s">
        <v>10</v>
      </c>
      <c r="AV452">
        <v>0</v>
      </c>
      <c r="AW452">
        <v>2</v>
      </c>
      <c r="AX452">
        <v>0</v>
      </c>
      <c r="AY452">
        <v>0</v>
      </c>
      <c r="AZ452">
        <v>0</v>
      </c>
      <c r="BA452" t="s">
        <v>18</v>
      </c>
      <c r="BB452" t="s">
        <v>4</v>
      </c>
      <c r="BC452" t="s">
        <v>10</v>
      </c>
      <c r="BD452">
        <v>0</v>
      </c>
      <c r="BE452">
        <v>0</v>
      </c>
      <c r="BF452">
        <v>0</v>
      </c>
      <c r="BG452">
        <v>0</v>
      </c>
      <c r="BH452">
        <v>0</v>
      </c>
      <c r="BI452" t="s">
        <v>9</v>
      </c>
      <c r="BJ452">
        <v>0</v>
      </c>
      <c r="BK452">
        <v>6.8800000000000002E-6</v>
      </c>
      <c r="BL452">
        <v>0</v>
      </c>
      <c r="BM452" s="2">
        <f t="shared" si="7"/>
        <v>1.5628962657620832E-9</v>
      </c>
    </row>
    <row r="453" spans="1:65" x14ac:dyDescent="0.35">
      <c r="A453">
        <v>0</v>
      </c>
      <c r="B453" t="s">
        <v>11</v>
      </c>
      <c r="C453" t="s">
        <v>4</v>
      </c>
      <c r="D453">
        <v>0</v>
      </c>
      <c r="E453" t="s">
        <v>3</v>
      </c>
      <c r="F453" t="s">
        <v>5</v>
      </c>
      <c r="G453">
        <v>4614.5740219999998</v>
      </c>
      <c r="H453" t="s">
        <v>4</v>
      </c>
      <c r="I453">
        <v>990.16341899999998</v>
      </c>
      <c r="J453">
        <v>3624.4106029999998</v>
      </c>
      <c r="K453" t="s">
        <v>6</v>
      </c>
      <c r="L453" t="s">
        <v>7</v>
      </c>
      <c r="M453" t="s">
        <v>8</v>
      </c>
      <c r="N453" t="s">
        <v>6</v>
      </c>
      <c r="O453" t="s">
        <v>3</v>
      </c>
      <c r="P453" t="s">
        <v>3</v>
      </c>
      <c r="Q453" t="s">
        <v>3</v>
      </c>
      <c r="R453" t="s">
        <v>3</v>
      </c>
      <c r="S453" t="s">
        <v>11</v>
      </c>
      <c r="T453" t="s">
        <v>7</v>
      </c>
      <c r="U453">
        <v>0</v>
      </c>
      <c r="V453">
        <v>0</v>
      </c>
      <c r="W453">
        <v>0</v>
      </c>
      <c r="X453">
        <v>4</v>
      </c>
      <c r="Y453">
        <v>0</v>
      </c>
      <c r="Z453" t="s">
        <v>23</v>
      </c>
      <c r="AA453" t="s">
        <v>4</v>
      </c>
      <c r="AB453" t="s">
        <v>6</v>
      </c>
      <c r="AC453" t="s">
        <v>7</v>
      </c>
      <c r="AD453" t="s">
        <v>8</v>
      </c>
      <c r="AE453" t="s">
        <v>6</v>
      </c>
      <c r="AF453" t="s">
        <v>3</v>
      </c>
      <c r="AG453" t="s">
        <v>3</v>
      </c>
      <c r="AH453" t="s">
        <v>3</v>
      </c>
      <c r="AI453" t="s">
        <v>3</v>
      </c>
      <c r="AJ453" t="s">
        <v>3</v>
      </c>
      <c r="AK453" t="s">
        <v>7</v>
      </c>
      <c r="AL453">
        <v>0</v>
      </c>
      <c r="AM453">
        <v>0</v>
      </c>
      <c r="AN453">
        <v>0</v>
      </c>
      <c r="AO453">
        <v>0</v>
      </c>
      <c r="AP453">
        <v>0</v>
      </c>
      <c r="AQ453" t="s">
        <v>9</v>
      </c>
      <c r="AR453" s="1">
        <v>6.16861683E-6</v>
      </c>
      <c r="AS453" s="1">
        <v>3.7053491100000001E-28</v>
      </c>
      <c r="AT453">
        <v>22</v>
      </c>
      <c r="AU453" t="s">
        <v>10</v>
      </c>
      <c r="AV453">
        <v>0</v>
      </c>
      <c r="AW453">
        <v>0</v>
      </c>
      <c r="AX453">
        <v>0</v>
      </c>
      <c r="AY453">
        <v>4</v>
      </c>
      <c r="AZ453">
        <v>0</v>
      </c>
      <c r="BA453" t="s">
        <v>23</v>
      </c>
      <c r="BB453" t="s">
        <v>4</v>
      </c>
      <c r="BC453" t="s">
        <v>10</v>
      </c>
      <c r="BD453">
        <v>0</v>
      </c>
      <c r="BE453">
        <v>0</v>
      </c>
      <c r="BF453">
        <v>0</v>
      </c>
      <c r="BG453">
        <v>0</v>
      </c>
      <c r="BH453">
        <v>0</v>
      </c>
      <c r="BI453" t="s">
        <v>9</v>
      </c>
      <c r="BJ453">
        <v>0</v>
      </c>
      <c r="BK453">
        <v>6.1700000000000002E-6</v>
      </c>
      <c r="BL453">
        <v>0</v>
      </c>
      <c r="BM453" s="2">
        <f t="shared" si="7"/>
        <v>2.2314134053574686E-9</v>
      </c>
    </row>
    <row r="454" spans="1:65" x14ac:dyDescent="0.35">
      <c r="A454">
        <v>0</v>
      </c>
      <c r="B454" t="s">
        <v>11</v>
      </c>
      <c r="C454" t="s">
        <v>4</v>
      </c>
      <c r="D454">
        <v>0</v>
      </c>
      <c r="E454" t="s">
        <v>3</v>
      </c>
      <c r="F454" t="s">
        <v>5</v>
      </c>
      <c r="G454">
        <v>4386.7389919999996</v>
      </c>
      <c r="H454" t="s">
        <v>4</v>
      </c>
      <c r="I454">
        <v>990.16341899999998</v>
      </c>
      <c r="J454">
        <v>3396.5755730000001</v>
      </c>
      <c r="K454" t="s">
        <v>6</v>
      </c>
      <c r="L454" t="s">
        <v>7</v>
      </c>
      <c r="M454" t="s">
        <v>8</v>
      </c>
      <c r="N454" t="s">
        <v>6</v>
      </c>
      <c r="O454" t="s">
        <v>3</v>
      </c>
      <c r="P454" t="s">
        <v>3</v>
      </c>
      <c r="Q454" t="s">
        <v>3</v>
      </c>
      <c r="R454" t="s">
        <v>3</v>
      </c>
      <c r="S454" t="s">
        <v>11</v>
      </c>
      <c r="T454" t="s">
        <v>7</v>
      </c>
      <c r="U454">
        <v>1</v>
      </c>
      <c r="V454">
        <v>1</v>
      </c>
      <c r="W454">
        <v>0</v>
      </c>
      <c r="X454">
        <v>2</v>
      </c>
      <c r="Y454">
        <v>0</v>
      </c>
      <c r="Z454" t="s">
        <v>14</v>
      </c>
      <c r="AA454" t="s">
        <v>4</v>
      </c>
      <c r="AB454" t="s">
        <v>6</v>
      </c>
      <c r="AC454" t="s">
        <v>7</v>
      </c>
      <c r="AD454" t="s">
        <v>8</v>
      </c>
      <c r="AE454" t="s">
        <v>6</v>
      </c>
      <c r="AF454" t="s">
        <v>3</v>
      </c>
      <c r="AG454" t="s">
        <v>3</v>
      </c>
      <c r="AH454" t="s">
        <v>3</v>
      </c>
      <c r="AI454" t="s">
        <v>3</v>
      </c>
      <c r="AJ454" t="s">
        <v>3</v>
      </c>
      <c r="AK454" t="s">
        <v>7</v>
      </c>
      <c r="AL454">
        <v>0</v>
      </c>
      <c r="AM454">
        <v>0</v>
      </c>
      <c r="AN454">
        <v>0</v>
      </c>
      <c r="AO454">
        <v>0</v>
      </c>
      <c r="AP454">
        <v>0</v>
      </c>
      <c r="AQ454" t="s">
        <v>9</v>
      </c>
      <c r="AR454" s="1">
        <v>9.36615493E-6</v>
      </c>
      <c r="AS454" s="1">
        <v>8.0053456200000003E-28</v>
      </c>
      <c r="AT454">
        <v>19</v>
      </c>
      <c r="AU454" t="s">
        <v>10</v>
      </c>
      <c r="AV454">
        <v>1</v>
      </c>
      <c r="AW454">
        <v>1</v>
      </c>
      <c r="AX454">
        <v>0</v>
      </c>
      <c r="AY454">
        <v>2</v>
      </c>
      <c r="AZ454">
        <v>0</v>
      </c>
      <c r="BA454" t="s">
        <v>14</v>
      </c>
      <c r="BB454" t="s">
        <v>4</v>
      </c>
      <c r="BC454" t="s">
        <v>10</v>
      </c>
      <c r="BD454">
        <v>0</v>
      </c>
      <c r="BE454">
        <v>0</v>
      </c>
      <c r="BF454">
        <v>0</v>
      </c>
      <c r="BG454">
        <v>0</v>
      </c>
      <c r="BH454">
        <v>0</v>
      </c>
      <c r="BI454" t="s">
        <v>9</v>
      </c>
      <c r="BJ454">
        <v>0</v>
      </c>
      <c r="BK454">
        <v>-9.3700000000000001E-6</v>
      </c>
      <c r="BL454">
        <v>0</v>
      </c>
      <c r="BM454" s="2">
        <f t="shared" si="7"/>
        <v>4.8209318476303298E-9</v>
      </c>
    </row>
    <row r="455" spans="1:65" x14ac:dyDescent="0.35">
      <c r="A455">
        <v>0</v>
      </c>
      <c r="B455" t="s">
        <v>11</v>
      </c>
      <c r="C455" t="s">
        <v>4</v>
      </c>
      <c r="D455">
        <v>0</v>
      </c>
      <c r="E455" t="s">
        <v>3</v>
      </c>
      <c r="F455" t="s">
        <v>5</v>
      </c>
      <c r="G455">
        <v>3423.6649640000001</v>
      </c>
      <c r="H455" t="s">
        <v>4</v>
      </c>
      <c r="I455">
        <v>990.16341899999998</v>
      </c>
      <c r="J455">
        <v>2433.5015450000001</v>
      </c>
      <c r="K455" t="s">
        <v>6</v>
      </c>
      <c r="L455" t="s">
        <v>7</v>
      </c>
      <c r="M455" t="s">
        <v>8</v>
      </c>
      <c r="N455" t="s">
        <v>6</v>
      </c>
      <c r="O455" t="s">
        <v>3</v>
      </c>
      <c r="P455" t="s">
        <v>3</v>
      </c>
      <c r="Q455" t="s">
        <v>3</v>
      </c>
      <c r="R455" t="s">
        <v>3</v>
      </c>
      <c r="S455" t="s">
        <v>11</v>
      </c>
      <c r="T455" t="s">
        <v>7</v>
      </c>
      <c r="U455">
        <v>0</v>
      </c>
      <c r="V455">
        <v>2</v>
      </c>
      <c r="W455">
        <v>0</v>
      </c>
      <c r="X455">
        <v>1</v>
      </c>
      <c r="Y455">
        <v>0</v>
      </c>
      <c r="Z455" t="s">
        <v>18</v>
      </c>
      <c r="AA455" t="s">
        <v>4</v>
      </c>
      <c r="AB455" t="s">
        <v>6</v>
      </c>
      <c r="AC455" t="s">
        <v>7</v>
      </c>
      <c r="AD455" t="s">
        <v>8</v>
      </c>
      <c r="AE455" t="s">
        <v>6</v>
      </c>
      <c r="AF455" t="s">
        <v>3</v>
      </c>
      <c r="AG455" t="s">
        <v>3</v>
      </c>
      <c r="AH455" t="s">
        <v>3</v>
      </c>
      <c r="AI455" t="s">
        <v>3</v>
      </c>
      <c r="AJ455" t="s">
        <v>3</v>
      </c>
      <c r="AK455" t="s">
        <v>7</v>
      </c>
      <c r="AL455">
        <v>0</v>
      </c>
      <c r="AM455">
        <v>0</v>
      </c>
      <c r="AN455">
        <v>0</v>
      </c>
      <c r="AO455">
        <v>0</v>
      </c>
      <c r="AP455">
        <v>0</v>
      </c>
      <c r="AQ455" t="s">
        <v>9</v>
      </c>
      <c r="AR455" s="1">
        <v>1.4015601700000001E-5</v>
      </c>
      <c r="AS455" s="1">
        <v>1.2843040599999999E-27</v>
      </c>
      <c r="AT455">
        <v>22</v>
      </c>
      <c r="AU455" t="s">
        <v>10</v>
      </c>
      <c r="AV455">
        <v>0</v>
      </c>
      <c r="AW455">
        <v>2</v>
      </c>
      <c r="AX455">
        <v>0</v>
      </c>
      <c r="AY455">
        <v>1</v>
      </c>
      <c r="AZ455">
        <v>0</v>
      </c>
      <c r="BA455" t="s">
        <v>18</v>
      </c>
      <c r="BB455" t="s">
        <v>4</v>
      </c>
      <c r="BC455" t="s">
        <v>10</v>
      </c>
      <c r="BD455">
        <v>0</v>
      </c>
      <c r="BE455">
        <v>0</v>
      </c>
      <c r="BF455">
        <v>0</v>
      </c>
      <c r="BG455">
        <v>0</v>
      </c>
      <c r="BH455">
        <v>0</v>
      </c>
      <c r="BI455" t="s">
        <v>9</v>
      </c>
      <c r="BJ455">
        <v>0</v>
      </c>
      <c r="BK455">
        <v>-1.402E-5</v>
      </c>
      <c r="BL455">
        <v>0</v>
      </c>
      <c r="BM455" s="2">
        <f t="shared" si="7"/>
        <v>7.7342598793316484E-9</v>
      </c>
    </row>
    <row r="456" spans="1:65" x14ac:dyDescent="0.35">
      <c r="A456">
        <v>0</v>
      </c>
      <c r="B456" t="s">
        <v>3</v>
      </c>
      <c r="C456" t="s">
        <v>4</v>
      </c>
      <c r="D456">
        <v>0</v>
      </c>
      <c r="E456" t="s">
        <v>3</v>
      </c>
      <c r="F456" t="s">
        <v>5</v>
      </c>
      <c r="G456">
        <v>3547.1040870000002</v>
      </c>
      <c r="H456" t="s">
        <v>4</v>
      </c>
      <c r="I456">
        <v>990.16341899999998</v>
      </c>
      <c r="J456">
        <v>2556.9406680000002</v>
      </c>
      <c r="K456" t="s">
        <v>6</v>
      </c>
      <c r="L456" t="s">
        <v>7</v>
      </c>
      <c r="M456" t="s">
        <v>8</v>
      </c>
      <c r="N456" t="s">
        <v>6</v>
      </c>
      <c r="O456" t="s">
        <v>3</v>
      </c>
      <c r="P456" t="s">
        <v>3</v>
      </c>
      <c r="Q456" t="s">
        <v>3</v>
      </c>
      <c r="R456" t="s">
        <v>3</v>
      </c>
      <c r="S456" t="s">
        <v>3</v>
      </c>
      <c r="T456" t="s">
        <v>7</v>
      </c>
      <c r="U456">
        <v>0</v>
      </c>
      <c r="V456">
        <v>2</v>
      </c>
      <c r="W456">
        <v>0</v>
      </c>
      <c r="X456">
        <v>0</v>
      </c>
      <c r="Y456">
        <v>0</v>
      </c>
      <c r="Z456" t="s">
        <v>9</v>
      </c>
      <c r="AA456" t="s">
        <v>4</v>
      </c>
      <c r="AB456" t="s">
        <v>6</v>
      </c>
      <c r="AC456" t="s">
        <v>7</v>
      </c>
      <c r="AD456" t="s">
        <v>8</v>
      </c>
      <c r="AE456" t="s">
        <v>6</v>
      </c>
      <c r="AF456" t="s">
        <v>3</v>
      </c>
      <c r="AG456" t="s">
        <v>3</v>
      </c>
      <c r="AH456" t="s">
        <v>3</v>
      </c>
      <c r="AI456" t="s">
        <v>3</v>
      </c>
      <c r="AJ456" t="s">
        <v>3</v>
      </c>
      <c r="AK456" t="s">
        <v>7</v>
      </c>
      <c r="AL456">
        <v>0</v>
      </c>
      <c r="AM456">
        <v>0</v>
      </c>
      <c r="AN456">
        <v>0</v>
      </c>
      <c r="AO456">
        <v>0</v>
      </c>
      <c r="AP456">
        <v>0</v>
      </c>
      <c r="AQ456" t="s">
        <v>9</v>
      </c>
      <c r="AR456" s="1">
        <v>7.1209802799999996E-3</v>
      </c>
      <c r="AS456" s="1">
        <v>3.4834893800000001E-22</v>
      </c>
      <c r="AT456">
        <v>19</v>
      </c>
      <c r="AU456" t="s">
        <v>10</v>
      </c>
      <c r="AV456">
        <v>0</v>
      </c>
      <c r="AW456">
        <v>2</v>
      </c>
      <c r="AX456">
        <v>0</v>
      </c>
      <c r="AY456">
        <v>0</v>
      </c>
      <c r="AZ456">
        <v>0</v>
      </c>
      <c r="BA456" t="s">
        <v>9</v>
      </c>
      <c r="BB456" t="s">
        <v>4</v>
      </c>
      <c r="BC456" t="s">
        <v>10</v>
      </c>
      <c r="BD456">
        <v>0</v>
      </c>
      <c r="BE456">
        <v>0</v>
      </c>
      <c r="BF456">
        <v>0</v>
      </c>
      <c r="BG456">
        <v>0</v>
      </c>
      <c r="BH456">
        <v>0</v>
      </c>
      <c r="BI456" t="s">
        <v>9</v>
      </c>
      <c r="BJ456">
        <v>5.50637E-3</v>
      </c>
      <c r="BK456">
        <v>0</v>
      </c>
      <c r="BL456">
        <v>-4.5153399999999996E-3</v>
      </c>
      <c r="BM456" s="2">
        <f t="shared" si="7"/>
        <v>2.0978063521664703E-3</v>
      </c>
    </row>
    <row r="457" spans="1:65" x14ac:dyDescent="0.35">
      <c r="A457">
        <v>0</v>
      </c>
      <c r="B457" t="s">
        <v>11</v>
      </c>
      <c r="C457" t="s">
        <v>4</v>
      </c>
      <c r="D457">
        <v>0</v>
      </c>
      <c r="E457" t="s">
        <v>3</v>
      </c>
      <c r="F457" t="s">
        <v>5</v>
      </c>
      <c r="G457">
        <v>3827.148486</v>
      </c>
      <c r="H457" t="s">
        <v>4</v>
      </c>
      <c r="I457">
        <v>990.16341899999998</v>
      </c>
      <c r="J457">
        <v>2836.9850670000001</v>
      </c>
      <c r="K457" t="s">
        <v>6</v>
      </c>
      <c r="L457" t="s">
        <v>7</v>
      </c>
      <c r="M457" t="s">
        <v>8</v>
      </c>
      <c r="N457" t="s">
        <v>6</v>
      </c>
      <c r="O457" t="s">
        <v>3</v>
      </c>
      <c r="P457" t="s">
        <v>3</v>
      </c>
      <c r="Q457" t="s">
        <v>3</v>
      </c>
      <c r="R457" t="s">
        <v>3</v>
      </c>
      <c r="S457" t="s">
        <v>11</v>
      </c>
      <c r="T457" t="s">
        <v>7</v>
      </c>
      <c r="U457">
        <v>3</v>
      </c>
      <c r="V457">
        <v>0</v>
      </c>
      <c r="W457">
        <v>0</v>
      </c>
      <c r="X457">
        <v>2</v>
      </c>
      <c r="Y457">
        <v>0</v>
      </c>
      <c r="Z457" t="s">
        <v>18</v>
      </c>
      <c r="AA457" t="s">
        <v>4</v>
      </c>
      <c r="AB457" t="s">
        <v>6</v>
      </c>
      <c r="AC457" t="s">
        <v>7</v>
      </c>
      <c r="AD457" t="s">
        <v>8</v>
      </c>
      <c r="AE457" t="s">
        <v>6</v>
      </c>
      <c r="AF457" t="s">
        <v>3</v>
      </c>
      <c r="AG457" t="s">
        <v>3</v>
      </c>
      <c r="AH457" t="s">
        <v>3</v>
      </c>
      <c r="AI457" t="s">
        <v>3</v>
      </c>
      <c r="AJ457" t="s">
        <v>3</v>
      </c>
      <c r="AK457" t="s">
        <v>7</v>
      </c>
      <c r="AL457">
        <v>0</v>
      </c>
      <c r="AM457">
        <v>0</v>
      </c>
      <c r="AN457">
        <v>0</v>
      </c>
      <c r="AO457">
        <v>0</v>
      </c>
      <c r="AP457">
        <v>0</v>
      </c>
      <c r="AQ457" t="s">
        <v>9</v>
      </c>
      <c r="AR457" s="1">
        <v>2.8672934899999999E-5</v>
      </c>
      <c r="AS457" s="1">
        <v>6.2663842500000002E-27</v>
      </c>
      <c r="AT457">
        <v>19</v>
      </c>
      <c r="AU457" t="s">
        <v>10</v>
      </c>
      <c r="AV457">
        <v>3</v>
      </c>
      <c r="AW457">
        <v>0</v>
      </c>
      <c r="AX457">
        <v>0</v>
      </c>
      <c r="AY457">
        <v>2</v>
      </c>
      <c r="AZ457">
        <v>0</v>
      </c>
      <c r="BA457" t="s">
        <v>18</v>
      </c>
      <c r="BB457" t="s">
        <v>4</v>
      </c>
      <c r="BC457" t="s">
        <v>10</v>
      </c>
      <c r="BD457">
        <v>0</v>
      </c>
      <c r="BE457">
        <v>0</v>
      </c>
      <c r="BF457">
        <v>0</v>
      </c>
      <c r="BG457">
        <v>0</v>
      </c>
      <c r="BH457">
        <v>0</v>
      </c>
      <c r="BI457" t="s">
        <v>9</v>
      </c>
      <c r="BJ457">
        <v>0</v>
      </c>
      <c r="BK457">
        <v>-2.8670000000000002E-5</v>
      </c>
      <c r="BL457">
        <v>0</v>
      </c>
      <c r="BM457" s="2">
        <f t="shared" si="7"/>
        <v>3.7737048260402397E-8</v>
      </c>
    </row>
    <row r="458" spans="1:65" x14ac:dyDescent="0.35">
      <c r="A458">
        <v>0</v>
      </c>
      <c r="B458" t="s">
        <v>11</v>
      </c>
      <c r="C458" t="s">
        <v>4</v>
      </c>
      <c r="D458">
        <v>0</v>
      </c>
      <c r="E458" t="s">
        <v>3</v>
      </c>
      <c r="F458" t="s">
        <v>5</v>
      </c>
      <c r="G458">
        <v>4969.5892249999997</v>
      </c>
      <c r="H458" t="s">
        <v>4</v>
      </c>
      <c r="I458">
        <v>990.16341899999998</v>
      </c>
      <c r="J458">
        <v>3979.4258060000002</v>
      </c>
      <c r="K458" t="s">
        <v>6</v>
      </c>
      <c r="L458" t="s">
        <v>7</v>
      </c>
      <c r="M458" t="s">
        <v>8</v>
      </c>
      <c r="N458" t="s">
        <v>6</v>
      </c>
      <c r="O458" t="s">
        <v>3</v>
      </c>
      <c r="P458" t="s">
        <v>3</v>
      </c>
      <c r="Q458" t="s">
        <v>3</v>
      </c>
      <c r="R458" t="s">
        <v>3</v>
      </c>
      <c r="S458" t="s">
        <v>11</v>
      </c>
      <c r="T458" t="s">
        <v>7</v>
      </c>
      <c r="U458">
        <v>0</v>
      </c>
      <c r="V458">
        <v>1</v>
      </c>
      <c r="W458">
        <v>0</v>
      </c>
      <c r="X458">
        <v>1</v>
      </c>
      <c r="Y458">
        <v>1</v>
      </c>
      <c r="Z458" t="s">
        <v>12</v>
      </c>
      <c r="AA458" t="s">
        <v>4</v>
      </c>
      <c r="AB458" t="s">
        <v>6</v>
      </c>
      <c r="AC458" t="s">
        <v>7</v>
      </c>
      <c r="AD458" t="s">
        <v>8</v>
      </c>
      <c r="AE458" t="s">
        <v>6</v>
      </c>
      <c r="AF458" t="s">
        <v>3</v>
      </c>
      <c r="AG458" t="s">
        <v>3</v>
      </c>
      <c r="AH458" t="s">
        <v>3</v>
      </c>
      <c r="AI458" t="s">
        <v>3</v>
      </c>
      <c r="AJ458" t="s">
        <v>3</v>
      </c>
      <c r="AK458" t="s">
        <v>7</v>
      </c>
      <c r="AL458">
        <v>0</v>
      </c>
      <c r="AM458">
        <v>0</v>
      </c>
      <c r="AN458">
        <v>0</v>
      </c>
      <c r="AO458">
        <v>0</v>
      </c>
      <c r="AP458">
        <v>0</v>
      </c>
      <c r="AQ458" t="s">
        <v>9</v>
      </c>
      <c r="AR458" s="1">
        <v>3.5139192599999998E-5</v>
      </c>
      <c r="AS458" s="1">
        <v>1.32014043E-26</v>
      </c>
      <c r="AT458">
        <v>20</v>
      </c>
      <c r="AU458" t="s">
        <v>10</v>
      </c>
      <c r="AV458">
        <v>0</v>
      </c>
      <c r="AW458">
        <v>1</v>
      </c>
      <c r="AX458">
        <v>0</v>
      </c>
      <c r="AY458">
        <v>1</v>
      </c>
      <c r="AZ458">
        <v>1</v>
      </c>
      <c r="BA458" t="s">
        <v>12</v>
      </c>
      <c r="BB458" t="s">
        <v>4</v>
      </c>
      <c r="BC458" t="s">
        <v>10</v>
      </c>
      <c r="BD458">
        <v>0</v>
      </c>
      <c r="BE458">
        <v>0</v>
      </c>
      <c r="BF458">
        <v>0</v>
      </c>
      <c r="BG458">
        <v>0</v>
      </c>
      <c r="BH458">
        <v>0</v>
      </c>
      <c r="BI458" t="s">
        <v>9</v>
      </c>
      <c r="BJ458">
        <v>0</v>
      </c>
      <c r="BK458">
        <v>-3.5139999999999999E-5</v>
      </c>
      <c r="BL458">
        <v>0</v>
      </c>
      <c r="BM458" s="2">
        <f t="shared" si="7"/>
        <v>7.9500715452325444E-8</v>
      </c>
    </row>
    <row r="459" spans="1:65" x14ac:dyDescent="0.35">
      <c r="A459">
        <v>0</v>
      </c>
      <c r="B459" t="s">
        <v>11</v>
      </c>
      <c r="C459" t="s">
        <v>4</v>
      </c>
      <c r="D459">
        <v>0</v>
      </c>
      <c r="E459" t="s">
        <v>3</v>
      </c>
      <c r="F459" t="s">
        <v>5</v>
      </c>
      <c r="G459">
        <v>4905.9250179999999</v>
      </c>
      <c r="H459" t="s">
        <v>4</v>
      </c>
      <c r="I459">
        <v>990.16341899999998</v>
      </c>
      <c r="J459">
        <v>3915.7615989999999</v>
      </c>
      <c r="K459" t="s">
        <v>6</v>
      </c>
      <c r="L459" t="s">
        <v>7</v>
      </c>
      <c r="M459" t="s">
        <v>8</v>
      </c>
      <c r="N459" t="s">
        <v>6</v>
      </c>
      <c r="O459" t="s">
        <v>3</v>
      </c>
      <c r="P459" t="s">
        <v>3</v>
      </c>
      <c r="Q459" t="s">
        <v>3</v>
      </c>
      <c r="R459" t="s">
        <v>3</v>
      </c>
      <c r="S459" t="s">
        <v>11</v>
      </c>
      <c r="T459" t="s">
        <v>7</v>
      </c>
      <c r="U459">
        <v>2</v>
      </c>
      <c r="V459">
        <v>0</v>
      </c>
      <c r="W459">
        <v>0</v>
      </c>
      <c r="X459">
        <v>2</v>
      </c>
      <c r="Y459">
        <v>1</v>
      </c>
      <c r="Z459" t="s">
        <v>14</v>
      </c>
      <c r="AA459" t="s">
        <v>4</v>
      </c>
      <c r="AB459" t="s">
        <v>6</v>
      </c>
      <c r="AC459" t="s">
        <v>7</v>
      </c>
      <c r="AD459" t="s">
        <v>8</v>
      </c>
      <c r="AE459" t="s">
        <v>6</v>
      </c>
      <c r="AF459" t="s">
        <v>3</v>
      </c>
      <c r="AG459" t="s">
        <v>3</v>
      </c>
      <c r="AH459" t="s">
        <v>3</v>
      </c>
      <c r="AI459" t="s">
        <v>3</v>
      </c>
      <c r="AJ459" t="s">
        <v>3</v>
      </c>
      <c r="AK459" t="s">
        <v>7</v>
      </c>
      <c r="AL459">
        <v>0</v>
      </c>
      <c r="AM459">
        <v>0</v>
      </c>
      <c r="AN459">
        <v>0</v>
      </c>
      <c r="AO459">
        <v>0</v>
      </c>
      <c r="AP459">
        <v>0</v>
      </c>
      <c r="AQ459" t="s">
        <v>9</v>
      </c>
      <c r="AR459" s="1">
        <v>1.15585375E-5</v>
      </c>
      <c r="AS459" s="1">
        <v>1.4055237E-27</v>
      </c>
      <c r="AT459">
        <v>20</v>
      </c>
      <c r="AU459" t="s">
        <v>10</v>
      </c>
      <c r="AV459">
        <v>2</v>
      </c>
      <c r="AW459">
        <v>0</v>
      </c>
      <c r="AX459">
        <v>0</v>
      </c>
      <c r="AY459">
        <v>2</v>
      </c>
      <c r="AZ459">
        <v>1</v>
      </c>
      <c r="BA459" t="s">
        <v>14</v>
      </c>
      <c r="BB459" t="s">
        <v>4</v>
      </c>
      <c r="BC459" t="s">
        <v>10</v>
      </c>
      <c r="BD459">
        <v>0</v>
      </c>
      <c r="BE459">
        <v>0</v>
      </c>
      <c r="BF459">
        <v>0</v>
      </c>
      <c r="BG459">
        <v>0</v>
      </c>
      <c r="BH459">
        <v>0</v>
      </c>
      <c r="BI459" t="s">
        <v>9</v>
      </c>
      <c r="BJ459">
        <v>0</v>
      </c>
      <c r="BK459">
        <v>1.1559999999999999E-5</v>
      </c>
      <c r="BL459">
        <v>0</v>
      </c>
      <c r="BM459" s="2">
        <f t="shared" si="7"/>
        <v>8.4642616191369587E-9</v>
      </c>
    </row>
    <row r="460" spans="1:65" x14ac:dyDescent="0.35">
      <c r="A460">
        <v>0</v>
      </c>
      <c r="B460" t="s">
        <v>11</v>
      </c>
      <c r="C460" t="s">
        <v>4</v>
      </c>
      <c r="D460">
        <v>0</v>
      </c>
      <c r="E460" t="s">
        <v>3</v>
      </c>
      <c r="F460" t="s">
        <v>5</v>
      </c>
      <c r="G460">
        <v>3231.951544</v>
      </c>
      <c r="H460" t="s">
        <v>4</v>
      </c>
      <c r="I460">
        <v>990.16341899999998</v>
      </c>
      <c r="J460">
        <v>2241.788125</v>
      </c>
      <c r="K460" t="s">
        <v>6</v>
      </c>
      <c r="L460" t="s">
        <v>7</v>
      </c>
      <c r="M460" t="s">
        <v>8</v>
      </c>
      <c r="N460" t="s">
        <v>6</v>
      </c>
      <c r="O460" t="s">
        <v>3</v>
      </c>
      <c r="P460" t="s">
        <v>3</v>
      </c>
      <c r="Q460" t="s">
        <v>3</v>
      </c>
      <c r="R460" t="s">
        <v>3</v>
      </c>
      <c r="S460" t="s">
        <v>11</v>
      </c>
      <c r="T460" t="s">
        <v>7</v>
      </c>
      <c r="U460">
        <v>0</v>
      </c>
      <c r="V460">
        <v>1</v>
      </c>
      <c r="W460">
        <v>0</v>
      </c>
      <c r="X460">
        <v>1</v>
      </c>
      <c r="Y460">
        <v>0</v>
      </c>
      <c r="Z460" t="s">
        <v>13</v>
      </c>
      <c r="AA460" t="s">
        <v>4</v>
      </c>
      <c r="AB460" t="s">
        <v>6</v>
      </c>
      <c r="AC460" t="s">
        <v>7</v>
      </c>
      <c r="AD460" t="s">
        <v>8</v>
      </c>
      <c r="AE460" t="s">
        <v>6</v>
      </c>
      <c r="AF460" t="s">
        <v>3</v>
      </c>
      <c r="AG460" t="s">
        <v>3</v>
      </c>
      <c r="AH460" t="s">
        <v>3</v>
      </c>
      <c r="AI460" t="s">
        <v>3</v>
      </c>
      <c r="AJ460" t="s">
        <v>3</v>
      </c>
      <c r="AK460" t="s">
        <v>7</v>
      </c>
      <c r="AL460">
        <v>0</v>
      </c>
      <c r="AM460">
        <v>0</v>
      </c>
      <c r="AN460">
        <v>0</v>
      </c>
      <c r="AO460">
        <v>0</v>
      </c>
      <c r="AP460">
        <v>0</v>
      </c>
      <c r="AQ460" t="s">
        <v>9</v>
      </c>
      <c r="AR460" s="1">
        <v>2.2868303200000001E-5</v>
      </c>
      <c r="AS460" s="1">
        <v>3.14970556E-27</v>
      </c>
      <c r="AT460">
        <v>22</v>
      </c>
      <c r="AU460" t="s">
        <v>10</v>
      </c>
      <c r="AV460">
        <v>0</v>
      </c>
      <c r="AW460">
        <v>1</v>
      </c>
      <c r="AX460">
        <v>0</v>
      </c>
      <c r="AY460">
        <v>1</v>
      </c>
      <c r="AZ460">
        <v>0</v>
      </c>
      <c r="BA460" t="s">
        <v>13</v>
      </c>
      <c r="BB460" t="s">
        <v>4</v>
      </c>
      <c r="BC460" t="s">
        <v>10</v>
      </c>
      <c r="BD460">
        <v>0</v>
      </c>
      <c r="BE460">
        <v>0</v>
      </c>
      <c r="BF460">
        <v>0</v>
      </c>
      <c r="BG460">
        <v>0</v>
      </c>
      <c r="BH460">
        <v>0</v>
      </c>
      <c r="BI460" t="s">
        <v>9</v>
      </c>
      <c r="BJ460">
        <v>0</v>
      </c>
      <c r="BK460">
        <v>-2.287E-5</v>
      </c>
      <c r="BL460">
        <v>0</v>
      </c>
      <c r="BM460" s="2">
        <f t="shared" si="7"/>
        <v>1.8967970360862848E-8</v>
      </c>
    </row>
    <row r="461" spans="1:65" x14ac:dyDescent="0.35">
      <c r="A461">
        <v>0</v>
      </c>
      <c r="B461" t="s">
        <v>3</v>
      </c>
      <c r="C461" t="s">
        <v>4</v>
      </c>
      <c r="D461">
        <v>0</v>
      </c>
      <c r="E461" t="s">
        <v>3</v>
      </c>
      <c r="F461" t="s">
        <v>5</v>
      </c>
      <c r="G461">
        <v>2344.5804619999999</v>
      </c>
      <c r="H461" t="s">
        <v>4</v>
      </c>
      <c r="I461">
        <v>990.16341899999998</v>
      </c>
      <c r="J461">
        <v>1354.4170429999999</v>
      </c>
      <c r="K461" t="s">
        <v>6</v>
      </c>
      <c r="L461" t="s">
        <v>7</v>
      </c>
      <c r="M461" t="s">
        <v>8</v>
      </c>
      <c r="N461" t="s">
        <v>6</v>
      </c>
      <c r="O461" t="s">
        <v>3</v>
      </c>
      <c r="P461" t="s">
        <v>3</v>
      </c>
      <c r="Q461" t="s">
        <v>3</v>
      </c>
      <c r="R461" t="s">
        <v>3</v>
      </c>
      <c r="S461" t="s">
        <v>3</v>
      </c>
      <c r="T461" t="s">
        <v>7</v>
      </c>
      <c r="U461">
        <v>0</v>
      </c>
      <c r="V461">
        <v>0</v>
      </c>
      <c r="W461">
        <v>0</v>
      </c>
      <c r="X461">
        <v>1</v>
      </c>
      <c r="Y461">
        <v>1</v>
      </c>
      <c r="Z461" t="s">
        <v>9</v>
      </c>
      <c r="AA461" t="s">
        <v>4</v>
      </c>
      <c r="AB461" t="s">
        <v>6</v>
      </c>
      <c r="AC461" t="s">
        <v>7</v>
      </c>
      <c r="AD461" t="s">
        <v>8</v>
      </c>
      <c r="AE461" t="s">
        <v>6</v>
      </c>
      <c r="AF461" t="s">
        <v>3</v>
      </c>
      <c r="AG461" t="s">
        <v>3</v>
      </c>
      <c r="AH461" t="s">
        <v>3</v>
      </c>
      <c r="AI461" t="s">
        <v>3</v>
      </c>
      <c r="AJ461" t="s">
        <v>3</v>
      </c>
      <c r="AK461" t="s">
        <v>7</v>
      </c>
      <c r="AL461">
        <v>0</v>
      </c>
      <c r="AM461">
        <v>0</v>
      </c>
      <c r="AN461">
        <v>0</v>
      </c>
      <c r="AO461">
        <v>0</v>
      </c>
      <c r="AP461">
        <v>0</v>
      </c>
      <c r="AQ461" t="s">
        <v>9</v>
      </c>
      <c r="AR461" s="1">
        <v>7.2434378100000004E-4</v>
      </c>
      <c r="AS461" s="1">
        <v>1.9064691199999999E-24</v>
      </c>
      <c r="AT461">
        <v>19</v>
      </c>
      <c r="AU461" t="s">
        <v>10</v>
      </c>
      <c r="AV461">
        <v>0</v>
      </c>
      <c r="AW461">
        <v>0</v>
      </c>
      <c r="AX461">
        <v>0</v>
      </c>
      <c r="AY461">
        <v>1</v>
      </c>
      <c r="AZ461">
        <v>1</v>
      </c>
      <c r="BA461" t="s">
        <v>9</v>
      </c>
      <c r="BB461" t="s">
        <v>4</v>
      </c>
      <c r="BC461" t="s">
        <v>10</v>
      </c>
      <c r="BD461">
        <v>0</v>
      </c>
      <c r="BE461">
        <v>0</v>
      </c>
      <c r="BF461">
        <v>0</v>
      </c>
      <c r="BG461">
        <v>0</v>
      </c>
      <c r="BH461">
        <v>0</v>
      </c>
      <c r="BI461" t="s">
        <v>9</v>
      </c>
      <c r="BJ461">
        <v>5.0730999999999997E-4</v>
      </c>
      <c r="BK461">
        <v>0</v>
      </c>
      <c r="BL461">
        <v>5.1701999999999998E-4</v>
      </c>
      <c r="BM461" s="2">
        <f t="shared" si="7"/>
        <v>1.1481025471492095E-5</v>
      </c>
    </row>
    <row r="462" spans="1:65" x14ac:dyDescent="0.35">
      <c r="A462">
        <v>0</v>
      </c>
      <c r="B462" t="s">
        <v>3</v>
      </c>
      <c r="C462" t="s">
        <v>4</v>
      </c>
      <c r="D462">
        <v>0</v>
      </c>
      <c r="E462" t="s">
        <v>3</v>
      </c>
      <c r="F462" t="s">
        <v>5</v>
      </c>
      <c r="G462">
        <v>3940.3694529999998</v>
      </c>
      <c r="H462" t="s">
        <v>4</v>
      </c>
      <c r="I462">
        <v>990.16341899999998</v>
      </c>
      <c r="J462">
        <v>2950.2060339999998</v>
      </c>
      <c r="K462" t="s">
        <v>6</v>
      </c>
      <c r="L462" t="s">
        <v>7</v>
      </c>
      <c r="M462" t="s">
        <v>8</v>
      </c>
      <c r="N462" t="s">
        <v>6</v>
      </c>
      <c r="O462" t="s">
        <v>3</v>
      </c>
      <c r="P462" t="s">
        <v>3</v>
      </c>
      <c r="Q462" t="s">
        <v>3</v>
      </c>
      <c r="R462" t="s">
        <v>3</v>
      </c>
      <c r="S462" t="s">
        <v>3</v>
      </c>
      <c r="T462" t="s">
        <v>7</v>
      </c>
      <c r="U462">
        <v>2</v>
      </c>
      <c r="V462">
        <v>0</v>
      </c>
      <c r="W462">
        <v>0</v>
      </c>
      <c r="X462">
        <v>1</v>
      </c>
      <c r="Y462">
        <v>0</v>
      </c>
      <c r="Z462" t="s">
        <v>21</v>
      </c>
      <c r="AA462" t="s">
        <v>4</v>
      </c>
      <c r="AB462" t="s">
        <v>6</v>
      </c>
      <c r="AC462" t="s">
        <v>7</v>
      </c>
      <c r="AD462" t="s">
        <v>8</v>
      </c>
      <c r="AE462" t="s">
        <v>6</v>
      </c>
      <c r="AF462" t="s">
        <v>3</v>
      </c>
      <c r="AG462" t="s">
        <v>3</v>
      </c>
      <c r="AH462" t="s">
        <v>3</v>
      </c>
      <c r="AI462" t="s">
        <v>3</v>
      </c>
      <c r="AJ462" t="s">
        <v>3</v>
      </c>
      <c r="AK462" t="s">
        <v>7</v>
      </c>
      <c r="AL462">
        <v>0</v>
      </c>
      <c r="AM462">
        <v>0</v>
      </c>
      <c r="AN462">
        <v>0</v>
      </c>
      <c r="AO462">
        <v>0</v>
      </c>
      <c r="AP462">
        <v>0</v>
      </c>
      <c r="AQ462" t="s">
        <v>9</v>
      </c>
      <c r="AR462" s="1">
        <v>7.2499926199999994E-5</v>
      </c>
      <c r="AS462" s="1">
        <v>4.1662310899999999E-26</v>
      </c>
      <c r="AT462">
        <v>19</v>
      </c>
      <c r="AU462" t="s">
        <v>10</v>
      </c>
      <c r="AV462">
        <v>2</v>
      </c>
      <c r="AW462">
        <v>0</v>
      </c>
      <c r="AX462">
        <v>0</v>
      </c>
      <c r="AY462">
        <v>1</v>
      </c>
      <c r="AZ462">
        <v>0</v>
      </c>
      <c r="BA462" t="s">
        <v>21</v>
      </c>
      <c r="BB462" t="s">
        <v>4</v>
      </c>
      <c r="BC462" t="s">
        <v>10</v>
      </c>
      <c r="BD462">
        <v>0</v>
      </c>
      <c r="BE462">
        <v>0</v>
      </c>
      <c r="BF462">
        <v>0</v>
      </c>
      <c r="BG462">
        <v>0</v>
      </c>
      <c r="BH462">
        <v>0</v>
      </c>
      <c r="BI462" t="s">
        <v>9</v>
      </c>
      <c r="BJ462">
        <v>-4.3560000000000003E-5</v>
      </c>
      <c r="BK462">
        <v>0</v>
      </c>
      <c r="BL462">
        <v>5.7949999999999999E-5</v>
      </c>
      <c r="BM462" s="2">
        <f t="shared" si="7"/>
        <v>2.5089630229317471E-7</v>
      </c>
    </row>
    <row r="463" spans="1:65" x14ac:dyDescent="0.35">
      <c r="A463">
        <v>0</v>
      </c>
      <c r="B463" t="s">
        <v>3</v>
      </c>
      <c r="C463" t="s">
        <v>4</v>
      </c>
      <c r="D463">
        <v>0</v>
      </c>
      <c r="E463" t="s">
        <v>3</v>
      </c>
      <c r="F463" t="s">
        <v>5</v>
      </c>
      <c r="G463">
        <v>4848.332609</v>
      </c>
      <c r="H463" t="s">
        <v>4</v>
      </c>
      <c r="I463">
        <v>990.16341899999998</v>
      </c>
      <c r="J463">
        <v>3858.1691900000001</v>
      </c>
      <c r="K463" t="s">
        <v>6</v>
      </c>
      <c r="L463" t="s">
        <v>7</v>
      </c>
      <c r="M463" t="s">
        <v>8</v>
      </c>
      <c r="N463" t="s">
        <v>6</v>
      </c>
      <c r="O463" t="s">
        <v>3</v>
      </c>
      <c r="P463" t="s">
        <v>3</v>
      </c>
      <c r="Q463" t="s">
        <v>3</v>
      </c>
      <c r="R463" t="s">
        <v>3</v>
      </c>
      <c r="S463" t="s">
        <v>3</v>
      </c>
      <c r="T463" t="s">
        <v>7</v>
      </c>
      <c r="U463">
        <v>0</v>
      </c>
      <c r="V463">
        <v>1</v>
      </c>
      <c r="W463">
        <v>0</v>
      </c>
      <c r="X463">
        <v>0</v>
      </c>
      <c r="Y463">
        <v>3</v>
      </c>
      <c r="Z463" t="s">
        <v>9</v>
      </c>
      <c r="AA463" t="s">
        <v>4</v>
      </c>
      <c r="AB463" t="s">
        <v>6</v>
      </c>
      <c r="AC463" t="s">
        <v>7</v>
      </c>
      <c r="AD463" t="s">
        <v>8</v>
      </c>
      <c r="AE463" t="s">
        <v>6</v>
      </c>
      <c r="AF463" t="s">
        <v>3</v>
      </c>
      <c r="AG463" t="s">
        <v>3</v>
      </c>
      <c r="AH463" t="s">
        <v>3</v>
      </c>
      <c r="AI463" t="s">
        <v>3</v>
      </c>
      <c r="AJ463" t="s">
        <v>3</v>
      </c>
      <c r="AK463" t="s">
        <v>7</v>
      </c>
      <c r="AL463">
        <v>0</v>
      </c>
      <c r="AM463">
        <v>0</v>
      </c>
      <c r="AN463">
        <v>0</v>
      </c>
      <c r="AO463">
        <v>0</v>
      </c>
      <c r="AP463">
        <v>0</v>
      </c>
      <c r="AQ463" t="s">
        <v>9</v>
      </c>
      <c r="AR463" s="1">
        <v>1.2747857900000001E-4</v>
      </c>
      <c r="AS463" s="1">
        <v>1.6845032600000001E-25</v>
      </c>
      <c r="AT463">
        <v>20</v>
      </c>
      <c r="AU463" t="s">
        <v>10</v>
      </c>
      <c r="AV463">
        <v>0</v>
      </c>
      <c r="AW463">
        <v>1</v>
      </c>
      <c r="AX463">
        <v>0</v>
      </c>
      <c r="AY463">
        <v>0</v>
      </c>
      <c r="AZ463">
        <v>3</v>
      </c>
      <c r="BA463" t="s">
        <v>9</v>
      </c>
      <c r="BB463" t="s">
        <v>4</v>
      </c>
      <c r="BC463" t="s">
        <v>10</v>
      </c>
      <c r="BD463">
        <v>0</v>
      </c>
      <c r="BE463">
        <v>0</v>
      </c>
      <c r="BF463">
        <v>0</v>
      </c>
      <c r="BG463">
        <v>0</v>
      </c>
      <c r="BH463">
        <v>0</v>
      </c>
      <c r="BI463" t="s">
        <v>9</v>
      </c>
      <c r="BJ463">
        <v>-4.7E-7</v>
      </c>
      <c r="BK463">
        <v>0</v>
      </c>
      <c r="BL463">
        <v>-1.2747999999999999E-4</v>
      </c>
      <c r="BM463" s="2">
        <f t="shared" si="7"/>
        <v>1.0144315809779008E-6</v>
      </c>
    </row>
    <row r="464" spans="1:65" x14ac:dyDescent="0.35">
      <c r="A464">
        <v>0</v>
      </c>
      <c r="B464" t="s">
        <v>3</v>
      </c>
      <c r="C464" t="s">
        <v>4</v>
      </c>
      <c r="D464">
        <v>0</v>
      </c>
      <c r="E464" t="s">
        <v>3</v>
      </c>
      <c r="F464" t="s">
        <v>5</v>
      </c>
      <c r="G464">
        <v>1799.560995</v>
      </c>
      <c r="H464" t="s">
        <v>4</v>
      </c>
      <c r="I464">
        <v>990.16341899999998</v>
      </c>
      <c r="J464">
        <v>809.39757599999996</v>
      </c>
      <c r="K464" t="s">
        <v>6</v>
      </c>
      <c r="L464" t="s">
        <v>7</v>
      </c>
      <c r="M464" t="s">
        <v>8</v>
      </c>
      <c r="N464" t="s">
        <v>6</v>
      </c>
      <c r="O464" t="s">
        <v>3</v>
      </c>
      <c r="P464" t="s">
        <v>3</v>
      </c>
      <c r="Q464" t="s">
        <v>3</v>
      </c>
      <c r="R464" t="s">
        <v>3</v>
      </c>
      <c r="S464" t="s">
        <v>3</v>
      </c>
      <c r="T464" t="s">
        <v>7</v>
      </c>
      <c r="U464">
        <v>1</v>
      </c>
      <c r="V464">
        <v>0</v>
      </c>
      <c r="W464">
        <v>0</v>
      </c>
      <c r="X464">
        <v>0</v>
      </c>
      <c r="Y464">
        <v>1</v>
      </c>
      <c r="Z464" t="s">
        <v>8</v>
      </c>
      <c r="AA464" t="s">
        <v>4</v>
      </c>
      <c r="AB464" t="s">
        <v>6</v>
      </c>
      <c r="AC464" t="s">
        <v>7</v>
      </c>
      <c r="AD464" t="s">
        <v>8</v>
      </c>
      <c r="AE464" t="s">
        <v>6</v>
      </c>
      <c r="AF464" t="s">
        <v>3</v>
      </c>
      <c r="AG464" t="s">
        <v>3</v>
      </c>
      <c r="AH464" t="s">
        <v>3</v>
      </c>
      <c r="AI464" t="s">
        <v>3</v>
      </c>
      <c r="AJ464" t="s">
        <v>3</v>
      </c>
      <c r="AK464" t="s">
        <v>7</v>
      </c>
      <c r="AL464">
        <v>0</v>
      </c>
      <c r="AM464">
        <v>0</v>
      </c>
      <c r="AN464">
        <v>0</v>
      </c>
      <c r="AO464">
        <v>0</v>
      </c>
      <c r="AP464">
        <v>0</v>
      </c>
      <c r="AQ464" t="s">
        <v>9</v>
      </c>
      <c r="AR464" s="1">
        <v>1.57675699E-4</v>
      </c>
      <c r="AS464" s="1">
        <v>5.2978110800000005E-26</v>
      </c>
      <c r="AT464">
        <v>23</v>
      </c>
      <c r="AU464" t="s">
        <v>10</v>
      </c>
      <c r="AV464">
        <v>1</v>
      </c>
      <c r="AW464">
        <v>0</v>
      </c>
      <c r="AX464">
        <v>0</v>
      </c>
      <c r="AY464">
        <v>0</v>
      </c>
      <c r="AZ464">
        <v>1</v>
      </c>
      <c r="BA464" t="s">
        <v>8</v>
      </c>
      <c r="BB464" t="s">
        <v>4</v>
      </c>
      <c r="BC464" t="s">
        <v>10</v>
      </c>
      <c r="BD464">
        <v>0</v>
      </c>
      <c r="BE464">
        <v>0</v>
      </c>
      <c r="BF464">
        <v>0</v>
      </c>
      <c r="BG464">
        <v>0</v>
      </c>
      <c r="BH464">
        <v>0</v>
      </c>
      <c r="BI464" t="s">
        <v>9</v>
      </c>
      <c r="BJ464">
        <v>-1.292E-4</v>
      </c>
      <c r="BK464">
        <v>0</v>
      </c>
      <c r="BL464">
        <v>-9.0379999999999999E-5</v>
      </c>
      <c r="BM464" s="2">
        <f t="shared" si="7"/>
        <v>3.1904164255560068E-7</v>
      </c>
    </row>
    <row r="465" spans="1:65" x14ac:dyDescent="0.35">
      <c r="A465">
        <v>0</v>
      </c>
      <c r="B465" t="s">
        <v>3</v>
      </c>
      <c r="C465" t="s">
        <v>4</v>
      </c>
      <c r="D465">
        <v>0</v>
      </c>
      <c r="E465" t="s">
        <v>3</v>
      </c>
      <c r="F465" t="s">
        <v>5</v>
      </c>
      <c r="G465">
        <v>4673.8602739999997</v>
      </c>
      <c r="H465" t="s">
        <v>4</v>
      </c>
      <c r="I465">
        <v>990.16341899999998</v>
      </c>
      <c r="J465">
        <v>3683.6968550000001</v>
      </c>
      <c r="K465" t="s">
        <v>6</v>
      </c>
      <c r="L465" t="s">
        <v>7</v>
      </c>
      <c r="M465" t="s">
        <v>8</v>
      </c>
      <c r="N465" t="s">
        <v>6</v>
      </c>
      <c r="O465" t="s">
        <v>3</v>
      </c>
      <c r="P465" t="s">
        <v>3</v>
      </c>
      <c r="Q465" t="s">
        <v>3</v>
      </c>
      <c r="R465" t="s">
        <v>3</v>
      </c>
      <c r="S465" t="s">
        <v>3</v>
      </c>
      <c r="T465" t="s">
        <v>7</v>
      </c>
      <c r="U465">
        <v>1</v>
      </c>
      <c r="V465">
        <v>1</v>
      </c>
      <c r="W465">
        <v>0</v>
      </c>
      <c r="X465">
        <v>0</v>
      </c>
      <c r="Y465">
        <v>0</v>
      </c>
      <c r="Z465" t="s">
        <v>29</v>
      </c>
      <c r="AA465" t="s">
        <v>4</v>
      </c>
      <c r="AB465" t="s">
        <v>6</v>
      </c>
      <c r="AC465" t="s">
        <v>7</v>
      </c>
      <c r="AD465" t="s">
        <v>8</v>
      </c>
      <c r="AE465" t="s">
        <v>6</v>
      </c>
      <c r="AF465" t="s">
        <v>3</v>
      </c>
      <c r="AG465" t="s">
        <v>3</v>
      </c>
      <c r="AH465" t="s">
        <v>3</v>
      </c>
      <c r="AI465" t="s">
        <v>3</v>
      </c>
      <c r="AJ465" t="s">
        <v>3</v>
      </c>
      <c r="AK465" t="s">
        <v>7</v>
      </c>
      <c r="AL465">
        <v>0</v>
      </c>
      <c r="AM465">
        <v>0</v>
      </c>
      <c r="AN465">
        <v>0</v>
      </c>
      <c r="AO465">
        <v>0</v>
      </c>
      <c r="AP465">
        <v>0</v>
      </c>
      <c r="AQ465" t="s">
        <v>9</v>
      </c>
      <c r="AR465" s="1">
        <v>3.2595385199999998E-4</v>
      </c>
      <c r="AS465" s="1">
        <v>1.0515072500000001E-24</v>
      </c>
      <c r="AT465">
        <v>20</v>
      </c>
      <c r="AU465" t="s">
        <v>10</v>
      </c>
      <c r="AV465">
        <v>1</v>
      </c>
      <c r="AW465">
        <v>1</v>
      </c>
      <c r="AX465">
        <v>0</v>
      </c>
      <c r="AY465">
        <v>0</v>
      </c>
      <c r="AZ465">
        <v>0</v>
      </c>
      <c r="BA465" t="s">
        <v>29</v>
      </c>
      <c r="BB465" t="s">
        <v>4</v>
      </c>
      <c r="BC465" t="s">
        <v>10</v>
      </c>
      <c r="BD465">
        <v>0</v>
      </c>
      <c r="BE465">
        <v>0</v>
      </c>
      <c r="BF465">
        <v>0</v>
      </c>
      <c r="BG465">
        <v>0</v>
      </c>
      <c r="BH465">
        <v>0</v>
      </c>
      <c r="BI465" t="s">
        <v>9</v>
      </c>
      <c r="BJ465">
        <v>2.1167000000000001E-4</v>
      </c>
      <c r="BK465">
        <v>0</v>
      </c>
      <c r="BL465">
        <v>-2.4788000000000002E-4</v>
      </c>
      <c r="BM465" s="2">
        <f t="shared" si="7"/>
        <v>6.3323247117208012E-6</v>
      </c>
    </row>
    <row r="466" spans="1:65" x14ac:dyDescent="0.35">
      <c r="A466">
        <v>0</v>
      </c>
      <c r="B466" t="s">
        <v>3</v>
      </c>
      <c r="C466" t="s">
        <v>4</v>
      </c>
      <c r="D466">
        <v>0</v>
      </c>
      <c r="E466" t="s">
        <v>3</v>
      </c>
      <c r="F466" t="s">
        <v>5</v>
      </c>
      <c r="G466">
        <v>4533.0979180000004</v>
      </c>
      <c r="H466" t="s">
        <v>4</v>
      </c>
      <c r="I466">
        <v>990.16341899999998</v>
      </c>
      <c r="J466">
        <v>3542.934499</v>
      </c>
      <c r="K466" t="s">
        <v>6</v>
      </c>
      <c r="L466" t="s">
        <v>7</v>
      </c>
      <c r="M466" t="s">
        <v>8</v>
      </c>
      <c r="N466" t="s">
        <v>6</v>
      </c>
      <c r="O466" t="s">
        <v>3</v>
      </c>
      <c r="P466" t="s">
        <v>3</v>
      </c>
      <c r="Q466" t="s">
        <v>3</v>
      </c>
      <c r="R466" t="s">
        <v>3</v>
      </c>
      <c r="S466" t="s">
        <v>3</v>
      </c>
      <c r="T466" t="s">
        <v>7</v>
      </c>
      <c r="U466">
        <v>1</v>
      </c>
      <c r="V466">
        <v>0</v>
      </c>
      <c r="W466">
        <v>0</v>
      </c>
      <c r="X466">
        <v>2</v>
      </c>
      <c r="Y466">
        <v>1</v>
      </c>
      <c r="Z466" t="s">
        <v>21</v>
      </c>
      <c r="AA466" t="s">
        <v>4</v>
      </c>
      <c r="AB466" t="s">
        <v>6</v>
      </c>
      <c r="AC466" t="s">
        <v>7</v>
      </c>
      <c r="AD466" t="s">
        <v>8</v>
      </c>
      <c r="AE466" t="s">
        <v>6</v>
      </c>
      <c r="AF466" t="s">
        <v>3</v>
      </c>
      <c r="AG466" t="s">
        <v>3</v>
      </c>
      <c r="AH466" t="s">
        <v>3</v>
      </c>
      <c r="AI466" t="s">
        <v>3</v>
      </c>
      <c r="AJ466" t="s">
        <v>3</v>
      </c>
      <c r="AK466" t="s">
        <v>7</v>
      </c>
      <c r="AL466">
        <v>0</v>
      </c>
      <c r="AM466">
        <v>0</v>
      </c>
      <c r="AN466">
        <v>0</v>
      </c>
      <c r="AO466">
        <v>0</v>
      </c>
      <c r="AP466">
        <v>0</v>
      </c>
      <c r="AQ466" t="s">
        <v>9</v>
      </c>
      <c r="AR466" s="1">
        <v>1.7993123000000001E-4</v>
      </c>
      <c r="AS466" s="1">
        <v>3.08171427E-25</v>
      </c>
      <c r="AT466">
        <v>19</v>
      </c>
      <c r="AU466" t="s">
        <v>10</v>
      </c>
      <c r="AV466">
        <v>1</v>
      </c>
      <c r="AW466">
        <v>0</v>
      </c>
      <c r="AX466">
        <v>0</v>
      </c>
      <c r="AY466">
        <v>2</v>
      </c>
      <c r="AZ466">
        <v>1</v>
      </c>
      <c r="BA466" t="s">
        <v>21</v>
      </c>
      <c r="BB466" t="s">
        <v>4</v>
      </c>
      <c r="BC466" t="s">
        <v>10</v>
      </c>
      <c r="BD466">
        <v>0</v>
      </c>
      <c r="BE466">
        <v>0</v>
      </c>
      <c r="BF466">
        <v>0</v>
      </c>
      <c r="BG466">
        <v>0</v>
      </c>
      <c r="BH466">
        <v>0</v>
      </c>
      <c r="BI466" t="s">
        <v>9</v>
      </c>
      <c r="BJ466">
        <v>1.5349999999999999E-4</v>
      </c>
      <c r="BK466">
        <v>0</v>
      </c>
      <c r="BL466">
        <v>-9.3880000000000002E-5</v>
      </c>
      <c r="BM466" s="2">
        <f t="shared" si="7"/>
        <v>1.8558517239309216E-6</v>
      </c>
    </row>
    <row r="467" spans="1:65" x14ac:dyDescent="0.35">
      <c r="A467">
        <v>0</v>
      </c>
      <c r="B467" t="s">
        <v>11</v>
      </c>
      <c r="C467" t="s">
        <v>4</v>
      </c>
      <c r="D467">
        <v>0</v>
      </c>
      <c r="E467" t="s">
        <v>3</v>
      </c>
      <c r="F467" t="s">
        <v>5</v>
      </c>
      <c r="G467">
        <v>2699.3240489999998</v>
      </c>
      <c r="H467" t="s">
        <v>4</v>
      </c>
      <c r="I467">
        <v>990.16341899999998</v>
      </c>
      <c r="J467">
        <v>1709.1606300000001</v>
      </c>
      <c r="K467" t="s">
        <v>6</v>
      </c>
      <c r="L467" t="s">
        <v>7</v>
      </c>
      <c r="M467" t="s">
        <v>8</v>
      </c>
      <c r="N467" t="s">
        <v>6</v>
      </c>
      <c r="O467" t="s">
        <v>3</v>
      </c>
      <c r="P467" t="s">
        <v>3</v>
      </c>
      <c r="Q467" t="s">
        <v>3</v>
      </c>
      <c r="R467" t="s">
        <v>3</v>
      </c>
      <c r="S467" t="s">
        <v>11</v>
      </c>
      <c r="T467" t="s">
        <v>7</v>
      </c>
      <c r="U467">
        <v>1</v>
      </c>
      <c r="V467">
        <v>0</v>
      </c>
      <c r="W467">
        <v>0</v>
      </c>
      <c r="X467">
        <v>1</v>
      </c>
      <c r="Y467">
        <v>0</v>
      </c>
      <c r="Z467" t="s">
        <v>14</v>
      </c>
      <c r="AA467" t="s">
        <v>4</v>
      </c>
      <c r="AB467" t="s">
        <v>6</v>
      </c>
      <c r="AC467" t="s">
        <v>7</v>
      </c>
      <c r="AD467" t="s">
        <v>8</v>
      </c>
      <c r="AE467" t="s">
        <v>6</v>
      </c>
      <c r="AF467" t="s">
        <v>3</v>
      </c>
      <c r="AG467" t="s">
        <v>3</v>
      </c>
      <c r="AH467" t="s">
        <v>3</v>
      </c>
      <c r="AI467" t="s">
        <v>3</v>
      </c>
      <c r="AJ467" t="s">
        <v>3</v>
      </c>
      <c r="AK467" t="s">
        <v>7</v>
      </c>
      <c r="AL467">
        <v>0</v>
      </c>
      <c r="AM467">
        <v>0</v>
      </c>
      <c r="AN467">
        <v>0</v>
      </c>
      <c r="AO467">
        <v>0</v>
      </c>
      <c r="AP467">
        <v>0</v>
      </c>
      <c r="AQ467" t="s">
        <v>9</v>
      </c>
      <c r="AR467" s="1">
        <v>9.1890670499999993E-5</v>
      </c>
      <c r="AS467" s="1">
        <v>3.8764003900000002E-26</v>
      </c>
      <c r="AT467">
        <v>19</v>
      </c>
      <c r="AU467" t="s">
        <v>10</v>
      </c>
      <c r="AV467">
        <v>1</v>
      </c>
      <c r="AW467">
        <v>0</v>
      </c>
      <c r="AX467">
        <v>0</v>
      </c>
      <c r="AY467">
        <v>1</v>
      </c>
      <c r="AZ467">
        <v>0</v>
      </c>
      <c r="BA467" t="s">
        <v>14</v>
      </c>
      <c r="BB467" t="s">
        <v>4</v>
      </c>
      <c r="BC467" t="s">
        <v>10</v>
      </c>
      <c r="BD467">
        <v>0</v>
      </c>
      <c r="BE467">
        <v>0</v>
      </c>
      <c r="BF467">
        <v>0</v>
      </c>
      <c r="BG467">
        <v>0</v>
      </c>
      <c r="BH467">
        <v>0</v>
      </c>
      <c r="BI467" t="s">
        <v>9</v>
      </c>
      <c r="BJ467">
        <v>0</v>
      </c>
      <c r="BK467">
        <v>-9.1890000000000003E-5</v>
      </c>
      <c r="BL467">
        <v>0</v>
      </c>
      <c r="BM467" s="2">
        <f t="shared" si="7"/>
        <v>2.3344228945754914E-7</v>
      </c>
    </row>
    <row r="468" spans="1:65" x14ac:dyDescent="0.35">
      <c r="A468">
        <v>0</v>
      </c>
      <c r="B468" t="s">
        <v>11</v>
      </c>
      <c r="C468" t="s">
        <v>4</v>
      </c>
      <c r="D468">
        <v>0</v>
      </c>
      <c r="E468" t="s">
        <v>3</v>
      </c>
      <c r="F468" t="s">
        <v>5</v>
      </c>
      <c r="G468">
        <v>4037.42758</v>
      </c>
      <c r="H468" t="s">
        <v>4</v>
      </c>
      <c r="I468">
        <v>990.16341899999998</v>
      </c>
      <c r="J468">
        <v>3047.2641610000001</v>
      </c>
      <c r="K468" t="s">
        <v>6</v>
      </c>
      <c r="L468" t="s">
        <v>7</v>
      </c>
      <c r="M468" t="s">
        <v>8</v>
      </c>
      <c r="N468" t="s">
        <v>6</v>
      </c>
      <c r="O468" t="s">
        <v>3</v>
      </c>
      <c r="P468" t="s">
        <v>3</v>
      </c>
      <c r="Q468" t="s">
        <v>3</v>
      </c>
      <c r="R468" t="s">
        <v>3</v>
      </c>
      <c r="S468" t="s">
        <v>11</v>
      </c>
      <c r="T468" t="s">
        <v>7</v>
      </c>
      <c r="U468">
        <v>0</v>
      </c>
      <c r="V468">
        <v>1</v>
      </c>
      <c r="W468">
        <v>0</v>
      </c>
      <c r="X468">
        <v>3</v>
      </c>
      <c r="Y468">
        <v>0</v>
      </c>
      <c r="Z468" t="s">
        <v>13</v>
      </c>
      <c r="AA468" t="s">
        <v>4</v>
      </c>
      <c r="AB468" t="s">
        <v>6</v>
      </c>
      <c r="AC468" t="s">
        <v>7</v>
      </c>
      <c r="AD468" t="s">
        <v>8</v>
      </c>
      <c r="AE468" t="s">
        <v>6</v>
      </c>
      <c r="AF468" t="s">
        <v>3</v>
      </c>
      <c r="AG468" t="s">
        <v>3</v>
      </c>
      <c r="AH468" t="s">
        <v>3</v>
      </c>
      <c r="AI468" t="s">
        <v>3</v>
      </c>
      <c r="AJ468" t="s">
        <v>3</v>
      </c>
      <c r="AK468" t="s">
        <v>7</v>
      </c>
      <c r="AL468">
        <v>0</v>
      </c>
      <c r="AM468">
        <v>0</v>
      </c>
      <c r="AN468">
        <v>0</v>
      </c>
      <c r="AO468">
        <v>0</v>
      </c>
      <c r="AP468">
        <v>0</v>
      </c>
      <c r="AQ468" t="s">
        <v>9</v>
      </c>
      <c r="AR468" s="1">
        <v>1.4879390299999999E-5</v>
      </c>
      <c r="AS468" s="1">
        <v>1.8125765799999999E-27</v>
      </c>
      <c r="AT468">
        <v>20</v>
      </c>
      <c r="AU468" t="s">
        <v>10</v>
      </c>
      <c r="AV468">
        <v>0</v>
      </c>
      <c r="AW468">
        <v>1</v>
      </c>
      <c r="AX468">
        <v>0</v>
      </c>
      <c r="AY468">
        <v>3</v>
      </c>
      <c r="AZ468">
        <v>0</v>
      </c>
      <c r="BA468" t="s">
        <v>13</v>
      </c>
      <c r="BB468" t="s">
        <v>4</v>
      </c>
      <c r="BC468" t="s">
        <v>10</v>
      </c>
      <c r="BD468">
        <v>0</v>
      </c>
      <c r="BE468">
        <v>0</v>
      </c>
      <c r="BF468">
        <v>0</v>
      </c>
      <c r="BG468">
        <v>0</v>
      </c>
      <c r="BH468">
        <v>0</v>
      </c>
      <c r="BI468" t="s">
        <v>9</v>
      </c>
      <c r="BJ468">
        <v>0</v>
      </c>
      <c r="BK468">
        <v>-1.488E-5</v>
      </c>
      <c r="BL468">
        <v>0</v>
      </c>
      <c r="BM468" s="2">
        <f t="shared" si="7"/>
        <v>1.0915591375542463E-8</v>
      </c>
    </row>
    <row r="469" spans="1:65" x14ac:dyDescent="0.35">
      <c r="A469">
        <v>0</v>
      </c>
      <c r="B469" t="s">
        <v>3</v>
      </c>
      <c r="C469" t="s">
        <v>4</v>
      </c>
      <c r="D469">
        <v>0</v>
      </c>
      <c r="E469" t="s">
        <v>3</v>
      </c>
      <c r="F469" t="s">
        <v>5</v>
      </c>
      <c r="G469">
        <v>4431.4956709999997</v>
      </c>
      <c r="H469" t="s">
        <v>4</v>
      </c>
      <c r="I469">
        <v>990.16341899999998</v>
      </c>
      <c r="J469">
        <v>3441.3322520000002</v>
      </c>
      <c r="K469" t="s">
        <v>6</v>
      </c>
      <c r="L469" t="s">
        <v>7</v>
      </c>
      <c r="M469" t="s">
        <v>8</v>
      </c>
      <c r="N469" t="s">
        <v>6</v>
      </c>
      <c r="O469" t="s">
        <v>3</v>
      </c>
      <c r="P469" t="s">
        <v>3</v>
      </c>
      <c r="Q469" t="s">
        <v>3</v>
      </c>
      <c r="R469" t="s">
        <v>3</v>
      </c>
      <c r="S469" t="s">
        <v>3</v>
      </c>
      <c r="T469" t="s">
        <v>7</v>
      </c>
      <c r="U469">
        <v>1</v>
      </c>
      <c r="V469">
        <v>0</v>
      </c>
      <c r="W469">
        <v>1</v>
      </c>
      <c r="X469">
        <v>0</v>
      </c>
      <c r="Y469">
        <v>0</v>
      </c>
      <c r="Z469" t="s">
        <v>8</v>
      </c>
      <c r="AA469" t="s">
        <v>4</v>
      </c>
      <c r="AB469" t="s">
        <v>6</v>
      </c>
      <c r="AC469" t="s">
        <v>7</v>
      </c>
      <c r="AD469" t="s">
        <v>8</v>
      </c>
      <c r="AE469" t="s">
        <v>6</v>
      </c>
      <c r="AF469" t="s">
        <v>3</v>
      </c>
      <c r="AG469" t="s">
        <v>3</v>
      </c>
      <c r="AH469" t="s">
        <v>3</v>
      </c>
      <c r="AI469" t="s">
        <v>3</v>
      </c>
      <c r="AJ469" t="s">
        <v>3</v>
      </c>
      <c r="AK469" t="s">
        <v>7</v>
      </c>
      <c r="AL469">
        <v>0</v>
      </c>
      <c r="AM469">
        <v>0</v>
      </c>
      <c r="AN469">
        <v>0</v>
      </c>
      <c r="AO469">
        <v>0</v>
      </c>
      <c r="AP469">
        <v>0</v>
      </c>
      <c r="AQ469" t="s">
        <v>9</v>
      </c>
      <c r="AR469" s="1">
        <v>1.5627400999999999E-4</v>
      </c>
      <c r="AS469" s="1">
        <v>2.2579600700000002E-25</v>
      </c>
      <c r="AT469">
        <v>6</v>
      </c>
      <c r="AU469" t="s">
        <v>10</v>
      </c>
      <c r="AV469">
        <v>1</v>
      </c>
      <c r="AW469">
        <v>0</v>
      </c>
      <c r="AX469">
        <v>1</v>
      </c>
      <c r="AY469">
        <v>0</v>
      </c>
      <c r="AZ469">
        <v>0</v>
      </c>
      <c r="BA469" t="s">
        <v>8</v>
      </c>
      <c r="BB469" t="s">
        <v>4</v>
      </c>
      <c r="BC469" t="s">
        <v>10</v>
      </c>
      <c r="BD469">
        <v>0</v>
      </c>
      <c r="BE469">
        <v>0</v>
      </c>
      <c r="BF469">
        <v>0</v>
      </c>
      <c r="BG469">
        <v>0</v>
      </c>
      <c r="BH469">
        <v>0</v>
      </c>
      <c r="BI469" t="s">
        <v>9</v>
      </c>
      <c r="BJ469">
        <v>1.5595E-4</v>
      </c>
      <c r="BK469">
        <v>0</v>
      </c>
      <c r="BL469">
        <v>1.007E-5</v>
      </c>
      <c r="BM469" s="2">
        <f t="shared" si="7"/>
        <v>1.3597753462317857E-6</v>
      </c>
    </row>
    <row r="470" spans="1:65" x14ac:dyDescent="0.35">
      <c r="A470">
        <v>0</v>
      </c>
      <c r="B470" t="s">
        <v>3</v>
      </c>
      <c r="C470" t="s">
        <v>4</v>
      </c>
      <c r="D470">
        <v>0</v>
      </c>
      <c r="E470" t="s">
        <v>3</v>
      </c>
      <c r="F470" t="s">
        <v>5</v>
      </c>
      <c r="G470">
        <v>3715.073371</v>
      </c>
      <c r="H470" t="s">
        <v>4</v>
      </c>
      <c r="I470">
        <v>990.16341899999998</v>
      </c>
      <c r="J470">
        <v>2724.909952</v>
      </c>
      <c r="K470" t="s">
        <v>6</v>
      </c>
      <c r="L470" t="s">
        <v>7</v>
      </c>
      <c r="M470" t="s">
        <v>8</v>
      </c>
      <c r="N470" t="s">
        <v>6</v>
      </c>
      <c r="O470" t="s">
        <v>3</v>
      </c>
      <c r="P470" t="s">
        <v>3</v>
      </c>
      <c r="Q470" t="s">
        <v>3</v>
      </c>
      <c r="R470" t="s">
        <v>3</v>
      </c>
      <c r="S470" t="s">
        <v>3</v>
      </c>
      <c r="T470" t="s">
        <v>7</v>
      </c>
      <c r="U470">
        <v>1</v>
      </c>
      <c r="V470">
        <v>0</v>
      </c>
      <c r="W470">
        <v>0</v>
      </c>
      <c r="X470">
        <v>2</v>
      </c>
      <c r="Y470">
        <v>1</v>
      </c>
      <c r="Z470" t="s">
        <v>15</v>
      </c>
      <c r="AA470" t="s">
        <v>4</v>
      </c>
      <c r="AB470" t="s">
        <v>6</v>
      </c>
      <c r="AC470" t="s">
        <v>7</v>
      </c>
      <c r="AD470" t="s">
        <v>8</v>
      </c>
      <c r="AE470" t="s">
        <v>6</v>
      </c>
      <c r="AF470" t="s">
        <v>3</v>
      </c>
      <c r="AG470" t="s">
        <v>3</v>
      </c>
      <c r="AH470" t="s">
        <v>3</v>
      </c>
      <c r="AI470" t="s">
        <v>3</v>
      </c>
      <c r="AJ470" t="s">
        <v>3</v>
      </c>
      <c r="AK470" t="s">
        <v>7</v>
      </c>
      <c r="AL470">
        <v>0</v>
      </c>
      <c r="AM470">
        <v>0</v>
      </c>
      <c r="AN470">
        <v>0</v>
      </c>
      <c r="AO470">
        <v>0</v>
      </c>
      <c r="AP470">
        <v>0</v>
      </c>
      <c r="AQ470" t="s">
        <v>9</v>
      </c>
      <c r="AR470" s="1">
        <v>1.9848105099999999E-5</v>
      </c>
      <c r="AS470" s="1">
        <v>2.8840685700000002E-27</v>
      </c>
      <c r="AT470">
        <v>23</v>
      </c>
      <c r="AU470" t="s">
        <v>10</v>
      </c>
      <c r="AV470">
        <v>1</v>
      </c>
      <c r="AW470">
        <v>0</v>
      </c>
      <c r="AX470">
        <v>0</v>
      </c>
      <c r="AY470">
        <v>2</v>
      </c>
      <c r="AZ470">
        <v>1</v>
      </c>
      <c r="BA470" t="s">
        <v>15</v>
      </c>
      <c r="BB470" t="s">
        <v>4</v>
      </c>
      <c r="BC470" t="s">
        <v>10</v>
      </c>
      <c r="BD470">
        <v>0</v>
      </c>
      <c r="BE470">
        <v>0</v>
      </c>
      <c r="BF470">
        <v>0</v>
      </c>
      <c r="BG470">
        <v>0</v>
      </c>
      <c r="BH470">
        <v>0</v>
      </c>
      <c r="BI470" t="s">
        <v>9</v>
      </c>
      <c r="BJ470">
        <v>-1.982E-5</v>
      </c>
      <c r="BK470">
        <v>0</v>
      </c>
      <c r="BL470">
        <v>-1.06E-6</v>
      </c>
      <c r="BM470" s="2">
        <f t="shared" si="7"/>
        <v>1.7368267005394656E-8</v>
      </c>
    </row>
    <row r="471" spans="1:65" x14ac:dyDescent="0.35">
      <c r="A471">
        <v>0</v>
      </c>
      <c r="B471" t="s">
        <v>11</v>
      </c>
      <c r="C471" t="s">
        <v>4</v>
      </c>
      <c r="D471">
        <v>0</v>
      </c>
      <c r="E471" t="s">
        <v>3</v>
      </c>
      <c r="F471" t="s">
        <v>5</v>
      </c>
      <c r="G471">
        <v>4797.4421009999996</v>
      </c>
      <c r="H471" t="s">
        <v>4</v>
      </c>
      <c r="I471">
        <v>990.16341899999998</v>
      </c>
      <c r="J471">
        <v>3807.2786820000001</v>
      </c>
      <c r="K471" t="s">
        <v>6</v>
      </c>
      <c r="L471" t="s">
        <v>7</v>
      </c>
      <c r="M471" t="s">
        <v>8</v>
      </c>
      <c r="N471" t="s">
        <v>6</v>
      </c>
      <c r="O471" t="s">
        <v>3</v>
      </c>
      <c r="P471" t="s">
        <v>3</v>
      </c>
      <c r="Q471" t="s">
        <v>3</v>
      </c>
      <c r="R471" t="s">
        <v>3</v>
      </c>
      <c r="S471" t="s">
        <v>11</v>
      </c>
      <c r="T471" t="s">
        <v>7</v>
      </c>
      <c r="U471">
        <v>0</v>
      </c>
      <c r="V471">
        <v>1</v>
      </c>
      <c r="W471">
        <v>0</v>
      </c>
      <c r="X471">
        <v>6</v>
      </c>
      <c r="Y471">
        <v>1</v>
      </c>
      <c r="Z471" t="s">
        <v>18</v>
      </c>
      <c r="AA471" t="s">
        <v>4</v>
      </c>
      <c r="AB471" t="s">
        <v>6</v>
      </c>
      <c r="AC471" t="s">
        <v>7</v>
      </c>
      <c r="AD471" t="s">
        <v>8</v>
      </c>
      <c r="AE471" t="s">
        <v>6</v>
      </c>
      <c r="AF471" t="s">
        <v>3</v>
      </c>
      <c r="AG471" t="s">
        <v>3</v>
      </c>
      <c r="AH471" t="s">
        <v>3</v>
      </c>
      <c r="AI471" t="s">
        <v>3</v>
      </c>
      <c r="AJ471" t="s">
        <v>3</v>
      </c>
      <c r="AK471" t="s">
        <v>7</v>
      </c>
      <c r="AL471">
        <v>0</v>
      </c>
      <c r="AM471">
        <v>0</v>
      </c>
      <c r="AN471">
        <v>0</v>
      </c>
      <c r="AO471">
        <v>0</v>
      </c>
      <c r="AP471">
        <v>0</v>
      </c>
      <c r="AQ471" t="s">
        <v>9</v>
      </c>
      <c r="AR471" s="1">
        <v>8.8508495299999999E-6</v>
      </c>
      <c r="AS471" s="1">
        <v>8.01310329E-28</v>
      </c>
      <c r="AT471">
        <v>21</v>
      </c>
      <c r="AU471" t="s">
        <v>10</v>
      </c>
      <c r="AV471">
        <v>0</v>
      </c>
      <c r="AW471">
        <v>1</v>
      </c>
      <c r="AX471">
        <v>0</v>
      </c>
      <c r="AY471">
        <v>6</v>
      </c>
      <c r="AZ471">
        <v>1</v>
      </c>
      <c r="BA471" t="s">
        <v>18</v>
      </c>
      <c r="BB471" t="s">
        <v>4</v>
      </c>
      <c r="BC471" t="s">
        <v>10</v>
      </c>
      <c r="BD471">
        <v>0</v>
      </c>
      <c r="BE471">
        <v>0</v>
      </c>
      <c r="BF471">
        <v>0</v>
      </c>
      <c r="BG471">
        <v>0</v>
      </c>
      <c r="BH471">
        <v>0</v>
      </c>
      <c r="BI471" t="s">
        <v>9</v>
      </c>
      <c r="BJ471">
        <v>0</v>
      </c>
      <c r="BK471">
        <v>-8.85E-6</v>
      </c>
      <c r="BL471">
        <v>0</v>
      </c>
      <c r="BM471" s="2">
        <f t="shared" si="7"/>
        <v>4.8256036257323231E-9</v>
      </c>
    </row>
    <row r="472" spans="1:65" x14ac:dyDescent="0.35">
      <c r="A472">
        <v>0</v>
      </c>
      <c r="B472" t="s">
        <v>3</v>
      </c>
      <c r="C472" t="s">
        <v>4</v>
      </c>
      <c r="D472">
        <v>0</v>
      </c>
      <c r="E472" t="s">
        <v>3</v>
      </c>
      <c r="F472" t="s">
        <v>5</v>
      </c>
      <c r="G472">
        <v>4319.5293620000002</v>
      </c>
      <c r="H472" t="s">
        <v>4</v>
      </c>
      <c r="I472">
        <v>990.16341899999998</v>
      </c>
      <c r="J472">
        <v>3329.3659429999998</v>
      </c>
      <c r="K472" t="s">
        <v>6</v>
      </c>
      <c r="L472" t="s">
        <v>7</v>
      </c>
      <c r="M472" t="s">
        <v>8</v>
      </c>
      <c r="N472" t="s">
        <v>6</v>
      </c>
      <c r="O472" t="s">
        <v>3</v>
      </c>
      <c r="P472" t="s">
        <v>3</v>
      </c>
      <c r="Q472" t="s">
        <v>3</v>
      </c>
      <c r="R472" t="s">
        <v>3</v>
      </c>
      <c r="S472" t="s">
        <v>3</v>
      </c>
      <c r="T472" t="s">
        <v>7</v>
      </c>
      <c r="U472">
        <v>1</v>
      </c>
      <c r="V472">
        <v>0</v>
      </c>
      <c r="W472">
        <v>0</v>
      </c>
      <c r="X472">
        <v>1</v>
      </c>
      <c r="Y472">
        <v>1</v>
      </c>
      <c r="Z472" t="s">
        <v>24</v>
      </c>
      <c r="AA472" t="s">
        <v>4</v>
      </c>
      <c r="AB472" t="s">
        <v>6</v>
      </c>
      <c r="AC472" t="s">
        <v>7</v>
      </c>
      <c r="AD472" t="s">
        <v>8</v>
      </c>
      <c r="AE472" t="s">
        <v>6</v>
      </c>
      <c r="AF472" t="s">
        <v>3</v>
      </c>
      <c r="AG472" t="s">
        <v>3</v>
      </c>
      <c r="AH472" t="s">
        <v>3</v>
      </c>
      <c r="AI472" t="s">
        <v>3</v>
      </c>
      <c r="AJ472" t="s">
        <v>3</v>
      </c>
      <c r="AK472" t="s">
        <v>7</v>
      </c>
      <c r="AL472">
        <v>0</v>
      </c>
      <c r="AM472">
        <v>0</v>
      </c>
      <c r="AN472">
        <v>0</v>
      </c>
      <c r="AO472">
        <v>0</v>
      </c>
      <c r="AP472">
        <v>0</v>
      </c>
      <c r="AQ472" t="s">
        <v>9</v>
      </c>
      <c r="AR472" s="1">
        <v>3.0436628099999999E-4</v>
      </c>
      <c r="AS472" s="1">
        <v>8.2864921700000005E-25</v>
      </c>
      <c r="AT472">
        <v>20</v>
      </c>
      <c r="AU472" t="s">
        <v>10</v>
      </c>
      <c r="AV472">
        <v>1</v>
      </c>
      <c r="AW472">
        <v>0</v>
      </c>
      <c r="AX472">
        <v>0</v>
      </c>
      <c r="AY472">
        <v>1</v>
      </c>
      <c r="AZ472">
        <v>1</v>
      </c>
      <c r="BA472" t="s">
        <v>24</v>
      </c>
      <c r="BB472" t="s">
        <v>4</v>
      </c>
      <c r="BC472" t="s">
        <v>10</v>
      </c>
      <c r="BD472">
        <v>0</v>
      </c>
      <c r="BE472">
        <v>0</v>
      </c>
      <c r="BF472">
        <v>0</v>
      </c>
      <c r="BG472">
        <v>0</v>
      </c>
      <c r="BH472">
        <v>0</v>
      </c>
      <c r="BI472" t="s">
        <v>9</v>
      </c>
      <c r="BJ472">
        <v>2.989E-4</v>
      </c>
      <c r="BK472">
        <v>0</v>
      </c>
      <c r="BL472">
        <v>-5.7410000000000001E-5</v>
      </c>
      <c r="BM472" s="2">
        <f t="shared" si="7"/>
        <v>4.9902422585837538E-6</v>
      </c>
    </row>
    <row r="473" spans="1:65" x14ac:dyDescent="0.35">
      <c r="A473">
        <v>0</v>
      </c>
      <c r="B473" t="s">
        <v>11</v>
      </c>
      <c r="C473" t="s">
        <v>4</v>
      </c>
      <c r="D473">
        <v>0</v>
      </c>
      <c r="E473" t="s">
        <v>3</v>
      </c>
      <c r="F473" t="s">
        <v>5</v>
      </c>
      <c r="G473">
        <v>4148.0119329999998</v>
      </c>
      <c r="H473" t="s">
        <v>4</v>
      </c>
      <c r="I473">
        <v>990.16341899999998</v>
      </c>
      <c r="J473">
        <v>3157.8485139999998</v>
      </c>
      <c r="K473" t="s">
        <v>6</v>
      </c>
      <c r="L473" t="s">
        <v>7</v>
      </c>
      <c r="M473" t="s">
        <v>8</v>
      </c>
      <c r="N473" t="s">
        <v>6</v>
      </c>
      <c r="O473" t="s">
        <v>3</v>
      </c>
      <c r="P473" t="s">
        <v>3</v>
      </c>
      <c r="Q473" t="s">
        <v>3</v>
      </c>
      <c r="R473" t="s">
        <v>3</v>
      </c>
      <c r="S473" t="s">
        <v>11</v>
      </c>
      <c r="T473" t="s">
        <v>7</v>
      </c>
      <c r="U473">
        <v>0</v>
      </c>
      <c r="V473">
        <v>0</v>
      </c>
      <c r="W473">
        <v>0</v>
      </c>
      <c r="X473">
        <v>1</v>
      </c>
      <c r="Y473">
        <v>0</v>
      </c>
      <c r="Z473" t="s">
        <v>28</v>
      </c>
      <c r="AA473" t="s">
        <v>4</v>
      </c>
      <c r="AB473" t="s">
        <v>6</v>
      </c>
      <c r="AC473" t="s">
        <v>7</v>
      </c>
      <c r="AD473" t="s">
        <v>8</v>
      </c>
      <c r="AE473" t="s">
        <v>6</v>
      </c>
      <c r="AF473" t="s">
        <v>3</v>
      </c>
      <c r="AG473" t="s">
        <v>3</v>
      </c>
      <c r="AH473" t="s">
        <v>3</v>
      </c>
      <c r="AI473" t="s">
        <v>3</v>
      </c>
      <c r="AJ473" t="s">
        <v>3</v>
      </c>
      <c r="AK473" t="s">
        <v>7</v>
      </c>
      <c r="AL473">
        <v>0</v>
      </c>
      <c r="AM473">
        <v>0</v>
      </c>
      <c r="AN473">
        <v>0</v>
      </c>
      <c r="AO473">
        <v>0</v>
      </c>
      <c r="AP473">
        <v>0</v>
      </c>
      <c r="AQ473" t="s">
        <v>9</v>
      </c>
      <c r="AR473" s="1">
        <v>1.00822362E-5</v>
      </c>
      <c r="AS473" s="1">
        <v>8.6242450299999996E-28</v>
      </c>
      <c r="AT473">
        <v>23</v>
      </c>
      <c r="AU473" t="s">
        <v>10</v>
      </c>
      <c r="AV473">
        <v>0</v>
      </c>
      <c r="AW473">
        <v>0</v>
      </c>
      <c r="AX473">
        <v>0</v>
      </c>
      <c r="AY473">
        <v>1</v>
      </c>
      <c r="AZ473">
        <v>0</v>
      </c>
      <c r="BA473" t="s">
        <v>28</v>
      </c>
      <c r="BB473" t="s">
        <v>4</v>
      </c>
      <c r="BC473" t="s">
        <v>10</v>
      </c>
      <c r="BD473">
        <v>0</v>
      </c>
      <c r="BE473">
        <v>0</v>
      </c>
      <c r="BF473">
        <v>0</v>
      </c>
      <c r="BG473">
        <v>0</v>
      </c>
      <c r="BH473">
        <v>0</v>
      </c>
      <c r="BI473" t="s">
        <v>9</v>
      </c>
      <c r="BJ473">
        <v>0</v>
      </c>
      <c r="BK473">
        <v>1.008E-5</v>
      </c>
      <c r="BL473">
        <v>0</v>
      </c>
      <c r="BM473" s="2">
        <f t="shared" si="7"/>
        <v>5.1936417864360214E-9</v>
      </c>
    </row>
    <row r="474" spans="1:65" x14ac:dyDescent="0.35">
      <c r="A474">
        <v>0</v>
      </c>
      <c r="B474" t="s">
        <v>11</v>
      </c>
      <c r="C474" t="s">
        <v>4</v>
      </c>
      <c r="D474">
        <v>0</v>
      </c>
      <c r="E474" t="s">
        <v>3</v>
      </c>
      <c r="F474" t="s">
        <v>5</v>
      </c>
      <c r="G474">
        <v>4744.3781820000004</v>
      </c>
      <c r="H474" t="s">
        <v>4</v>
      </c>
      <c r="I474">
        <v>990.16341899999998</v>
      </c>
      <c r="J474">
        <v>3754.2147629999999</v>
      </c>
      <c r="K474" t="s">
        <v>6</v>
      </c>
      <c r="L474" t="s">
        <v>7</v>
      </c>
      <c r="M474" t="s">
        <v>8</v>
      </c>
      <c r="N474" t="s">
        <v>6</v>
      </c>
      <c r="O474" t="s">
        <v>3</v>
      </c>
      <c r="P474" t="s">
        <v>3</v>
      </c>
      <c r="Q474" t="s">
        <v>3</v>
      </c>
      <c r="R474" t="s">
        <v>3</v>
      </c>
      <c r="S474" t="s">
        <v>11</v>
      </c>
      <c r="T474" t="s">
        <v>7</v>
      </c>
      <c r="U474">
        <v>0</v>
      </c>
      <c r="V474">
        <v>1</v>
      </c>
      <c r="W474">
        <v>0</v>
      </c>
      <c r="X474">
        <v>1</v>
      </c>
      <c r="Y474">
        <v>0</v>
      </c>
      <c r="Z474" t="s">
        <v>16</v>
      </c>
      <c r="AA474" t="s">
        <v>4</v>
      </c>
      <c r="AB474" t="s">
        <v>6</v>
      </c>
      <c r="AC474" t="s">
        <v>7</v>
      </c>
      <c r="AD474" t="s">
        <v>8</v>
      </c>
      <c r="AE474" t="s">
        <v>6</v>
      </c>
      <c r="AF474" t="s">
        <v>3</v>
      </c>
      <c r="AG474" t="s">
        <v>3</v>
      </c>
      <c r="AH474" t="s">
        <v>3</v>
      </c>
      <c r="AI474" t="s">
        <v>3</v>
      </c>
      <c r="AJ474" t="s">
        <v>3</v>
      </c>
      <c r="AK474" t="s">
        <v>7</v>
      </c>
      <c r="AL474">
        <v>0</v>
      </c>
      <c r="AM474">
        <v>0</v>
      </c>
      <c r="AN474">
        <v>0</v>
      </c>
      <c r="AO474">
        <v>0</v>
      </c>
      <c r="AP474">
        <v>0</v>
      </c>
      <c r="AQ474" t="s">
        <v>9</v>
      </c>
      <c r="AR474" s="1">
        <v>1.5604664899999999E-5</v>
      </c>
      <c r="AS474" s="1">
        <v>2.45608938E-27</v>
      </c>
      <c r="AT474">
        <v>20</v>
      </c>
      <c r="AU474" t="s">
        <v>10</v>
      </c>
      <c r="AV474">
        <v>0</v>
      </c>
      <c r="AW474">
        <v>1</v>
      </c>
      <c r="AX474">
        <v>0</v>
      </c>
      <c r="AY474">
        <v>1</v>
      </c>
      <c r="AZ474">
        <v>0</v>
      </c>
      <c r="BA474" t="s">
        <v>16</v>
      </c>
      <c r="BB474" t="s">
        <v>4</v>
      </c>
      <c r="BC474" t="s">
        <v>10</v>
      </c>
      <c r="BD474">
        <v>0</v>
      </c>
      <c r="BE474">
        <v>0</v>
      </c>
      <c r="BF474">
        <v>0</v>
      </c>
      <c r="BG474">
        <v>0</v>
      </c>
      <c r="BH474">
        <v>0</v>
      </c>
      <c r="BI474" t="s">
        <v>9</v>
      </c>
      <c r="BJ474">
        <v>0</v>
      </c>
      <c r="BK474">
        <v>-1.56E-5</v>
      </c>
      <c r="BL474">
        <v>0</v>
      </c>
      <c r="BM474" s="2">
        <f t="shared" si="7"/>
        <v>1.4790916063744703E-8</v>
      </c>
    </row>
    <row r="475" spans="1:65" x14ac:dyDescent="0.35">
      <c r="A475">
        <v>0</v>
      </c>
      <c r="B475" t="s">
        <v>3</v>
      </c>
      <c r="C475" t="s">
        <v>4</v>
      </c>
      <c r="D475">
        <v>0</v>
      </c>
      <c r="E475" t="s">
        <v>3</v>
      </c>
      <c r="F475" t="s">
        <v>5</v>
      </c>
      <c r="G475">
        <v>4234.4866350000002</v>
      </c>
      <c r="H475" t="s">
        <v>4</v>
      </c>
      <c r="I475">
        <v>990.16341899999998</v>
      </c>
      <c r="J475">
        <v>3244.3232159999998</v>
      </c>
      <c r="K475" t="s">
        <v>6</v>
      </c>
      <c r="L475" t="s">
        <v>7</v>
      </c>
      <c r="M475" t="s">
        <v>8</v>
      </c>
      <c r="N475" t="s">
        <v>6</v>
      </c>
      <c r="O475" t="s">
        <v>3</v>
      </c>
      <c r="P475" t="s">
        <v>3</v>
      </c>
      <c r="Q475" t="s">
        <v>3</v>
      </c>
      <c r="R475" t="s">
        <v>3</v>
      </c>
      <c r="S475" t="s">
        <v>3</v>
      </c>
      <c r="T475" t="s">
        <v>7</v>
      </c>
      <c r="U475">
        <v>1</v>
      </c>
      <c r="V475">
        <v>0</v>
      </c>
      <c r="W475">
        <v>0</v>
      </c>
      <c r="X475">
        <v>2</v>
      </c>
      <c r="Y475">
        <v>0</v>
      </c>
      <c r="Z475" t="s">
        <v>29</v>
      </c>
      <c r="AA475" t="s">
        <v>4</v>
      </c>
      <c r="AB475" t="s">
        <v>6</v>
      </c>
      <c r="AC475" t="s">
        <v>7</v>
      </c>
      <c r="AD475" t="s">
        <v>8</v>
      </c>
      <c r="AE475" t="s">
        <v>6</v>
      </c>
      <c r="AF475" t="s">
        <v>3</v>
      </c>
      <c r="AG475" t="s">
        <v>3</v>
      </c>
      <c r="AH475" t="s">
        <v>3</v>
      </c>
      <c r="AI475" t="s">
        <v>3</v>
      </c>
      <c r="AJ475" t="s">
        <v>3</v>
      </c>
      <c r="AK475" t="s">
        <v>7</v>
      </c>
      <c r="AL475">
        <v>0</v>
      </c>
      <c r="AM475">
        <v>0</v>
      </c>
      <c r="AN475">
        <v>0</v>
      </c>
      <c r="AO475">
        <v>0</v>
      </c>
      <c r="AP475">
        <v>0</v>
      </c>
      <c r="AQ475" t="s">
        <v>9</v>
      </c>
      <c r="AR475" s="1">
        <v>7.4768013900000003E-6</v>
      </c>
      <c r="AS475" s="1">
        <v>4.8727249500000004E-28</v>
      </c>
      <c r="AT475">
        <v>20</v>
      </c>
      <c r="AU475" t="s">
        <v>10</v>
      </c>
      <c r="AV475">
        <v>1</v>
      </c>
      <c r="AW475">
        <v>0</v>
      </c>
      <c r="AX475">
        <v>0</v>
      </c>
      <c r="AY475">
        <v>2</v>
      </c>
      <c r="AZ475">
        <v>0</v>
      </c>
      <c r="BA475" t="s">
        <v>29</v>
      </c>
      <c r="BB475" t="s">
        <v>4</v>
      </c>
      <c r="BC475" t="s">
        <v>10</v>
      </c>
      <c r="BD475">
        <v>0</v>
      </c>
      <c r="BE475">
        <v>0</v>
      </c>
      <c r="BF475">
        <v>0</v>
      </c>
      <c r="BG475">
        <v>0</v>
      </c>
      <c r="BH475">
        <v>0</v>
      </c>
      <c r="BI475" t="s">
        <v>9</v>
      </c>
      <c r="BJ475">
        <v>9.9999999999999995E-8</v>
      </c>
      <c r="BK475">
        <v>0</v>
      </c>
      <c r="BL475">
        <v>-7.4800000000000004E-6</v>
      </c>
      <c r="BM475" s="2">
        <f t="shared" si="7"/>
        <v>2.9344235728572964E-9</v>
      </c>
    </row>
    <row r="476" spans="1:65" x14ac:dyDescent="0.35">
      <c r="A476">
        <v>0</v>
      </c>
      <c r="B476" t="s">
        <v>3</v>
      </c>
      <c r="C476" t="s">
        <v>4</v>
      </c>
      <c r="D476">
        <v>0</v>
      </c>
      <c r="E476" t="s">
        <v>3</v>
      </c>
      <c r="F476" t="s">
        <v>5</v>
      </c>
      <c r="G476">
        <v>4615.483999</v>
      </c>
      <c r="H476" t="s">
        <v>4</v>
      </c>
      <c r="I476">
        <v>990.16341899999998</v>
      </c>
      <c r="J476">
        <v>3625.3205800000001</v>
      </c>
      <c r="K476" t="s">
        <v>6</v>
      </c>
      <c r="L476" t="s">
        <v>7</v>
      </c>
      <c r="M476" t="s">
        <v>8</v>
      </c>
      <c r="N476" t="s">
        <v>6</v>
      </c>
      <c r="O476" t="s">
        <v>3</v>
      </c>
      <c r="P476" t="s">
        <v>3</v>
      </c>
      <c r="Q476" t="s">
        <v>3</v>
      </c>
      <c r="R476" t="s">
        <v>3</v>
      </c>
      <c r="S476" t="s">
        <v>3</v>
      </c>
      <c r="T476" t="s">
        <v>7</v>
      </c>
      <c r="U476">
        <v>1</v>
      </c>
      <c r="V476">
        <v>0</v>
      </c>
      <c r="W476">
        <v>0</v>
      </c>
      <c r="X476">
        <v>0</v>
      </c>
      <c r="Y476">
        <v>2</v>
      </c>
      <c r="Z476" t="s">
        <v>21</v>
      </c>
      <c r="AA476" t="s">
        <v>4</v>
      </c>
      <c r="AB476" t="s">
        <v>6</v>
      </c>
      <c r="AC476" t="s">
        <v>7</v>
      </c>
      <c r="AD476" t="s">
        <v>8</v>
      </c>
      <c r="AE476" t="s">
        <v>6</v>
      </c>
      <c r="AF476" t="s">
        <v>3</v>
      </c>
      <c r="AG476" t="s">
        <v>3</v>
      </c>
      <c r="AH476" t="s">
        <v>3</v>
      </c>
      <c r="AI476" t="s">
        <v>3</v>
      </c>
      <c r="AJ476" t="s">
        <v>3</v>
      </c>
      <c r="AK476" t="s">
        <v>7</v>
      </c>
      <c r="AL476">
        <v>0</v>
      </c>
      <c r="AM476">
        <v>0</v>
      </c>
      <c r="AN476">
        <v>0</v>
      </c>
      <c r="AO476">
        <v>0</v>
      </c>
      <c r="AP476">
        <v>0</v>
      </c>
      <c r="AQ476" t="s">
        <v>9</v>
      </c>
      <c r="AR476" s="1">
        <v>8.7588951199999994E-5</v>
      </c>
      <c r="AS476" s="1">
        <v>7.4724190799999995E-26</v>
      </c>
      <c r="AT476">
        <v>23</v>
      </c>
      <c r="AU476" t="s">
        <v>10</v>
      </c>
      <c r="AV476">
        <v>1</v>
      </c>
      <c r="AW476">
        <v>0</v>
      </c>
      <c r="AX476">
        <v>0</v>
      </c>
      <c r="AY476">
        <v>0</v>
      </c>
      <c r="AZ476">
        <v>2</v>
      </c>
      <c r="BA476" t="s">
        <v>21</v>
      </c>
      <c r="BB476" t="s">
        <v>4</v>
      </c>
      <c r="BC476" t="s">
        <v>10</v>
      </c>
      <c r="BD476">
        <v>0</v>
      </c>
      <c r="BE476">
        <v>0</v>
      </c>
      <c r="BF476">
        <v>0</v>
      </c>
      <c r="BG476">
        <v>0</v>
      </c>
      <c r="BH476">
        <v>0</v>
      </c>
      <c r="BI476" t="s">
        <v>9</v>
      </c>
      <c r="BJ476">
        <v>-1.9239999999999999E-5</v>
      </c>
      <c r="BK476">
        <v>0</v>
      </c>
      <c r="BL476">
        <v>8.5450000000000003E-5</v>
      </c>
      <c r="BM476" s="2">
        <f t="shared" si="7"/>
        <v>4.4999959816366456E-7</v>
      </c>
    </row>
    <row r="477" spans="1:65" x14ac:dyDescent="0.35">
      <c r="A477">
        <v>0</v>
      </c>
      <c r="B477" t="s">
        <v>11</v>
      </c>
      <c r="C477" t="s">
        <v>4</v>
      </c>
      <c r="D477">
        <v>0</v>
      </c>
      <c r="E477" t="s">
        <v>3</v>
      </c>
      <c r="F477" t="s">
        <v>5</v>
      </c>
      <c r="G477">
        <v>3040.50605</v>
      </c>
      <c r="H477" t="s">
        <v>4</v>
      </c>
      <c r="I477">
        <v>990.16341899999998</v>
      </c>
      <c r="J477">
        <v>2050.342631</v>
      </c>
      <c r="K477" t="s">
        <v>6</v>
      </c>
      <c r="L477" t="s">
        <v>7</v>
      </c>
      <c r="M477" t="s">
        <v>8</v>
      </c>
      <c r="N477" t="s">
        <v>6</v>
      </c>
      <c r="O477" t="s">
        <v>3</v>
      </c>
      <c r="P477" t="s">
        <v>3</v>
      </c>
      <c r="Q477" t="s">
        <v>3</v>
      </c>
      <c r="R477" t="s">
        <v>3</v>
      </c>
      <c r="S477" t="s">
        <v>11</v>
      </c>
      <c r="T477" t="s">
        <v>7</v>
      </c>
      <c r="U477">
        <v>0</v>
      </c>
      <c r="V477">
        <v>2</v>
      </c>
      <c r="W477">
        <v>0</v>
      </c>
      <c r="X477">
        <v>0</v>
      </c>
      <c r="Y477">
        <v>0</v>
      </c>
      <c r="Z477" t="s">
        <v>18</v>
      </c>
      <c r="AA477" t="s">
        <v>4</v>
      </c>
      <c r="AB477" t="s">
        <v>6</v>
      </c>
      <c r="AC477" t="s">
        <v>7</v>
      </c>
      <c r="AD477" t="s">
        <v>8</v>
      </c>
      <c r="AE477" t="s">
        <v>6</v>
      </c>
      <c r="AF477" t="s">
        <v>3</v>
      </c>
      <c r="AG477" t="s">
        <v>3</v>
      </c>
      <c r="AH477" t="s">
        <v>3</v>
      </c>
      <c r="AI477" t="s">
        <v>3</v>
      </c>
      <c r="AJ477" t="s">
        <v>3</v>
      </c>
      <c r="AK477" t="s">
        <v>7</v>
      </c>
      <c r="AL477">
        <v>0</v>
      </c>
      <c r="AM477">
        <v>0</v>
      </c>
      <c r="AN477">
        <v>0</v>
      </c>
      <c r="AO477">
        <v>0</v>
      </c>
      <c r="AP477">
        <v>0</v>
      </c>
      <c r="AQ477" t="s">
        <v>9</v>
      </c>
      <c r="AR477" s="1">
        <v>3.0098559200000001E-5</v>
      </c>
      <c r="AS477" s="1">
        <v>4.9901340100000003E-27</v>
      </c>
      <c r="AT477">
        <v>21</v>
      </c>
      <c r="AU477" t="s">
        <v>10</v>
      </c>
      <c r="AV477">
        <v>0</v>
      </c>
      <c r="AW477">
        <v>2</v>
      </c>
      <c r="AX477">
        <v>0</v>
      </c>
      <c r="AY477">
        <v>0</v>
      </c>
      <c r="AZ477">
        <v>0</v>
      </c>
      <c r="BA477" t="s">
        <v>18</v>
      </c>
      <c r="BB477" t="s">
        <v>4</v>
      </c>
      <c r="BC477" t="s">
        <v>10</v>
      </c>
      <c r="BD477">
        <v>0</v>
      </c>
      <c r="BE477">
        <v>0</v>
      </c>
      <c r="BF477">
        <v>0</v>
      </c>
      <c r="BG477">
        <v>0</v>
      </c>
      <c r="BH477">
        <v>0</v>
      </c>
      <c r="BI477" t="s">
        <v>9</v>
      </c>
      <c r="BJ477">
        <v>0</v>
      </c>
      <c r="BK477">
        <v>-3.01E-5</v>
      </c>
      <c r="BL477">
        <v>0</v>
      </c>
      <c r="BM477" s="2">
        <f t="shared" si="7"/>
        <v>3.0051289619088611E-8</v>
      </c>
    </row>
    <row r="478" spans="1:65" x14ac:dyDescent="0.35">
      <c r="A478">
        <v>0</v>
      </c>
      <c r="B478" t="s">
        <v>3</v>
      </c>
      <c r="C478" t="s">
        <v>4</v>
      </c>
      <c r="D478">
        <v>0</v>
      </c>
      <c r="E478" t="s">
        <v>3</v>
      </c>
      <c r="F478" t="s">
        <v>5</v>
      </c>
      <c r="G478">
        <v>3425.2708499999999</v>
      </c>
      <c r="H478" t="s">
        <v>4</v>
      </c>
      <c r="I478">
        <v>990.16341899999998</v>
      </c>
      <c r="J478">
        <v>2435.10743</v>
      </c>
      <c r="K478" t="s">
        <v>6</v>
      </c>
      <c r="L478" t="s">
        <v>7</v>
      </c>
      <c r="M478" t="s">
        <v>8</v>
      </c>
      <c r="N478" t="s">
        <v>6</v>
      </c>
      <c r="O478" t="s">
        <v>3</v>
      </c>
      <c r="P478" t="s">
        <v>3</v>
      </c>
      <c r="Q478" t="s">
        <v>3</v>
      </c>
      <c r="R478" t="s">
        <v>3</v>
      </c>
      <c r="S478" t="s">
        <v>3</v>
      </c>
      <c r="T478" t="s">
        <v>7</v>
      </c>
      <c r="U478">
        <v>4</v>
      </c>
      <c r="V478">
        <v>0</v>
      </c>
      <c r="W478">
        <v>0</v>
      </c>
      <c r="X478">
        <v>0</v>
      </c>
      <c r="Y478">
        <v>0</v>
      </c>
      <c r="Z478" t="s">
        <v>8</v>
      </c>
      <c r="AA478" t="s">
        <v>4</v>
      </c>
      <c r="AB478" t="s">
        <v>6</v>
      </c>
      <c r="AC478" t="s">
        <v>7</v>
      </c>
      <c r="AD478" t="s">
        <v>8</v>
      </c>
      <c r="AE478" t="s">
        <v>6</v>
      </c>
      <c r="AF478" t="s">
        <v>3</v>
      </c>
      <c r="AG478" t="s">
        <v>3</v>
      </c>
      <c r="AH478" t="s">
        <v>3</v>
      </c>
      <c r="AI478" t="s">
        <v>3</v>
      </c>
      <c r="AJ478" t="s">
        <v>3</v>
      </c>
      <c r="AK478" t="s">
        <v>7</v>
      </c>
      <c r="AL478">
        <v>0</v>
      </c>
      <c r="AM478">
        <v>0</v>
      </c>
      <c r="AN478">
        <v>0</v>
      </c>
      <c r="AO478">
        <v>0</v>
      </c>
      <c r="AP478">
        <v>0</v>
      </c>
      <c r="AQ478" t="s">
        <v>9</v>
      </c>
      <c r="AR478" s="1">
        <v>1.3574007099999999E-3</v>
      </c>
      <c r="AS478" s="1">
        <v>1.20544398E-23</v>
      </c>
      <c r="AT478">
        <v>23</v>
      </c>
      <c r="AU478" t="s">
        <v>10</v>
      </c>
      <c r="AV478">
        <v>4</v>
      </c>
      <c r="AW478">
        <v>0</v>
      </c>
      <c r="AX478">
        <v>0</v>
      </c>
      <c r="AY478">
        <v>0</v>
      </c>
      <c r="AZ478">
        <v>0</v>
      </c>
      <c r="BA478" t="s">
        <v>8</v>
      </c>
      <c r="BB478" t="s">
        <v>4</v>
      </c>
      <c r="BC478" t="s">
        <v>10</v>
      </c>
      <c r="BD478">
        <v>0</v>
      </c>
      <c r="BE478">
        <v>0</v>
      </c>
      <c r="BF478">
        <v>0</v>
      </c>
      <c r="BG478">
        <v>0</v>
      </c>
      <c r="BH478">
        <v>0</v>
      </c>
      <c r="BI478" t="s">
        <v>9</v>
      </c>
      <c r="BJ478">
        <v>-1.3399E-3</v>
      </c>
      <c r="BK478">
        <v>0</v>
      </c>
      <c r="BL478">
        <v>2.1729E-4</v>
      </c>
      <c r="BM478" s="2">
        <f t="shared" si="7"/>
        <v>7.2593533740723833E-5</v>
      </c>
    </row>
    <row r="479" spans="1:65" x14ac:dyDescent="0.35">
      <c r="A479">
        <v>0</v>
      </c>
      <c r="B479" t="s">
        <v>11</v>
      </c>
      <c r="C479" t="s">
        <v>4</v>
      </c>
      <c r="D479">
        <v>0</v>
      </c>
      <c r="E479" t="s">
        <v>3</v>
      </c>
      <c r="F479" t="s">
        <v>5</v>
      </c>
      <c r="G479">
        <v>4388.9201650000005</v>
      </c>
      <c r="H479" t="s">
        <v>4</v>
      </c>
      <c r="I479">
        <v>990.16341899999998</v>
      </c>
      <c r="J479">
        <v>3398.756746</v>
      </c>
      <c r="K479" t="s">
        <v>6</v>
      </c>
      <c r="L479" t="s">
        <v>7</v>
      </c>
      <c r="M479" t="s">
        <v>8</v>
      </c>
      <c r="N479" t="s">
        <v>6</v>
      </c>
      <c r="O479" t="s">
        <v>3</v>
      </c>
      <c r="P479" t="s">
        <v>3</v>
      </c>
      <c r="Q479" t="s">
        <v>3</v>
      </c>
      <c r="R479" t="s">
        <v>3</v>
      </c>
      <c r="S479" t="s">
        <v>11</v>
      </c>
      <c r="T479" t="s">
        <v>7</v>
      </c>
      <c r="U479">
        <v>1</v>
      </c>
      <c r="V479">
        <v>0</v>
      </c>
      <c r="W479">
        <v>0</v>
      </c>
      <c r="X479">
        <v>7</v>
      </c>
      <c r="Y479">
        <v>0</v>
      </c>
      <c r="Z479" t="s">
        <v>18</v>
      </c>
      <c r="AA479" t="s">
        <v>4</v>
      </c>
      <c r="AB479" t="s">
        <v>6</v>
      </c>
      <c r="AC479" t="s">
        <v>7</v>
      </c>
      <c r="AD479" t="s">
        <v>8</v>
      </c>
      <c r="AE479" t="s">
        <v>6</v>
      </c>
      <c r="AF479" t="s">
        <v>3</v>
      </c>
      <c r="AG479" t="s">
        <v>3</v>
      </c>
      <c r="AH479" t="s">
        <v>3</v>
      </c>
      <c r="AI479" t="s">
        <v>3</v>
      </c>
      <c r="AJ479" t="s">
        <v>3</v>
      </c>
      <c r="AK479" t="s">
        <v>7</v>
      </c>
      <c r="AL479">
        <v>0</v>
      </c>
      <c r="AM479">
        <v>0</v>
      </c>
      <c r="AN479">
        <v>0</v>
      </c>
      <c r="AO479">
        <v>0</v>
      </c>
      <c r="AP479">
        <v>0</v>
      </c>
      <c r="AQ479" t="s">
        <v>9</v>
      </c>
      <c r="AR479" s="1">
        <v>8.8511838399999999E-6</v>
      </c>
      <c r="AS479" s="1">
        <v>7.1538352699999998E-28</v>
      </c>
      <c r="AT479">
        <v>20</v>
      </c>
      <c r="AU479" t="s">
        <v>10</v>
      </c>
      <c r="AV479">
        <v>1</v>
      </c>
      <c r="AW479">
        <v>0</v>
      </c>
      <c r="AX479">
        <v>0</v>
      </c>
      <c r="AY479">
        <v>7</v>
      </c>
      <c r="AZ479">
        <v>0</v>
      </c>
      <c r="BA479" t="s">
        <v>18</v>
      </c>
      <c r="BB479" t="s">
        <v>4</v>
      </c>
      <c r="BC479" t="s">
        <v>10</v>
      </c>
      <c r="BD479">
        <v>0</v>
      </c>
      <c r="BE479">
        <v>0</v>
      </c>
      <c r="BF479">
        <v>0</v>
      </c>
      <c r="BG479">
        <v>0</v>
      </c>
      <c r="BH479">
        <v>0</v>
      </c>
      <c r="BI479" t="s">
        <v>9</v>
      </c>
      <c r="BJ479">
        <v>0</v>
      </c>
      <c r="BK479">
        <v>8.85E-6</v>
      </c>
      <c r="BL479">
        <v>0</v>
      </c>
      <c r="BM479" s="2">
        <f t="shared" si="7"/>
        <v>4.3081403255946007E-9</v>
      </c>
    </row>
    <row r="480" spans="1:65" x14ac:dyDescent="0.35">
      <c r="A480">
        <v>0</v>
      </c>
      <c r="B480" t="s">
        <v>11</v>
      </c>
      <c r="C480" t="s">
        <v>4</v>
      </c>
      <c r="D480">
        <v>0</v>
      </c>
      <c r="E480" t="s">
        <v>3</v>
      </c>
      <c r="F480" t="s">
        <v>5</v>
      </c>
      <c r="G480">
        <v>4971.7094880000004</v>
      </c>
      <c r="H480" t="s">
        <v>4</v>
      </c>
      <c r="I480">
        <v>990.16341899999998</v>
      </c>
      <c r="J480">
        <v>3981.546069</v>
      </c>
      <c r="K480" t="s">
        <v>6</v>
      </c>
      <c r="L480" t="s">
        <v>7</v>
      </c>
      <c r="M480" t="s">
        <v>8</v>
      </c>
      <c r="N480" t="s">
        <v>6</v>
      </c>
      <c r="O480" t="s">
        <v>3</v>
      </c>
      <c r="P480" t="s">
        <v>3</v>
      </c>
      <c r="Q480" t="s">
        <v>3</v>
      </c>
      <c r="R480" t="s">
        <v>3</v>
      </c>
      <c r="S480" t="s">
        <v>11</v>
      </c>
      <c r="T480" t="s">
        <v>7</v>
      </c>
      <c r="U480">
        <v>2</v>
      </c>
      <c r="V480">
        <v>0</v>
      </c>
      <c r="W480">
        <v>0</v>
      </c>
      <c r="X480">
        <v>0</v>
      </c>
      <c r="Y480">
        <v>0</v>
      </c>
      <c r="Z480" t="s">
        <v>25</v>
      </c>
      <c r="AA480" t="s">
        <v>4</v>
      </c>
      <c r="AB480" t="s">
        <v>6</v>
      </c>
      <c r="AC480" t="s">
        <v>7</v>
      </c>
      <c r="AD480" t="s">
        <v>8</v>
      </c>
      <c r="AE480" t="s">
        <v>6</v>
      </c>
      <c r="AF480" t="s">
        <v>3</v>
      </c>
      <c r="AG480" t="s">
        <v>3</v>
      </c>
      <c r="AH480" t="s">
        <v>3</v>
      </c>
      <c r="AI480" t="s">
        <v>3</v>
      </c>
      <c r="AJ480" t="s">
        <v>3</v>
      </c>
      <c r="AK480" t="s">
        <v>7</v>
      </c>
      <c r="AL480">
        <v>0</v>
      </c>
      <c r="AM480">
        <v>0</v>
      </c>
      <c r="AN480">
        <v>0</v>
      </c>
      <c r="AO480">
        <v>0</v>
      </c>
      <c r="AP480">
        <v>0</v>
      </c>
      <c r="AQ480" t="s">
        <v>9</v>
      </c>
      <c r="AR480" s="1">
        <v>1.5610686000000001E-5</v>
      </c>
      <c r="AS480" s="1">
        <v>2.6068250299999998E-27</v>
      </c>
      <c r="AT480">
        <v>21</v>
      </c>
      <c r="AU480" t="s">
        <v>10</v>
      </c>
      <c r="AV480">
        <v>2</v>
      </c>
      <c r="AW480">
        <v>0</v>
      </c>
      <c r="AX480">
        <v>0</v>
      </c>
      <c r="AY480">
        <v>0</v>
      </c>
      <c r="AZ480">
        <v>0</v>
      </c>
      <c r="BA480" t="s">
        <v>25</v>
      </c>
      <c r="BB480" t="s">
        <v>4</v>
      </c>
      <c r="BC480" t="s">
        <v>10</v>
      </c>
      <c r="BD480">
        <v>0</v>
      </c>
      <c r="BE480">
        <v>0</v>
      </c>
      <c r="BF480">
        <v>0</v>
      </c>
      <c r="BG480">
        <v>0</v>
      </c>
      <c r="BH480">
        <v>0</v>
      </c>
      <c r="BI480" t="s">
        <v>9</v>
      </c>
      <c r="BJ480">
        <v>0</v>
      </c>
      <c r="BK480">
        <v>-1.5610000000000001E-5</v>
      </c>
      <c r="BL480">
        <v>0</v>
      </c>
      <c r="BM480" s="2">
        <f t="shared" si="7"/>
        <v>1.5698667371624221E-8</v>
      </c>
    </row>
    <row r="481" spans="1:65" x14ac:dyDescent="0.35">
      <c r="A481">
        <v>0</v>
      </c>
      <c r="B481" t="s">
        <v>3</v>
      </c>
      <c r="C481" t="s">
        <v>4</v>
      </c>
      <c r="D481">
        <v>0</v>
      </c>
      <c r="E481" t="s">
        <v>3</v>
      </c>
      <c r="F481" t="s">
        <v>5</v>
      </c>
      <c r="G481">
        <v>3547.7824270000001</v>
      </c>
      <c r="H481" t="s">
        <v>4</v>
      </c>
      <c r="I481">
        <v>990.16341899999998</v>
      </c>
      <c r="J481">
        <v>2557.6190080000001</v>
      </c>
      <c r="K481" t="s">
        <v>6</v>
      </c>
      <c r="L481" t="s">
        <v>7</v>
      </c>
      <c r="M481" t="s">
        <v>8</v>
      </c>
      <c r="N481" t="s">
        <v>6</v>
      </c>
      <c r="O481" t="s">
        <v>3</v>
      </c>
      <c r="P481" t="s">
        <v>3</v>
      </c>
      <c r="Q481" t="s">
        <v>3</v>
      </c>
      <c r="R481" t="s">
        <v>3</v>
      </c>
      <c r="S481" t="s">
        <v>3</v>
      </c>
      <c r="T481" t="s">
        <v>7</v>
      </c>
      <c r="U481">
        <v>2</v>
      </c>
      <c r="V481">
        <v>0</v>
      </c>
      <c r="W481">
        <v>0</v>
      </c>
      <c r="X481">
        <v>0</v>
      </c>
      <c r="Y481">
        <v>0</v>
      </c>
      <c r="Z481" t="s">
        <v>24</v>
      </c>
      <c r="AA481" t="s">
        <v>4</v>
      </c>
      <c r="AB481" t="s">
        <v>6</v>
      </c>
      <c r="AC481" t="s">
        <v>7</v>
      </c>
      <c r="AD481" t="s">
        <v>8</v>
      </c>
      <c r="AE481" t="s">
        <v>6</v>
      </c>
      <c r="AF481" t="s">
        <v>3</v>
      </c>
      <c r="AG481" t="s">
        <v>3</v>
      </c>
      <c r="AH481" t="s">
        <v>3</v>
      </c>
      <c r="AI481" t="s">
        <v>3</v>
      </c>
      <c r="AJ481" t="s">
        <v>3</v>
      </c>
      <c r="AK481" t="s">
        <v>7</v>
      </c>
      <c r="AL481">
        <v>0</v>
      </c>
      <c r="AM481">
        <v>0</v>
      </c>
      <c r="AN481">
        <v>0</v>
      </c>
      <c r="AO481">
        <v>0</v>
      </c>
      <c r="AP481">
        <v>0</v>
      </c>
      <c r="AQ481" t="s">
        <v>9</v>
      </c>
      <c r="AR481" s="1">
        <v>1.8643898900000001E-3</v>
      </c>
      <c r="AS481" s="1">
        <v>2.3884909999999999E-23</v>
      </c>
      <c r="AT481">
        <v>20</v>
      </c>
      <c r="AU481" t="s">
        <v>10</v>
      </c>
      <c r="AV481">
        <v>2</v>
      </c>
      <c r="AW481">
        <v>0</v>
      </c>
      <c r="AX481">
        <v>0</v>
      </c>
      <c r="AY481">
        <v>0</v>
      </c>
      <c r="AZ481">
        <v>0</v>
      </c>
      <c r="BA481" t="s">
        <v>24</v>
      </c>
      <c r="BB481" t="s">
        <v>4</v>
      </c>
      <c r="BC481" t="s">
        <v>10</v>
      </c>
      <c r="BD481">
        <v>0</v>
      </c>
      <c r="BE481">
        <v>0</v>
      </c>
      <c r="BF481">
        <v>0</v>
      </c>
      <c r="BG481">
        <v>0</v>
      </c>
      <c r="BH481">
        <v>0</v>
      </c>
      <c r="BI481" t="s">
        <v>9</v>
      </c>
      <c r="BJ481">
        <v>1.86115E-3</v>
      </c>
      <c r="BK481">
        <v>0</v>
      </c>
      <c r="BL481">
        <v>-1.0991E-4</v>
      </c>
      <c r="BM481" s="2">
        <f t="shared" si="7"/>
        <v>1.4383829101532799E-4</v>
      </c>
    </row>
    <row r="482" spans="1:65" x14ac:dyDescent="0.35">
      <c r="A482">
        <v>0</v>
      </c>
      <c r="B482" t="s">
        <v>11</v>
      </c>
      <c r="C482" t="s">
        <v>4</v>
      </c>
      <c r="D482">
        <v>0</v>
      </c>
      <c r="E482" t="s">
        <v>3</v>
      </c>
      <c r="F482" t="s">
        <v>5</v>
      </c>
      <c r="G482">
        <v>3833.8530989999999</v>
      </c>
      <c r="H482" t="s">
        <v>4</v>
      </c>
      <c r="I482">
        <v>990.16341899999998</v>
      </c>
      <c r="J482">
        <v>2843.68968</v>
      </c>
      <c r="K482" t="s">
        <v>6</v>
      </c>
      <c r="L482" t="s">
        <v>7</v>
      </c>
      <c r="M482" t="s">
        <v>8</v>
      </c>
      <c r="N482" t="s">
        <v>6</v>
      </c>
      <c r="O482" t="s">
        <v>3</v>
      </c>
      <c r="P482" t="s">
        <v>3</v>
      </c>
      <c r="Q482" t="s">
        <v>3</v>
      </c>
      <c r="R482" t="s">
        <v>3</v>
      </c>
      <c r="S482" t="s">
        <v>11</v>
      </c>
      <c r="T482" t="s">
        <v>7</v>
      </c>
      <c r="U482">
        <v>1</v>
      </c>
      <c r="V482">
        <v>0</v>
      </c>
      <c r="W482">
        <v>0</v>
      </c>
      <c r="X482">
        <v>6</v>
      </c>
      <c r="Y482">
        <v>0</v>
      </c>
      <c r="Z482" t="s">
        <v>18</v>
      </c>
      <c r="AA482" t="s">
        <v>4</v>
      </c>
      <c r="AB482" t="s">
        <v>6</v>
      </c>
      <c r="AC482" t="s">
        <v>7</v>
      </c>
      <c r="AD482" t="s">
        <v>8</v>
      </c>
      <c r="AE482" t="s">
        <v>6</v>
      </c>
      <c r="AF482" t="s">
        <v>3</v>
      </c>
      <c r="AG482" t="s">
        <v>3</v>
      </c>
      <c r="AH482" t="s">
        <v>3</v>
      </c>
      <c r="AI482" t="s">
        <v>3</v>
      </c>
      <c r="AJ482" t="s">
        <v>3</v>
      </c>
      <c r="AK482" t="s">
        <v>7</v>
      </c>
      <c r="AL482">
        <v>0</v>
      </c>
      <c r="AM482">
        <v>0</v>
      </c>
      <c r="AN482">
        <v>0</v>
      </c>
      <c r="AO482">
        <v>0</v>
      </c>
      <c r="AP482">
        <v>0</v>
      </c>
      <c r="AQ482" t="s">
        <v>9</v>
      </c>
      <c r="AR482" s="1">
        <v>3.97996819E-6</v>
      </c>
      <c r="AS482" s="1">
        <v>1.2101998400000001E-28</v>
      </c>
      <c r="AT482">
        <v>20</v>
      </c>
      <c r="AU482" t="s">
        <v>10</v>
      </c>
      <c r="AV482">
        <v>1</v>
      </c>
      <c r="AW482">
        <v>0</v>
      </c>
      <c r="AX482">
        <v>0</v>
      </c>
      <c r="AY482">
        <v>6</v>
      </c>
      <c r="AZ482">
        <v>0</v>
      </c>
      <c r="BA482" t="s">
        <v>18</v>
      </c>
      <c r="BB482" t="s">
        <v>4</v>
      </c>
      <c r="BC482" t="s">
        <v>10</v>
      </c>
      <c r="BD482">
        <v>0</v>
      </c>
      <c r="BE482">
        <v>0</v>
      </c>
      <c r="BF482">
        <v>0</v>
      </c>
      <c r="BG482">
        <v>0</v>
      </c>
      <c r="BH482">
        <v>0</v>
      </c>
      <c r="BI482" t="s">
        <v>9</v>
      </c>
      <c r="BJ482">
        <v>0</v>
      </c>
      <c r="BK482">
        <v>-3.98E-6</v>
      </c>
      <c r="BL482">
        <v>0</v>
      </c>
      <c r="BM482" s="2">
        <f t="shared" si="7"/>
        <v>7.2879938326174731E-10</v>
      </c>
    </row>
    <row r="483" spans="1:65" x14ac:dyDescent="0.35">
      <c r="A483">
        <v>0</v>
      </c>
      <c r="B483" t="s">
        <v>3</v>
      </c>
      <c r="C483" t="s">
        <v>4</v>
      </c>
      <c r="D483">
        <v>0</v>
      </c>
      <c r="E483" t="s">
        <v>3</v>
      </c>
      <c r="F483" t="s">
        <v>5</v>
      </c>
      <c r="G483">
        <v>3234.8954330000001</v>
      </c>
      <c r="H483" t="s">
        <v>4</v>
      </c>
      <c r="I483">
        <v>990.16341899999998</v>
      </c>
      <c r="J483">
        <v>2244.7320140000002</v>
      </c>
      <c r="K483" t="s">
        <v>6</v>
      </c>
      <c r="L483" t="s">
        <v>7</v>
      </c>
      <c r="M483" t="s">
        <v>8</v>
      </c>
      <c r="N483" t="s">
        <v>6</v>
      </c>
      <c r="O483" t="s">
        <v>3</v>
      </c>
      <c r="P483" t="s">
        <v>3</v>
      </c>
      <c r="Q483" t="s">
        <v>3</v>
      </c>
      <c r="R483" t="s">
        <v>3</v>
      </c>
      <c r="S483" t="s">
        <v>3</v>
      </c>
      <c r="T483" t="s">
        <v>7</v>
      </c>
      <c r="U483">
        <v>0</v>
      </c>
      <c r="V483">
        <v>1</v>
      </c>
      <c r="W483">
        <v>0</v>
      </c>
      <c r="X483">
        <v>5</v>
      </c>
      <c r="Y483">
        <v>0</v>
      </c>
      <c r="Z483" t="s">
        <v>8</v>
      </c>
      <c r="AA483" t="s">
        <v>4</v>
      </c>
      <c r="AB483" t="s">
        <v>6</v>
      </c>
      <c r="AC483" t="s">
        <v>7</v>
      </c>
      <c r="AD483" t="s">
        <v>8</v>
      </c>
      <c r="AE483" t="s">
        <v>6</v>
      </c>
      <c r="AF483" t="s">
        <v>3</v>
      </c>
      <c r="AG483" t="s">
        <v>3</v>
      </c>
      <c r="AH483" t="s">
        <v>3</v>
      </c>
      <c r="AI483" t="s">
        <v>3</v>
      </c>
      <c r="AJ483" t="s">
        <v>3</v>
      </c>
      <c r="AK483" t="s">
        <v>7</v>
      </c>
      <c r="AL483">
        <v>0</v>
      </c>
      <c r="AM483">
        <v>0</v>
      </c>
      <c r="AN483">
        <v>0</v>
      </c>
      <c r="AO483">
        <v>0</v>
      </c>
      <c r="AP483">
        <v>0</v>
      </c>
      <c r="AQ483" t="s">
        <v>9</v>
      </c>
      <c r="AR483" s="1">
        <v>3.7449321100000001E-7</v>
      </c>
      <c r="AS483" s="1">
        <v>8.4578509899999993E-31</v>
      </c>
      <c r="AT483">
        <v>23</v>
      </c>
      <c r="AU483" t="s">
        <v>10</v>
      </c>
      <c r="AV483">
        <v>0</v>
      </c>
      <c r="AW483">
        <v>1</v>
      </c>
      <c r="AX483">
        <v>0</v>
      </c>
      <c r="AY483">
        <v>5</v>
      </c>
      <c r="AZ483">
        <v>0</v>
      </c>
      <c r="BA483" t="s">
        <v>8</v>
      </c>
      <c r="BB483" t="s">
        <v>4</v>
      </c>
      <c r="BC483" t="s">
        <v>10</v>
      </c>
      <c r="BD483">
        <v>0</v>
      </c>
      <c r="BE483">
        <v>0</v>
      </c>
      <c r="BF483">
        <v>0</v>
      </c>
      <c r="BG483">
        <v>0</v>
      </c>
      <c r="BH483">
        <v>0</v>
      </c>
      <c r="BI483" t="s">
        <v>9</v>
      </c>
      <c r="BJ483">
        <v>3.3999999999999997E-7</v>
      </c>
      <c r="BK483">
        <v>0</v>
      </c>
      <c r="BL483">
        <v>-1.6E-7</v>
      </c>
      <c r="BM483" s="2">
        <f t="shared" si="7"/>
        <v>5.0934369527199383E-12</v>
      </c>
    </row>
    <row r="484" spans="1:65" x14ac:dyDescent="0.35">
      <c r="A484">
        <v>0</v>
      </c>
      <c r="B484" t="s">
        <v>3</v>
      </c>
      <c r="C484" t="s">
        <v>4</v>
      </c>
      <c r="D484">
        <v>0</v>
      </c>
      <c r="E484" t="s">
        <v>3</v>
      </c>
      <c r="F484" t="s">
        <v>5</v>
      </c>
      <c r="G484">
        <v>4906.6209200000003</v>
      </c>
      <c r="H484" t="s">
        <v>4</v>
      </c>
      <c r="I484">
        <v>990.16341899999998</v>
      </c>
      <c r="J484">
        <v>3916.4575009999999</v>
      </c>
      <c r="K484" t="s">
        <v>6</v>
      </c>
      <c r="L484" t="s">
        <v>7</v>
      </c>
      <c r="M484" t="s">
        <v>8</v>
      </c>
      <c r="N484" t="s">
        <v>6</v>
      </c>
      <c r="O484" t="s">
        <v>3</v>
      </c>
      <c r="P484" t="s">
        <v>3</v>
      </c>
      <c r="Q484" t="s">
        <v>3</v>
      </c>
      <c r="R484" t="s">
        <v>3</v>
      </c>
      <c r="S484" t="s">
        <v>3</v>
      </c>
      <c r="T484" t="s">
        <v>7</v>
      </c>
      <c r="U484">
        <v>0</v>
      </c>
      <c r="V484">
        <v>0</v>
      </c>
      <c r="W484">
        <v>0</v>
      </c>
      <c r="X484">
        <v>8</v>
      </c>
      <c r="Y484">
        <v>0</v>
      </c>
      <c r="Z484" t="s">
        <v>15</v>
      </c>
      <c r="AA484" t="s">
        <v>4</v>
      </c>
      <c r="AB484" t="s">
        <v>6</v>
      </c>
      <c r="AC484" t="s">
        <v>7</v>
      </c>
      <c r="AD484" t="s">
        <v>8</v>
      </c>
      <c r="AE484" t="s">
        <v>6</v>
      </c>
      <c r="AF484" t="s">
        <v>3</v>
      </c>
      <c r="AG484" t="s">
        <v>3</v>
      </c>
      <c r="AH484" t="s">
        <v>3</v>
      </c>
      <c r="AI484" t="s">
        <v>3</v>
      </c>
      <c r="AJ484" t="s">
        <v>3</v>
      </c>
      <c r="AK484" t="s">
        <v>7</v>
      </c>
      <c r="AL484">
        <v>0</v>
      </c>
      <c r="AM484">
        <v>0</v>
      </c>
      <c r="AN484">
        <v>0</v>
      </c>
      <c r="AO484">
        <v>0</v>
      </c>
      <c r="AP484">
        <v>0</v>
      </c>
      <c r="AQ484" t="s">
        <v>9</v>
      </c>
      <c r="AR484" s="1">
        <v>1.9143279100000001E-5</v>
      </c>
      <c r="AS484" s="1">
        <v>3.8560462900000002E-27</v>
      </c>
      <c r="AT484">
        <v>21</v>
      </c>
      <c r="AU484" t="s">
        <v>10</v>
      </c>
      <c r="AV484">
        <v>0</v>
      </c>
      <c r="AW484">
        <v>0</v>
      </c>
      <c r="AX484">
        <v>0</v>
      </c>
      <c r="AY484">
        <v>8</v>
      </c>
      <c r="AZ484">
        <v>0</v>
      </c>
      <c r="BA484" t="s">
        <v>15</v>
      </c>
      <c r="BB484" t="s">
        <v>4</v>
      </c>
      <c r="BC484" t="s">
        <v>10</v>
      </c>
      <c r="BD484">
        <v>0</v>
      </c>
      <c r="BE484">
        <v>0</v>
      </c>
      <c r="BF484">
        <v>0</v>
      </c>
      <c r="BG484">
        <v>0</v>
      </c>
      <c r="BH484">
        <v>0</v>
      </c>
      <c r="BI484" t="s">
        <v>9</v>
      </c>
      <c r="BJ484">
        <v>3.1E-6</v>
      </c>
      <c r="BK484">
        <v>0</v>
      </c>
      <c r="BL484">
        <v>-1.889E-5</v>
      </c>
      <c r="BM484" s="2">
        <f t="shared" si="7"/>
        <v>2.3221653689697632E-8</v>
      </c>
    </row>
    <row r="485" spans="1:65" x14ac:dyDescent="0.35">
      <c r="A485">
        <v>0</v>
      </c>
      <c r="B485" t="s">
        <v>11</v>
      </c>
      <c r="C485" t="s">
        <v>4</v>
      </c>
      <c r="D485">
        <v>0</v>
      </c>
      <c r="E485" t="s">
        <v>3</v>
      </c>
      <c r="F485" t="s">
        <v>5</v>
      </c>
      <c r="G485">
        <v>1810.7392150000001</v>
      </c>
      <c r="H485" t="s">
        <v>4</v>
      </c>
      <c r="I485">
        <v>990.16341899999998</v>
      </c>
      <c r="J485">
        <v>820.57579599999997</v>
      </c>
      <c r="K485" t="s">
        <v>6</v>
      </c>
      <c r="L485" t="s">
        <v>7</v>
      </c>
      <c r="M485" t="s">
        <v>8</v>
      </c>
      <c r="N485" t="s">
        <v>6</v>
      </c>
      <c r="O485" t="s">
        <v>3</v>
      </c>
      <c r="P485" t="s">
        <v>3</v>
      </c>
      <c r="Q485" t="s">
        <v>3</v>
      </c>
      <c r="R485" t="s">
        <v>3</v>
      </c>
      <c r="S485" t="s">
        <v>11</v>
      </c>
      <c r="T485" t="s">
        <v>7</v>
      </c>
      <c r="U485">
        <v>1</v>
      </c>
      <c r="V485">
        <v>0</v>
      </c>
      <c r="W485">
        <v>0</v>
      </c>
      <c r="X485">
        <v>1</v>
      </c>
      <c r="Y485">
        <v>0</v>
      </c>
      <c r="Z485" t="s">
        <v>18</v>
      </c>
      <c r="AA485" t="s">
        <v>4</v>
      </c>
      <c r="AB485" t="s">
        <v>6</v>
      </c>
      <c r="AC485" t="s">
        <v>7</v>
      </c>
      <c r="AD485" t="s">
        <v>8</v>
      </c>
      <c r="AE485" t="s">
        <v>6</v>
      </c>
      <c r="AF485" t="s">
        <v>3</v>
      </c>
      <c r="AG485" t="s">
        <v>3</v>
      </c>
      <c r="AH485" t="s">
        <v>3</v>
      </c>
      <c r="AI485" t="s">
        <v>3</v>
      </c>
      <c r="AJ485" t="s">
        <v>3</v>
      </c>
      <c r="AK485" t="s">
        <v>7</v>
      </c>
      <c r="AL485">
        <v>0</v>
      </c>
      <c r="AM485">
        <v>0</v>
      </c>
      <c r="AN485">
        <v>0</v>
      </c>
      <c r="AO485">
        <v>0</v>
      </c>
      <c r="AP485">
        <v>0</v>
      </c>
      <c r="AQ485" t="s">
        <v>9</v>
      </c>
      <c r="AR485" s="1">
        <v>9.3046270999999994E-6</v>
      </c>
      <c r="AS485" s="1">
        <v>1.87235885E-28</v>
      </c>
      <c r="AT485">
        <v>24</v>
      </c>
      <c r="AU485" t="s">
        <v>10</v>
      </c>
      <c r="AV485">
        <v>1</v>
      </c>
      <c r="AW485">
        <v>0</v>
      </c>
      <c r="AX485">
        <v>0</v>
      </c>
      <c r="AY485">
        <v>1</v>
      </c>
      <c r="AZ485">
        <v>0</v>
      </c>
      <c r="BA485" t="s">
        <v>18</v>
      </c>
      <c r="BB485" t="s">
        <v>4</v>
      </c>
      <c r="BC485" t="s">
        <v>10</v>
      </c>
      <c r="BD485">
        <v>0</v>
      </c>
      <c r="BE485">
        <v>0</v>
      </c>
      <c r="BF485">
        <v>0</v>
      </c>
      <c r="BG485">
        <v>0</v>
      </c>
      <c r="BH485">
        <v>0</v>
      </c>
      <c r="BI485" t="s">
        <v>9</v>
      </c>
      <c r="BJ485">
        <v>0</v>
      </c>
      <c r="BK485">
        <v>-9.3000000000000007E-6</v>
      </c>
      <c r="BL485">
        <v>0</v>
      </c>
      <c r="BM485" s="2">
        <f t="shared" si="7"/>
        <v>1.1275608622826079E-9</v>
      </c>
    </row>
    <row r="486" spans="1:65" x14ac:dyDescent="0.35">
      <c r="A486">
        <v>0</v>
      </c>
      <c r="B486" t="s">
        <v>11</v>
      </c>
      <c r="C486" t="s">
        <v>4</v>
      </c>
      <c r="D486">
        <v>0</v>
      </c>
      <c r="E486" t="s">
        <v>3</v>
      </c>
      <c r="F486" t="s">
        <v>5</v>
      </c>
      <c r="G486">
        <v>2359.3175820000001</v>
      </c>
      <c r="H486" t="s">
        <v>4</v>
      </c>
      <c r="I486">
        <v>990.16341899999998</v>
      </c>
      <c r="J486">
        <v>1369.1541629999999</v>
      </c>
      <c r="K486" t="s">
        <v>6</v>
      </c>
      <c r="L486" t="s">
        <v>7</v>
      </c>
      <c r="M486" t="s">
        <v>8</v>
      </c>
      <c r="N486" t="s">
        <v>6</v>
      </c>
      <c r="O486" t="s">
        <v>3</v>
      </c>
      <c r="P486" t="s">
        <v>3</v>
      </c>
      <c r="Q486" t="s">
        <v>3</v>
      </c>
      <c r="R486" t="s">
        <v>3</v>
      </c>
      <c r="S486" t="s">
        <v>11</v>
      </c>
      <c r="T486" t="s">
        <v>7</v>
      </c>
      <c r="U486">
        <v>0</v>
      </c>
      <c r="V486">
        <v>0</v>
      </c>
      <c r="W486">
        <v>0</v>
      </c>
      <c r="X486">
        <v>0</v>
      </c>
      <c r="Y486">
        <v>2</v>
      </c>
      <c r="Z486" t="s">
        <v>18</v>
      </c>
      <c r="AA486" t="s">
        <v>4</v>
      </c>
      <c r="AB486" t="s">
        <v>6</v>
      </c>
      <c r="AC486" t="s">
        <v>7</v>
      </c>
      <c r="AD486" t="s">
        <v>8</v>
      </c>
      <c r="AE486" t="s">
        <v>6</v>
      </c>
      <c r="AF486" t="s">
        <v>3</v>
      </c>
      <c r="AG486" t="s">
        <v>3</v>
      </c>
      <c r="AH486" t="s">
        <v>3</v>
      </c>
      <c r="AI486" t="s">
        <v>3</v>
      </c>
      <c r="AJ486" t="s">
        <v>3</v>
      </c>
      <c r="AK486" t="s">
        <v>7</v>
      </c>
      <c r="AL486">
        <v>0</v>
      </c>
      <c r="AM486">
        <v>0</v>
      </c>
      <c r="AN486">
        <v>0</v>
      </c>
      <c r="AO486">
        <v>0</v>
      </c>
      <c r="AP486">
        <v>0</v>
      </c>
      <c r="AQ486" t="s">
        <v>9</v>
      </c>
      <c r="AR486" s="1">
        <v>2.94842168E-4</v>
      </c>
      <c r="AS486" s="1">
        <v>3.1934683400000001E-25</v>
      </c>
      <c r="AT486">
        <v>20</v>
      </c>
      <c r="AU486" t="s">
        <v>10</v>
      </c>
      <c r="AV486">
        <v>0</v>
      </c>
      <c r="AW486">
        <v>0</v>
      </c>
      <c r="AX486">
        <v>0</v>
      </c>
      <c r="AY486">
        <v>0</v>
      </c>
      <c r="AZ486">
        <v>2</v>
      </c>
      <c r="BA486" t="s">
        <v>18</v>
      </c>
      <c r="BB486" t="s">
        <v>4</v>
      </c>
      <c r="BC486" t="s">
        <v>10</v>
      </c>
      <c r="BD486">
        <v>0</v>
      </c>
      <c r="BE486">
        <v>0</v>
      </c>
      <c r="BF486">
        <v>0</v>
      </c>
      <c r="BG486">
        <v>0</v>
      </c>
      <c r="BH486">
        <v>0</v>
      </c>
      <c r="BI486" t="s">
        <v>9</v>
      </c>
      <c r="BJ486">
        <v>0</v>
      </c>
      <c r="BK486">
        <v>-2.9483999999999999E-4</v>
      </c>
      <c r="BL486">
        <v>0</v>
      </c>
      <c r="BM486" s="2">
        <f t="shared" si="7"/>
        <v>1.923151598382227E-6</v>
      </c>
    </row>
    <row r="487" spans="1:65" x14ac:dyDescent="0.35">
      <c r="A487">
        <v>0</v>
      </c>
      <c r="B487" t="s">
        <v>3</v>
      </c>
      <c r="C487" t="s">
        <v>4</v>
      </c>
      <c r="D487">
        <v>0</v>
      </c>
      <c r="E487" t="s">
        <v>3</v>
      </c>
      <c r="F487" t="s">
        <v>5</v>
      </c>
      <c r="G487">
        <v>3944.0155690000001</v>
      </c>
      <c r="H487" t="s">
        <v>4</v>
      </c>
      <c r="I487">
        <v>990.16341899999998</v>
      </c>
      <c r="J487">
        <v>2953.8521500000002</v>
      </c>
      <c r="K487" t="s">
        <v>6</v>
      </c>
      <c r="L487" t="s">
        <v>7</v>
      </c>
      <c r="M487" t="s">
        <v>8</v>
      </c>
      <c r="N487" t="s">
        <v>6</v>
      </c>
      <c r="O487" t="s">
        <v>3</v>
      </c>
      <c r="P487" t="s">
        <v>3</v>
      </c>
      <c r="Q487" t="s">
        <v>3</v>
      </c>
      <c r="R487" t="s">
        <v>3</v>
      </c>
      <c r="S487" t="s">
        <v>3</v>
      </c>
      <c r="T487" t="s">
        <v>7</v>
      </c>
      <c r="U487">
        <v>0</v>
      </c>
      <c r="V487">
        <v>2</v>
      </c>
      <c r="W487">
        <v>0</v>
      </c>
      <c r="X487">
        <v>1</v>
      </c>
      <c r="Y487">
        <v>0</v>
      </c>
      <c r="Z487" t="s">
        <v>9</v>
      </c>
      <c r="AA487" t="s">
        <v>4</v>
      </c>
      <c r="AB487" t="s">
        <v>6</v>
      </c>
      <c r="AC487" t="s">
        <v>7</v>
      </c>
      <c r="AD487" t="s">
        <v>8</v>
      </c>
      <c r="AE487" t="s">
        <v>6</v>
      </c>
      <c r="AF487" t="s">
        <v>3</v>
      </c>
      <c r="AG487" t="s">
        <v>3</v>
      </c>
      <c r="AH487" t="s">
        <v>3</v>
      </c>
      <c r="AI487" t="s">
        <v>3</v>
      </c>
      <c r="AJ487" t="s">
        <v>3</v>
      </c>
      <c r="AK487" t="s">
        <v>7</v>
      </c>
      <c r="AL487">
        <v>0</v>
      </c>
      <c r="AM487">
        <v>0</v>
      </c>
      <c r="AN487">
        <v>0</v>
      </c>
      <c r="AO487">
        <v>0</v>
      </c>
      <c r="AP487">
        <v>0</v>
      </c>
      <c r="AQ487" t="s">
        <v>9</v>
      </c>
      <c r="AR487" s="1">
        <v>2.8034856899999998E-4</v>
      </c>
      <c r="AS487" s="1">
        <v>6.2373673899999999E-25</v>
      </c>
      <c r="AT487">
        <v>20</v>
      </c>
      <c r="AU487" t="s">
        <v>10</v>
      </c>
      <c r="AV487">
        <v>0</v>
      </c>
      <c r="AW487">
        <v>2</v>
      </c>
      <c r="AX487">
        <v>0</v>
      </c>
      <c r="AY487">
        <v>1</v>
      </c>
      <c r="AZ487">
        <v>0</v>
      </c>
      <c r="BA487" t="s">
        <v>9</v>
      </c>
      <c r="BB487" t="s">
        <v>4</v>
      </c>
      <c r="BC487" t="s">
        <v>10</v>
      </c>
      <c r="BD487">
        <v>0</v>
      </c>
      <c r="BE487">
        <v>0</v>
      </c>
      <c r="BF487">
        <v>0</v>
      </c>
      <c r="BG487">
        <v>0</v>
      </c>
      <c r="BH487">
        <v>0</v>
      </c>
      <c r="BI487" t="s">
        <v>9</v>
      </c>
      <c r="BJ487">
        <v>-1.4337E-4</v>
      </c>
      <c r="BK487">
        <v>0</v>
      </c>
      <c r="BL487">
        <v>-2.4091999999999999E-4</v>
      </c>
      <c r="BM487" s="2">
        <f t="shared" si="7"/>
        <v>3.7562304643908512E-6</v>
      </c>
    </row>
    <row r="488" spans="1:65" x14ac:dyDescent="0.35">
      <c r="A488">
        <v>0</v>
      </c>
      <c r="B488" t="s">
        <v>3</v>
      </c>
      <c r="C488" t="s">
        <v>4</v>
      </c>
      <c r="D488">
        <v>0</v>
      </c>
      <c r="E488" t="s">
        <v>3</v>
      </c>
      <c r="F488" t="s">
        <v>5</v>
      </c>
      <c r="G488">
        <v>4851.3968789999999</v>
      </c>
      <c r="H488" t="s">
        <v>4</v>
      </c>
      <c r="I488">
        <v>990.16341899999998</v>
      </c>
      <c r="J488">
        <v>3861.2334599999999</v>
      </c>
      <c r="K488" t="s">
        <v>6</v>
      </c>
      <c r="L488" t="s">
        <v>7</v>
      </c>
      <c r="M488" t="s">
        <v>8</v>
      </c>
      <c r="N488" t="s">
        <v>6</v>
      </c>
      <c r="O488" t="s">
        <v>3</v>
      </c>
      <c r="P488" t="s">
        <v>3</v>
      </c>
      <c r="Q488" t="s">
        <v>3</v>
      </c>
      <c r="R488" t="s">
        <v>3</v>
      </c>
      <c r="S488" t="s">
        <v>3</v>
      </c>
      <c r="T488" t="s">
        <v>7</v>
      </c>
      <c r="U488">
        <v>3</v>
      </c>
      <c r="V488">
        <v>0</v>
      </c>
      <c r="W488">
        <v>0</v>
      </c>
      <c r="X488">
        <v>1</v>
      </c>
      <c r="Y488">
        <v>1</v>
      </c>
      <c r="Z488" t="s">
        <v>9</v>
      </c>
      <c r="AA488" t="s">
        <v>4</v>
      </c>
      <c r="AB488" t="s">
        <v>6</v>
      </c>
      <c r="AC488" t="s">
        <v>7</v>
      </c>
      <c r="AD488" t="s">
        <v>8</v>
      </c>
      <c r="AE488" t="s">
        <v>6</v>
      </c>
      <c r="AF488" t="s">
        <v>3</v>
      </c>
      <c r="AG488" t="s">
        <v>3</v>
      </c>
      <c r="AH488" t="s">
        <v>3</v>
      </c>
      <c r="AI488" t="s">
        <v>3</v>
      </c>
      <c r="AJ488" t="s">
        <v>3</v>
      </c>
      <c r="AK488" t="s">
        <v>7</v>
      </c>
      <c r="AL488">
        <v>0</v>
      </c>
      <c r="AM488">
        <v>0</v>
      </c>
      <c r="AN488">
        <v>0</v>
      </c>
      <c r="AO488">
        <v>0</v>
      </c>
      <c r="AP488">
        <v>0</v>
      </c>
      <c r="AQ488" t="s">
        <v>9</v>
      </c>
      <c r="AR488" s="1">
        <v>1.57696341E-4</v>
      </c>
      <c r="AS488" s="1">
        <v>2.5797965300000002E-25</v>
      </c>
      <c r="AT488">
        <v>21</v>
      </c>
      <c r="AU488" t="s">
        <v>10</v>
      </c>
      <c r="AV488">
        <v>3</v>
      </c>
      <c r="AW488">
        <v>0</v>
      </c>
      <c r="AX488">
        <v>0</v>
      </c>
      <c r="AY488">
        <v>1</v>
      </c>
      <c r="AZ488">
        <v>1</v>
      </c>
      <c r="BA488" t="s">
        <v>9</v>
      </c>
      <c r="BB488" t="s">
        <v>4</v>
      </c>
      <c r="BC488" t="s">
        <v>10</v>
      </c>
      <c r="BD488">
        <v>0</v>
      </c>
      <c r="BE488">
        <v>0</v>
      </c>
      <c r="BF488">
        <v>0</v>
      </c>
      <c r="BG488">
        <v>0</v>
      </c>
      <c r="BH488">
        <v>0</v>
      </c>
      <c r="BI488" t="s">
        <v>9</v>
      </c>
      <c r="BJ488">
        <v>-7.2910000000000005E-5</v>
      </c>
      <c r="BK488">
        <v>0</v>
      </c>
      <c r="BL488">
        <v>1.3982999999999999E-4</v>
      </c>
      <c r="BM488" s="2">
        <f t="shared" si="7"/>
        <v>1.5535897939011424E-6</v>
      </c>
    </row>
    <row r="489" spans="1:65" x14ac:dyDescent="0.35">
      <c r="A489">
        <v>0</v>
      </c>
      <c r="B489" t="s">
        <v>11</v>
      </c>
      <c r="C489" t="s">
        <v>4</v>
      </c>
      <c r="D489">
        <v>0</v>
      </c>
      <c r="E489" t="s">
        <v>3</v>
      </c>
      <c r="F489" t="s">
        <v>5</v>
      </c>
      <c r="G489">
        <v>4533.5853809999999</v>
      </c>
      <c r="H489" t="s">
        <v>4</v>
      </c>
      <c r="I489">
        <v>990.16341899999998</v>
      </c>
      <c r="J489">
        <v>3543.4219619999999</v>
      </c>
      <c r="K489" t="s">
        <v>6</v>
      </c>
      <c r="L489" t="s">
        <v>7</v>
      </c>
      <c r="M489" t="s">
        <v>8</v>
      </c>
      <c r="N489" t="s">
        <v>6</v>
      </c>
      <c r="O489" t="s">
        <v>3</v>
      </c>
      <c r="P489" t="s">
        <v>3</v>
      </c>
      <c r="Q489" t="s">
        <v>3</v>
      </c>
      <c r="R489" t="s">
        <v>3</v>
      </c>
      <c r="S489" t="s">
        <v>11</v>
      </c>
      <c r="T489" t="s">
        <v>7</v>
      </c>
      <c r="U489">
        <v>1</v>
      </c>
      <c r="V489">
        <v>0</v>
      </c>
      <c r="W489">
        <v>0</v>
      </c>
      <c r="X489">
        <v>3</v>
      </c>
      <c r="Y489">
        <v>1</v>
      </c>
      <c r="Z489" t="s">
        <v>14</v>
      </c>
      <c r="AA489" t="s">
        <v>4</v>
      </c>
      <c r="AB489" t="s">
        <v>6</v>
      </c>
      <c r="AC489" t="s">
        <v>7</v>
      </c>
      <c r="AD489" t="s">
        <v>8</v>
      </c>
      <c r="AE489" t="s">
        <v>6</v>
      </c>
      <c r="AF489" t="s">
        <v>3</v>
      </c>
      <c r="AG489" t="s">
        <v>3</v>
      </c>
      <c r="AH489" t="s">
        <v>3</v>
      </c>
      <c r="AI489" t="s">
        <v>3</v>
      </c>
      <c r="AJ489" t="s">
        <v>3</v>
      </c>
      <c r="AK489" t="s">
        <v>7</v>
      </c>
      <c r="AL489">
        <v>0</v>
      </c>
      <c r="AM489">
        <v>0</v>
      </c>
      <c r="AN489">
        <v>0</v>
      </c>
      <c r="AO489">
        <v>0</v>
      </c>
      <c r="AP489">
        <v>0</v>
      </c>
      <c r="AQ489" t="s">
        <v>9</v>
      </c>
      <c r="AR489" s="1">
        <v>1.04913369E-5</v>
      </c>
      <c r="AS489" s="1">
        <v>1.04785379E-27</v>
      </c>
      <c r="AT489">
        <v>20</v>
      </c>
      <c r="AU489" t="s">
        <v>10</v>
      </c>
      <c r="AV489">
        <v>1</v>
      </c>
      <c r="AW489">
        <v>0</v>
      </c>
      <c r="AX489">
        <v>0</v>
      </c>
      <c r="AY489">
        <v>3</v>
      </c>
      <c r="AZ489">
        <v>1</v>
      </c>
      <c r="BA489" t="s">
        <v>14</v>
      </c>
      <c r="BB489" t="s">
        <v>4</v>
      </c>
      <c r="BC489" t="s">
        <v>10</v>
      </c>
      <c r="BD489">
        <v>0</v>
      </c>
      <c r="BE489">
        <v>0</v>
      </c>
      <c r="BF489">
        <v>0</v>
      </c>
      <c r="BG489">
        <v>0</v>
      </c>
      <c r="BH489">
        <v>0</v>
      </c>
      <c r="BI489" t="s">
        <v>9</v>
      </c>
      <c r="BJ489">
        <v>0</v>
      </c>
      <c r="BK489">
        <v>1.049E-5</v>
      </c>
      <c r="BL489">
        <v>0</v>
      </c>
      <c r="BM489" s="2">
        <f t="shared" si="7"/>
        <v>6.3103230611936317E-9</v>
      </c>
    </row>
    <row r="490" spans="1:65" x14ac:dyDescent="0.35">
      <c r="A490">
        <v>0</v>
      </c>
      <c r="B490" t="s">
        <v>3</v>
      </c>
      <c r="C490" t="s">
        <v>4</v>
      </c>
      <c r="D490">
        <v>0</v>
      </c>
      <c r="E490" t="s">
        <v>3</v>
      </c>
      <c r="F490" t="s">
        <v>5</v>
      </c>
      <c r="G490">
        <v>4678.5735930000001</v>
      </c>
      <c r="H490" t="s">
        <v>4</v>
      </c>
      <c r="I490">
        <v>990.16341899999998</v>
      </c>
      <c r="J490">
        <v>3688.4101740000001</v>
      </c>
      <c r="K490" t="s">
        <v>6</v>
      </c>
      <c r="L490" t="s">
        <v>7</v>
      </c>
      <c r="M490" t="s">
        <v>8</v>
      </c>
      <c r="N490" t="s">
        <v>6</v>
      </c>
      <c r="O490" t="s">
        <v>3</v>
      </c>
      <c r="P490" t="s">
        <v>3</v>
      </c>
      <c r="Q490" t="s">
        <v>3</v>
      </c>
      <c r="R490" t="s">
        <v>3</v>
      </c>
      <c r="S490" t="s">
        <v>3</v>
      </c>
      <c r="T490" t="s">
        <v>7</v>
      </c>
      <c r="U490">
        <v>1</v>
      </c>
      <c r="V490">
        <v>1</v>
      </c>
      <c r="W490">
        <v>0</v>
      </c>
      <c r="X490">
        <v>0</v>
      </c>
      <c r="Y490">
        <v>0</v>
      </c>
      <c r="Z490" t="s">
        <v>29</v>
      </c>
      <c r="AA490" t="s">
        <v>4</v>
      </c>
      <c r="AB490" t="s">
        <v>6</v>
      </c>
      <c r="AC490" t="s">
        <v>7</v>
      </c>
      <c r="AD490" t="s">
        <v>8</v>
      </c>
      <c r="AE490" t="s">
        <v>6</v>
      </c>
      <c r="AF490" t="s">
        <v>3</v>
      </c>
      <c r="AG490" t="s">
        <v>3</v>
      </c>
      <c r="AH490" t="s">
        <v>3</v>
      </c>
      <c r="AI490" t="s">
        <v>3</v>
      </c>
      <c r="AJ490" t="s">
        <v>3</v>
      </c>
      <c r="AK490" t="s">
        <v>7</v>
      </c>
      <c r="AL490">
        <v>0</v>
      </c>
      <c r="AM490">
        <v>0</v>
      </c>
      <c r="AN490">
        <v>0</v>
      </c>
      <c r="AO490">
        <v>0</v>
      </c>
      <c r="AP490">
        <v>0</v>
      </c>
      <c r="AQ490" t="s">
        <v>9</v>
      </c>
      <c r="AR490" s="1">
        <v>3.75658913E-4</v>
      </c>
      <c r="AS490" s="1">
        <v>1.3984365300000001E-24</v>
      </c>
      <c r="AT490">
        <v>21</v>
      </c>
      <c r="AU490" t="s">
        <v>10</v>
      </c>
      <c r="AV490">
        <v>1</v>
      </c>
      <c r="AW490">
        <v>1</v>
      </c>
      <c r="AX490">
        <v>0</v>
      </c>
      <c r="AY490">
        <v>0</v>
      </c>
      <c r="AZ490">
        <v>0</v>
      </c>
      <c r="BA490" t="s">
        <v>29</v>
      </c>
      <c r="BB490" t="s">
        <v>4</v>
      </c>
      <c r="BC490" t="s">
        <v>10</v>
      </c>
      <c r="BD490">
        <v>0</v>
      </c>
      <c r="BE490">
        <v>0</v>
      </c>
      <c r="BF490">
        <v>0</v>
      </c>
      <c r="BG490">
        <v>0</v>
      </c>
      <c r="BH490">
        <v>0</v>
      </c>
      <c r="BI490" t="s">
        <v>9</v>
      </c>
      <c r="BJ490">
        <v>-2.3294E-4</v>
      </c>
      <c r="BK490">
        <v>0</v>
      </c>
      <c r="BL490">
        <v>2.9472E-4</v>
      </c>
      <c r="BM490" s="2">
        <f t="shared" si="7"/>
        <v>8.4215816835234254E-6</v>
      </c>
    </row>
    <row r="491" spans="1:65" x14ac:dyDescent="0.35">
      <c r="A491">
        <v>0</v>
      </c>
      <c r="B491" t="s">
        <v>11</v>
      </c>
      <c r="C491" t="s">
        <v>4</v>
      </c>
      <c r="D491">
        <v>0</v>
      </c>
      <c r="E491" t="s">
        <v>3</v>
      </c>
      <c r="F491" t="s">
        <v>5</v>
      </c>
      <c r="G491">
        <v>4039.1546640000001</v>
      </c>
      <c r="H491" t="s">
        <v>4</v>
      </c>
      <c r="I491">
        <v>990.16341899999998</v>
      </c>
      <c r="J491">
        <v>3048.9912450000002</v>
      </c>
      <c r="K491" t="s">
        <v>6</v>
      </c>
      <c r="L491" t="s">
        <v>7</v>
      </c>
      <c r="M491" t="s">
        <v>8</v>
      </c>
      <c r="N491" t="s">
        <v>6</v>
      </c>
      <c r="O491" t="s">
        <v>3</v>
      </c>
      <c r="P491" t="s">
        <v>3</v>
      </c>
      <c r="Q491" t="s">
        <v>3</v>
      </c>
      <c r="R491" t="s">
        <v>3</v>
      </c>
      <c r="S491" t="s">
        <v>11</v>
      </c>
      <c r="T491" t="s">
        <v>7</v>
      </c>
      <c r="U491">
        <v>2</v>
      </c>
      <c r="V491">
        <v>0</v>
      </c>
      <c r="W491">
        <v>0</v>
      </c>
      <c r="X491">
        <v>0</v>
      </c>
      <c r="Y491">
        <v>2</v>
      </c>
      <c r="Z491" t="s">
        <v>18</v>
      </c>
      <c r="AA491" t="s">
        <v>4</v>
      </c>
      <c r="AB491" t="s">
        <v>6</v>
      </c>
      <c r="AC491" t="s">
        <v>7</v>
      </c>
      <c r="AD491" t="s">
        <v>8</v>
      </c>
      <c r="AE491" t="s">
        <v>6</v>
      </c>
      <c r="AF491" t="s">
        <v>3</v>
      </c>
      <c r="AG491" t="s">
        <v>3</v>
      </c>
      <c r="AH491" t="s">
        <v>3</v>
      </c>
      <c r="AI491" t="s">
        <v>3</v>
      </c>
      <c r="AJ491" t="s">
        <v>3</v>
      </c>
      <c r="AK491" t="s">
        <v>7</v>
      </c>
      <c r="AL491">
        <v>0</v>
      </c>
      <c r="AM491">
        <v>0</v>
      </c>
      <c r="AN491">
        <v>0</v>
      </c>
      <c r="AO491">
        <v>0</v>
      </c>
      <c r="AP491">
        <v>0</v>
      </c>
      <c r="AQ491" t="s">
        <v>9</v>
      </c>
      <c r="AR491" s="1">
        <v>5.5605476799999997E-6</v>
      </c>
      <c r="AS491" s="1">
        <v>2.53283736E-28</v>
      </c>
      <c r="AT491">
        <v>21</v>
      </c>
      <c r="AU491" t="s">
        <v>10</v>
      </c>
      <c r="AV491">
        <v>2</v>
      </c>
      <c r="AW491">
        <v>0</v>
      </c>
      <c r="AX491">
        <v>0</v>
      </c>
      <c r="AY491">
        <v>0</v>
      </c>
      <c r="AZ491">
        <v>2</v>
      </c>
      <c r="BA491" t="s">
        <v>18</v>
      </c>
      <c r="BB491" t="s">
        <v>4</v>
      </c>
      <c r="BC491" t="s">
        <v>10</v>
      </c>
      <c r="BD491">
        <v>0</v>
      </c>
      <c r="BE491">
        <v>0</v>
      </c>
      <c r="BF491">
        <v>0</v>
      </c>
      <c r="BG491">
        <v>0</v>
      </c>
      <c r="BH491">
        <v>0</v>
      </c>
      <c r="BI491" t="s">
        <v>9</v>
      </c>
      <c r="BJ491">
        <v>0</v>
      </c>
      <c r="BK491">
        <v>-5.5600000000000001E-6</v>
      </c>
      <c r="BL491">
        <v>0</v>
      </c>
      <c r="BM491" s="2">
        <f t="shared" si="7"/>
        <v>1.5253103205420289E-9</v>
      </c>
    </row>
    <row r="492" spans="1:65" x14ac:dyDescent="0.35">
      <c r="A492">
        <v>0</v>
      </c>
      <c r="B492" t="s">
        <v>3</v>
      </c>
      <c r="C492" t="s">
        <v>4</v>
      </c>
      <c r="D492">
        <v>0</v>
      </c>
      <c r="E492" t="s">
        <v>3</v>
      </c>
      <c r="F492" t="s">
        <v>5</v>
      </c>
      <c r="G492">
        <v>2719.950304</v>
      </c>
      <c r="H492" t="s">
        <v>4</v>
      </c>
      <c r="I492">
        <v>990.16341899999998</v>
      </c>
      <c r="J492">
        <v>1729.786885</v>
      </c>
      <c r="K492" t="s">
        <v>6</v>
      </c>
      <c r="L492" t="s">
        <v>7</v>
      </c>
      <c r="M492" t="s">
        <v>8</v>
      </c>
      <c r="N492" t="s">
        <v>6</v>
      </c>
      <c r="O492" t="s">
        <v>3</v>
      </c>
      <c r="P492" t="s">
        <v>3</v>
      </c>
      <c r="Q492" t="s">
        <v>3</v>
      </c>
      <c r="R492" t="s">
        <v>3</v>
      </c>
      <c r="S492" t="s">
        <v>3</v>
      </c>
      <c r="T492" t="s">
        <v>7</v>
      </c>
      <c r="U492">
        <v>0</v>
      </c>
      <c r="V492">
        <v>1</v>
      </c>
      <c r="W492">
        <v>0</v>
      </c>
      <c r="X492">
        <v>1</v>
      </c>
      <c r="Y492">
        <v>0</v>
      </c>
      <c r="Z492" t="s">
        <v>15</v>
      </c>
      <c r="AA492" t="s">
        <v>4</v>
      </c>
      <c r="AB492" t="s">
        <v>6</v>
      </c>
      <c r="AC492" t="s">
        <v>7</v>
      </c>
      <c r="AD492" t="s">
        <v>8</v>
      </c>
      <c r="AE492" t="s">
        <v>6</v>
      </c>
      <c r="AF492" t="s">
        <v>3</v>
      </c>
      <c r="AG492" t="s">
        <v>3</v>
      </c>
      <c r="AH492" t="s">
        <v>3</v>
      </c>
      <c r="AI492" t="s">
        <v>3</v>
      </c>
      <c r="AJ492" t="s">
        <v>3</v>
      </c>
      <c r="AK492" t="s">
        <v>7</v>
      </c>
      <c r="AL492">
        <v>0</v>
      </c>
      <c r="AM492">
        <v>0</v>
      </c>
      <c r="AN492">
        <v>0</v>
      </c>
      <c r="AO492">
        <v>0</v>
      </c>
      <c r="AP492">
        <v>0</v>
      </c>
      <c r="AQ492" t="s">
        <v>9</v>
      </c>
      <c r="AR492" s="1">
        <v>1.1250750600000001E-3</v>
      </c>
      <c r="AS492" s="1">
        <v>5.8812445299999999E-24</v>
      </c>
      <c r="AT492">
        <v>20</v>
      </c>
      <c r="AU492" t="s">
        <v>10</v>
      </c>
      <c r="AV492">
        <v>0</v>
      </c>
      <c r="AW492">
        <v>1</v>
      </c>
      <c r="AX492">
        <v>0</v>
      </c>
      <c r="AY492">
        <v>1</v>
      </c>
      <c r="AZ492">
        <v>0</v>
      </c>
      <c r="BA492" t="s">
        <v>15</v>
      </c>
      <c r="BB492" t="s">
        <v>4</v>
      </c>
      <c r="BC492" t="s">
        <v>10</v>
      </c>
      <c r="BD492">
        <v>0</v>
      </c>
      <c r="BE492">
        <v>0</v>
      </c>
      <c r="BF492">
        <v>0</v>
      </c>
      <c r="BG492">
        <v>0</v>
      </c>
      <c r="BH492">
        <v>0</v>
      </c>
      <c r="BI492" t="s">
        <v>9</v>
      </c>
      <c r="BJ492">
        <v>-7.5082000000000002E-4</v>
      </c>
      <c r="BK492">
        <v>0</v>
      </c>
      <c r="BL492">
        <v>8.3788999999999999E-4</v>
      </c>
      <c r="BM492" s="2">
        <f t="shared" si="7"/>
        <v>3.5417682638889822E-5</v>
      </c>
    </row>
    <row r="493" spans="1:65" x14ac:dyDescent="0.35">
      <c r="A493">
        <v>0</v>
      </c>
      <c r="B493" t="s">
        <v>11</v>
      </c>
      <c r="C493" t="s">
        <v>4</v>
      </c>
      <c r="D493">
        <v>0</v>
      </c>
      <c r="E493" t="s">
        <v>3</v>
      </c>
      <c r="F493" t="s">
        <v>5</v>
      </c>
      <c r="G493">
        <v>3717.6339119999998</v>
      </c>
      <c r="H493" t="s">
        <v>4</v>
      </c>
      <c r="I493">
        <v>990.16341899999998</v>
      </c>
      <c r="J493">
        <v>2727.4704929999998</v>
      </c>
      <c r="K493" t="s">
        <v>6</v>
      </c>
      <c r="L493" t="s">
        <v>7</v>
      </c>
      <c r="M493" t="s">
        <v>8</v>
      </c>
      <c r="N493" t="s">
        <v>6</v>
      </c>
      <c r="O493" t="s">
        <v>3</v>
      </c>
      <c r="P493" t="s">
        <v>3</v>
      </c>
      <c r="Q493" t="s">
        <v>3</v>
      </c>
      <c r="R493" t="s">
        <v>3</v>
      </c>
      <c r="S493" t="s">
        <v>11</v>
      </c>
      <c r="T493" t="s">
        <v>7</v>
      </c>
      <c r="U493">
        <v>0</v>
      </c>
      <c r="V493">
        <v>0</v>
      </c>
      <c r="W493">
        <v>0</v>
      </c>
      <c r="X493">
        <v>0</v>
      </c>
      <c r="Y493">
        <v>4</v>
      </c>
      <c r="Z493" t="s">
        <v>18</v>
      </c>
      <c r="AA493" t="s">
        <v>4</v>
      </c>
      <c r="AB493" t="s">
        <v>6</v>
      </c>
      <c r="AC493" t="s">
        <v>7</v>
      </c>
      <c r="AD493" t="s">
        <v>8</v>
      </c>
      <c r="AE493" t="s">
        <v>6</v>
      </c>
      <c r="AF493" t="s">
        <v>3</v>
      </c>
      <c r="AG493" t="s">
        <v>3</v>
      </c>
      <c r="AH493" t="s">
        <v>3</v>
      </c>
      <c r="AI493" t="s">
        <v>3</v>
      </c>
      <c r="AJ493" t="s">
        <v>3</v>
      </c>
      <c r="AK493" t="s">
        <v>7</v>
      </c>
      <c r="AL493">
        <v>0</v>
      </c>
      <c r="AM493">
        <v>0</v>
      </c>
      <c r="AN493">
        <v>0</v>
      </c>
      <c r="AO493">
        <v>0</v>
      </c>
      <c r="AP493">
        <v>0</v>
      </c>
      <c r="AQ493" t="s">
        <v>9</v>
      </c>
      <c r="AR493" s="1">
        <v>8.7441079499999999E-5</v>
      </c>
      <c r="AS493" s="1">
        <v>5.6028167200000001E-26</v>
      </c>
      <c r="AT493">
        <v>24</v>
      </c>
      <c r="AU493" t="s">
        <v>10</v>
      </c>
      <c r="AV493">
        <v>0</v>
      </c>
      <c r="AW493">
        <v>0</v>
      </c>
      <c r="AX493">
        <v>0</v>
      </c>
      <c r="AY493">
        <v>0</v>
      </c>
      <c r="AZ493">
        <v>4</v>
      </c>
      <c r="BA493" t="s">
        <v>18</v>
      </c>
      <c r="BB493" t="s">
        <v>4</v>
      </c>
      <c r="BC493" t="s">
        <v>10</v>
      </c>
      <c r="BD493">
        <v>0</v>
      </c>
      <c r="BE493">
        <v>0</v>
      </c>
      <c r="BF493">
        <v>0</v>
      </c>
      <c r="BG493">
        <v>0</v>
      </c>
      <c r="BH493">
        <v>0</v>
      </c>
      <c r="BI493" t="s">
        <v>9</v>
      </c>
      <c r="BJ493">
        <v>0</v>
      </c>
      <c r="BK493">
        <v>8.7440000000000003E-5</v>
      </c>
      <c r="BL493">
        <v>0</v>
      </c>
      <c r="BM493" s="2">
        <f t="shared" si="7"/>
        <v>3.3740951164434175E-7</v>
      </c>
    </row>
    <row r="494" spans="1:65" x14ac:dyDescent="0.35">
      <c r="A494">
        <v>0</v>
      </c>
      <c r="B494" t="s">
        <v>11</v>
      </c>
      <c r="C494" t="s">
        <v>4</v>
      </c>
      <c r="D494">
        <v>0</v>
      </c>
      <c r="E494" t="s">
        <v>3</v>
      </c>
      <c r="F494" t="s">
        <v>5</v>
      </c>
      <c r="G494">
        <v>4432.8680709999999</v>
      </c>
      <c r="H494" t="s">
        <v>4</v>
      </c>
      <c r="I494">
        <v>990.16341899999998</v>
      </c>
      <c r="J494">
        <v>3442.7046519999999</v>
      </c>
      <c r="K494" t="s">
        <v>6</v>
      </c>
      <c r="L494" t="s">
        <v>7</v>
      </c>
      <c r="M494" t="s">
        <v>8</v>
      </c>
      <c r="N494" t="s">
        <v>6</v>
      </c>
      <c r="O494" t="s">
        <v>3</v>
      </c>
      <c r="P494" t="s">
        <v>3</v>
      </c>
      <c r="Q494" t="s">
        <v>3</v>
      </c>
      <c r="R494" t="s">
        <v>3</v>
      </c>
      <c r="S494" t="s">
        <v>11</v>
      </c>
      <c r="T494" t="s">
        <v>7</v>
      </c>
      <c r="U494">
        <v>1</v>
      </c>
      <c r="V494">
        <v>0</v>
      </c>
      <c r="W494">
        <v>0</v>
      </c>
      <c r="X494">
        <v>0</v>
      </c>
      <c r="Y494">
        <v>0</v>
      </c>
      <c r="Z494" t="s">
        <v>28</v>
      </c>
      <c r="AA494" t="s">
        <v>4</v>
      </c>
      <c r="AB494" t="s">
        <v>6</v>
      </c>
      <c r="AC494" t="s">
        <v>7</v>
      </c>
      <c r="AD494" t="s">
        <v>8</v>
      </c>
      <c r="AE494" t="s">
        <v>6</v>
      </c>
      <c r="AF494" t="s">
        <v>3</v>
      </c>
      <c r="AG494" t="s">
        <v>3</v>
      </c>
      <c r="AH494" t="s">
        <v>3</v>
      </c>
      <c r="AI494" t="s">
        <v>3</v>
      </c>
      <c r="AJ494" t="s">
        <v>3</v>
      </c>
      <c r="AK494" t="s">
        <v>7</v>
      </c>
      <c r="AL494">
        <v>0</v>
      </c>
      <c r="AM494">
        <v>0</v>
      </c>
      <c r="AN494">
        <v>0</v>
      </c>
      <c r="AO494">
        <v>0</v>
      </c>
      <c r="AP494">
        <v>0</v>
      </c>
      <c r="AQ494" t="s">
        <v>9</v>
      </c>
      <c r="AR494" s="1">
        <v>2.4768297E-5</v>
      </c>
      <c r="AS494" s="1">
        <v>5.6742464700000001E-27</v>
      </c>
      <c r="AT494">
        <v>7</v>
      </c>
      <c r="AU494" t="s">
        <v>10</v>
      </c>
      <c r="AV494">
        <v>1</v>
      </c>
      <c r="AW494">
        <v>0</v>
      </c>
      <c r="AX494">
        <v>0</v>
      </c>
      <c r="AY494">
        <v>0</v>
      </c>
      <c r="AZ494">
        <v>0</v>
      </c>
      <c r="BA494" t="s">
        <v>28</v>
      </c>
      <c r="BB494" t="s">
        <v>4</v>
      </c>
      <c r="BC494" t="s">
        <v>10</v>
      </c>
      <c r="BD494">
        <v>0</v>
      </c>
      <c r="BE494">
        <v>0</v>
      </c>
      <c r="BF494">
        <v>0</v>
      </c>
      <c r="BG494">
        <v>0</v>
      </c>
      <c r="BH494">
        <v>0</v>
      </c>
      <c r="BI494" t="s">
        <v>9</v>
      </c>
      <c r="BJ494">
        <v>0</v>
      </c>
      <c r="BK494">
        <v>-2.4769999999999998E-5</v>
      </c>
      <c r="BL494">
        <v>0</v>
      </c>
      <c r="BM494" s="2">
        <f t="shared" si="7"/>
        <v>3.4171111176242974E-8</v>
      </c>
    </row>
    <row r="495" spans="1:65" x14ac:dyDescent="0.35">
      <c r="A495">
        <v>0</v>
      </c>
      <c r="B495" t="s">
        <v>3</v>
      </c>
      <c r="C495" t="s">
        <v>4</v>
      </c>
      <c r="D495">
        <v>0</v>
      </c>
      <c r="E495" t="s">
        <v>3</v>
      </c>
      <c r="F495" t="s">
        <v>5</v>
      </c>
      <c r="G495">
        <v>4149.111398</v>
      </c>
      <c r="H495" t="s">
        <v>4</v>
      </c>
      <c r="I495">
        <v>990.16341899999998</v>
      </c>
      <c r="J495">
        <v>3158.947979</v>
      </c>
      <c r="K495" t="s">
        <v>6</v>
      </c>
      <c r="L495" t="s">
        <v>7</v>
      </c>
      <c r="M495" t="s">
        <v>8</v>
      </c>
      <c r="N495" t="s">
        <v>6</v>
      </c>
      <c r="O495" t="s">
        <v>3</v>
      </c>
      <c r="P495" t="s">
        <v>3</v>
      </c>
      <c r="Q495" t="s">
        <v>3</v>
      </c>
      <c r="R495" t="s">
        <v>3</v>
      </c>
      <c r="S495" t="s">
        <v>3</v>
      </c>
      <c r="T495" t="s">
        <v>7</v>
      </c>
      <c r="U495">
        <v>0</v>
      </c>
      <c r="V495">
        <v>3</v>
      </c>
      <c r="W495">
        <v>0</v>
      </c>
      <c r="X495">
        <v>1</v>
      </c>
      <c r="Y495">
        <v>0</v>
      </c>
      <c r="Z495" t="s">
        <v>8</v>
      </c>
      <c r="AA495" t="s">
        <v>4</v>
      </c>
      <c r="AB495" t="s">
        <v>6</v>
      </c>
      <c r="AC495" t="s">
        <v>7</v>
      </c>
      <c r="AD495" t="s">
        <v>8</v>
      </c>
      <c r="AE495" t="s">
        <v>6</v>
      </c>
      <c r="AF495" t="s">
        <v>3</v>
      </c>
      <c r="AG495" t="s">
        <v>3</v>
      </c>
      <c r="AH495" t="s">
        <v>3</v>
      </c>
      <c r="AI495" t="s">
        <v>3</v>
      </c>
      <c r="AJ495" t="s">
        <v>3</v>
      </c>
      <c r="AK495" t="s">
        <v>7</v>
      </c>
      <c r="AL495">
        <v>0</v>
      </c>
      <c r="AM495">
        <v>0</v>
      </c>
      <c r="AN495">
        <v>0</v>
      </c>
      <c r="AO495">
        <v>0</v>
      </c>
      <c r="AP495">
        <v>0</v>
      </c>
      <c r="AQ495" t="s">
        <v>9</v>
      </c>
      <c r="AR495" s="1">
        <v>1.6944080800000001E-5</v>
      </c>
      <c r="AS495" s="1">
        <v>2.4366579E-27</v>
      </c>
      <c r="AT495">
        <v>24</v>
      </c>
      <c r="AU495" t="s">
        <v>10</v>
      </c>
      <c r="AV495">
        <v>0</v>
      </c>
      <c r="AW495">
        <v>3</v>
      </c>
      <c r="AX495">
        <v>0</v>
      </c>
      <c r="AY495">
        <v>1</v>
      </c>
      <c r="AZ495">
        <v>0</v>
      </c>
      <c r="BA495" t="s">
        <v>8</v>
      </c>
      <c r="BB495" t="s">
        <v>4</v>
      </c>
      <c r="BC495" t="s">
        <v>10</v>
      </c>
      <c r="BD495">
        <v>0</v>
      </c>
      <c r="BE495">
        <v>0</v>
      </c>
      <c r="BF495">
        <v>0</v>
      </c>
      <c r="BG495">
        <v>0</v>
      </c>
      <c r="BH495">
        <v>0</v>
      </c>
      <c r="BI495" t="s">
        <v>9</v>
      </c>
      <c r="BJ495">
        <v>-1.29E-5</v>
      </c>
      <c r="BK495">
        <v>0</v>
      </c>
      <c r="BL495">
        <v>-1.099E-5</v>
      </c>
      <c r="BM495" s="2">
        <f t="shared" si="7"/>
        <v>1.467389695523232E-8</v>
      </c>
    </row>
    <row r="496" spans="1:65" x14ac:dyDescent="0.35">
      <c r="A496">
        <v>0</v>
      </c>
      <c r="B496" t="s">
        <v>3</v>
      </c>
      <c r="C496" t="s">
        <v>4</v>
      </c>
      <c r="D496">
        <v>0</v>
      </c>
      <c r="E496" t="s">
        <v>3</v>
      </c>
      <c r="F496" t="s">
        <v>5</v>
      </c>
      <c r="G496">
        <v>4799.5445170000003</v>
      </c>
      <c r="H496" t="s">
        <v>4</v>
      </c>
      <c r="I496">
        <v>990.16341899999998</v>
      </c>
      <c r="J496">
        <v>3809.3810979999998</v>
      </c>
      <c r="K496" t="s">
        <v>6</v>
      </c>
      <c r="L496" t="s">
        <v>7</v>
      </c>
      <c r="M496" t="s">
        <v>8</v>
      </c>
      <c r="N496" t="s">
        <v>6</v>
      </c>
      <c r="O496" t="s">
        <v>3</v>
      </c>
      <c r="P496" t="s">
        <v>3</v>
      </c>
      <c r="Q496" t="s">
        <v>3</v>
      </c>
      <c r="R496" t="s">
        <v>3</v>
      </c>
      <c r="S496" t="s">
        <v>3</v>
      </c>
      <c r="T496" t="s">
        <v>7</v>
      </c>
      <c r="U496">
        <v>0</v>
      </c>
      <c r="V496">
        <v>2</v>
      </c>
      <c r="W496">
        <v>0</v>
      </c>
      <c r="X496">
        <v>1</v>
      </c>
      <c r="Y496">
        <v>0</v>
      </c>
      <c r="Z496" t="s">
        <v>21</v>
      </c>
      <c r="AA496" t="s">
        <v>4</v>
      </c>
      <c r="AB496" t="s">
        <v>6</v>
      </c>
      <c r="AC496" t="s">
        <v>7</v>
      </c>
      <c r="AD496" t="s">
        <v>8</v>
      </c>
      <c r="AE496" t="s">
        <v>6</v>
      </c>
      <c r="AF496" t="s">
        <v>3</v>
      </c>
      <c r="AG496" t="s">
        <v>3</v>
      </c>
      <c r="AH496" t="s">
        <v>3</v>
      </c>
      <c r="AI496" t="s">
        <v>3</v>
      </c>
      <c r="AJ496" t="s">
        <v>3</v>
      </c>
      <c r="AK496" t="s">
        <v>7</v>
      </c>
      <c r="AL496">
        <v>0</v>
      </c>
      <c r="AM496">
        <v>0</v>
      </c>
      <c r="AN496">
        <v>0</v>
      </c>
      <c r="AO496">
        <v>0</v>
      </c>
      <c r="AP496">
        <v>0</v>
      </c>
      <c r="AQ496" t="s">
        <v>9</v>
      </c>
      <c r="AR496" s="1">
        <v>1.87138318E-4</v>
      </c>
      <c r="AS496" s="1">
        <v>3.58423127E-25</v>
      </c>
      <c r="AT496">
        <v>22</v>
      </c>
      <c r="AU496" t="s">
        <v>10</v>
      </c>
      <c r="AV496">
        <v>0</v>
      </c>
      <c r="AW496">
        <v>2</v>
      </c>
      <c r="AX496">
        <v>0</v>
      </c>
      <c r="AY496">
        <v>1</v>
      </c>
      <c r="AZ496">
        <v>0</v>
      </c>
      <c r="BA496" t="s">
        <v>21</v>
      </c>
      <c r="BB496" t="s">
        <v>4</v>
      </c>
      <c r="BC496" t="s">
        <v>10</v>
      </c>
      <c r="BD496">
        <v>0</v>
      </c>
      <c r="BE496">
        <v>0</v>
      </c>
      <c r="BF496">
        <v>0</v>
      </c>
      <c r="BG496">
        <v>0</v>
      </c>
      <c r="BH496">
        <v>0</v>
      </c>
      <c r="BI496" t="s">
        <v>9</v>
      </c>
      <c r="BJ496">
        <v>1.2412E-4</v>
      </c>
      <c r="BK496">
        <v>0</v>
      </c>
      <c r="BL496">
        <v>-1.4004999999999999E-4</v>
      </c>
      <c r="BM496" s="2">
        <f t="shared" si="7"/>
        <v>2.1584745367702817E-6</v>
      </c>
    </row>
    <row r="497" spans="1:65" x14ac:dyDescent="0.35">
      <c r="A497">
        <v>0</v>
      </c>
      <c r="B497" t="s">
        <v>11</v>
      </c>
      <c r="C497" t="s">
        <v>4</v>
      </c>
      <c r="D497">
        <v>0</v>
      </c>
      <c r="E497" t="s">
        <v>3</v>
      </c>
      <c r="F497" t="s">
        <v>5</v>
      </c>
      <c r="G497">
        <v>4618.7485850000003</v>
      </c>
      <c r="H497" t="s">
        <v>4</v>
      </c>
      <c r="I497">
        <v>990.16341899999998</v>
      </c>
      <c r="J497">
        <v>3628.5851659999998</v>
      </c>
      <c r="K497" t="s">
        <v>6</v>
      </c>
      <c r="L497" t="s">
        <v>7</v>
      </c>
      <c r="M497" t="s">
        <v>8</v>
      </c>
      <c r="N497" t="s">
        <v>6</v>
      </c>
      <c r="O497" t="s">
        <v>3</v>
      </c>
      <c r="P497" t="s">
        <v>3</v>
      </c>
      <c r="Q497" t="s">
        <v>3</v>
      </c>
      <c r="R497" t="s">
        <v>3</v>
      </c>
      <c r="S497" t="s">
        <v>11</v>
      </c>
      <c r="T497" t="s">
        <v>7</v>
      </c>
      <c r="U497">
        <v>1</v>
      </c>
      <c r="V497">
        <v>0</v>
      </c>
      <c r="W497">
        <v>0</v>
      </c>
      <c r="X497">
        <v>3</v>
      </c>
      <c r="Y497">
        <v>0</v>
      </c>
      <c r="Z497" t="s">
        <v>12</v>
      </c>
      <c r="AA497" t="s">
        <v>4</v>
      </c>
      <c r="AB497" t="s">
        <v>6</v>
      </c>
      <c r="AC497" t="s">
        <v>7</v>
      </c>
      <c r="AD497" t="s">
        <v>8</v>
      </c>
      <c r="AE497" t="s">
        <v>6</v>
      </c>
      <c r="AF497" t="s">
        <v>3</v>
      </c>
      <c r="AG497" t="s">
        <v>3</v>
      </c>
      <c r="AH497" t="s">
        <v>3</v>
      </c>
      <c r="AI497" t="s">
        <v>3</v>
      </c>
      <c r="AJ497" t="s">
        <v>3</v>
      </c>
      <c r="AK497" t="s">
        <v>7</v>
      </c>
      <c r="AL497">
        <v>0</v>
      </c>
      <c r="AM497">
        <v>0</v>
      </c>
      <c r="AN497">
        <v>0</v>
      </c>
      <c r="AO497">
        <v>0</v>
      </c>
      <c r="AP497">
        <v>0</v>
      </c>
      <c r="AQ497" t="s">
        <v>9</v>
      </c>
      <c r="AR497" s="1">
        <v>1.82243267E-5</v>
      </c>
      <c r="AS497" s="1">
        <v>3.2378480100000003E-27</v>
      </c>
      <c r="AT497">
        <v>24</v>
      </c>
      <c r="AU497" t="s">
        <v>10</v>
      </c>
      <c r="AV497">
        <v>1</v>
      </c>
      <c r="AW497">
        <v>0</v>
      </c>
      <c r="AX497">
        <v>0</v>
      </c>
      <c r="AY497">
        <v>3</v>
      </c>
      <c r="AZ497">
        <v>0</v>
      </c>
      <c r="BA497" t="s">
        <v>12</v>
      </c>
      <c r="BB497" t="s">
        <v>4</v>
      </c>
      <c r="BC497" t="s">
        <v>10</v>
      </c>
      <c r="BD497">
        <v>0</v>
      </c>
      <c r="BE497">
        <v>0</v>
      </c>
      <c r="BF497">
        <v>0</v>
      </c>
      <c r="BG497">
        <v>0</v>
      </c>
      <c r="BH497">
        <v>0</v>
      </c>
      <c r="BI497" t="s">
        <v>9</v>
      </c>
      <c r="BJ497">
        <v>0</v>
      </c>
      <c r="BK497">
        <v>1.8219999999999998E-5</v>
      </c>
      <c r="BL497">
        <v>0</v>
      </c>
      <c r="BM497" s="2">
        <f t="shared" si="7"/>
        <v>1.9498776605219807E-8</v>
      </c>
    </row>
    <row r="498" spans="1:65" x14ac:dyDescent="0.35">
      <c r="A498">
        <v>0</v>
      </c>
      <c r="B498" t="s">
        <v>3</v>
      </c>
      <c r="C498" t="s">
        <v>4</v>
      </c>
      <c r="D498">
        <v>0</v>
      </c>
      <c r="E498" t="s">
        <v>3</v>
      </c>
      <c r="F498" t="s">
        <v>5</v>
      </c>
      <c r="G498">
        <v>4321.1438280000002</v>
      </c>
      <c r="H498" t="s">
        <v>4</v>
      </c>
      <c r="I498">
        <v>990.16341899999998</v>
      </c>
      <c r="J498">
        <v>3330.9804089999998</v>
      </c>
      <c r="K498" t="s">
        <v>6</v>
      </c>
      <c r="L498" t="s">
        <v>7</v>
      </c>
      <c r="M498" t="s">
        <v>8</v>
      </c>
      <c r="N498" t="s">
        <v>6</v>
      </c>
      <c r="O498" t="s">
        <v>3</v>
      </c>
      <c r="P498" t="s">
        <v>3</v>
      </c>
      <c r="Q498" t="s">
        <v>3</v>
      </c>
      <c r="R498" t="s">
        <v>3</v>
      </c>
      <c r="S498" t="s">
        <v>3</v>
      </c>
      <c r="T498" t="s">
        <v>7</v>
      </c>
      <c r="U498">
        <v>0</v>
      </c>
      <c r="V498">
        <v>1</v>
      </c>
      <c r="W498">
        <v>0</v>
      </c>
      <c r="X498">
        <v>3</v>
      </c>
      <c r="Y498">
        <v>0</v>
      </c>
      <c r="Z498" t="s">
        <v>24</v>
      </c>
      <c r="AA498" t="s">
        <v>4</v>
      </c>
      <c r="AB498" t="s">
        <v>6</v>
      </c>
      <c r="AC498" t="s">
        <v>7</v>
      </c>
      <c r="AD498" t="s">
        <v>8</v>
      </c>
      <c r="AE498" t="s">
        <v>6</v>
      </c>
      <c r="AF498" t="s">
        <v>3</v>
      </c>
      <c r="AG498" t="s">
        <v>3</v>
      </c>
      <c r="AH498" t="s">
        <v>3</v>
      </c>
      <c r="AI498" t="s">
        <v>3</v>
      </c>
      <c r="AJ498" t="s">
        <v>3</v>
      </c>
      <c r="AK498" t="s">
        <v>7</v>
      </c>
      <c r="AL498">
        <v>0</v>
      </c>
      <c r="AM498">
        <v>0</v>
      </c>
      <c r="AN498">
        <v>0</v>
      </c>
      <c r="AO498">
        <v>0</v>
      </c>
      <c r="AP498">
        <v>0</v>
      </c>
      <c r="AQ498" t="s">
        <v>9</v>
      </c>
      <c r="AR498" s="1">
        <v>6.8639856499999998E-5</v>
      </c>
      <c r="AS498" s="1">
        <v>4.2163915100000001E-26</v>
      </c>
      <c r="AT498">
        <v>21</v>
      </c>
      <c r="AU498" t="s">
        <v>10</v>
      </c>
      <c r="AV498">
        <v>0</v>
      </c>
      <c r="AW498">
        <v>1</v>
      </c>
      <c r="AX498">
        <v>0</v>
      </c>
      <c r="AY498">
        <v>3</v>
      </c>
      <c r="AZ498">
        <v>0</v>
      </c>
      <c r="BA498" t="s">
        <v>24</v>
      </c>
      <c r="BB498" t="s">
        <v>4</v>
      </c>
      <c r="BC498" t="s">
        <v>10</v>
      </c>
      <c r="BD498">
        <v>0</v>
      </c>
      <c r="BE498">
        <v>0</v>
      </c>
      <c r="BF498">
        <v>0</v>
      </c>
      <c r="BG498">
        <v>0</v>
      </c>
      <c r="BH498">
        <v>0</v>
      </c>
      <c r="BI498" t="s">
        <v>9</v>
      </c>
      <c r="BJ498">
        <v>6.7299999999999996E-5</v>
      </c>
      <c r="BK498">
        <v>0</v>
      </c>
      <c r="BL498">
        <v>-1.348E-5</v>
      </c>
      <c r="BM498" s="2">
        <f t="shared" si="7"/>
        <v>2.5391703341144607E-7</v>
      </c>
    </row>
    <row r="499" spans="1:65" x14ac:dyDescent="0.35">
      <c r="A499">
        <v>0</v>
      </c>
      <c r="B499" t="s">
        <v>3</v>
      </c>
      <c r="C499" t="s">
        <v>4</v>
      </c>
      <c r="D499">
        <v>0</v>
      </c>
      <c r="E499" t="s">
        <v>3</v>
      </c>
      <c r="F499" t="s">
        <v>5</v>
      </c>
      <c r="G499">
        <v>4746.0008150000003</v>
      </c>
      <c r="H499" t="s">
        <v>4</v>
      </c>
      <c r="I499">
        <v>990.16341899999998</v>
      </c>
      <c r="J499">
        <v>3755.8373959999999</v>
      </c>
      <c r="K499" t="s">
        <v>6</v>
      </c>
      <c r="L499" t="s">
        <v>7</v>
      </c>
      <c r="M499" t="s">
        <v>8</v>
      </c>
      <c r="N499" t="s">
        <v>6</v>
      </c>
      <c r="O499" t="s">
        <v>3</v>
      </c>
      <c r="P499" t="s">
        <v>3</v>
      </c>
      <c r="Q499" t="s">
        <v>3</v>
      </c>
      <c r="R499" t="s">
        <v>3</v>
      </c>
      <c r="S499" t="s">
        <v>3</v>
      </c>
      <c r="T499" t="s">
        <v>7</v>
      </c>
      <c r="U499">
        <v>0</v>
      </c>
      <c r="V499">
        <v>1</v>
      </c>
      <c r="W499">
        <v>0</v>
      </c>
      <c r="X499">
        <v>1</v>
      </c>
      <c r="Y499">
        <v>1</v>
      </c>
      <c r="Z499" t="s">
        <v>24</v>
      </c>
      <c r="AA499" t="s">
        <v>4</v>
      </c>
      <c r="AB499" t="s">
        <v>6</v>
      </c>
      <c r="AC499" t="s">
        <v>7</v>
      </c>
      <c r="AD499" t="s">
        <v>8</v>
      </c>
      <c r="AE499" t="s">
        <v>6</v>
      </c>
      <c r="AF499" t="s">
        <v>3</v>
      </c>
      <c r="AG499" t="s">
        <v>3</v>
      </c>
      <c r="AH499" t="s">
        <v>3</v>
      </c>
      <c r="AI499" t="s">
        <v>3</v>
      </c>
      <c r="AJ499" t="s">
        <v>3</v>
      </c>
      <c r="AK499" t="s">
        <v>7</v>
      </c>
      <c r="AL499">
        <v>0</v>
      </c>
      <c r="AM499">
        <v>0</v>
      </c>
      <c r="AN499">
        <v>0</v>
      </c>
      <c r="AO499">
        <v>0</v>
      </c>
      <c r="AP499">
        <v>0</v>
      </c>
      <c r="AQ499" t="s">
        <v>9</v>
      </c>
      <c r="AR499" s="1">
        <v>1.4326562799999999E-4</v>
      </c>
      <c r="AS499" s="1">
        <v>2.0711280799999999E-25</v>
      </c>
      <c r="AT499">
        <v>21</v>
      </c>
      <c r="AU499" t="s">
        <v>10</v>
      </c>
      <c r="AV499">
        <v>0</v>
      </c>
      <c r="AW499">
        <v>1</v>
      </c>
      <c r="AX499">
        <v>0</v>
      </c>
      <c r="AY499">
        <v>1</v>
      </c>
      <c r="AZ499">
        <v>1</v>
      </c>
      <c r="BA499" t="s">
        <v>24</v>
      </c>
      <c r="BB499" t="s">
        <v>4</v>
      </c>
      <c r="BC499" t="s">
        <v>10</v>
      </c>
      <c r="BD499">
        <v>0</v>
      </c>
      <c r="BE499">
        <v>0</v>
      </c>
      <c r="BF499">
        <v>0</v>
      </c>
      <c r="BG499">
        <v>0</v>
      </c>
      <c r="BH499">
        <v>0</v>
      </c>
      <c r="BI499" t="s">
        <v>9</v>
      </c>
      <c r="BJ499">
        <v>-7.6769999999999999E-5</v>
      </c>
      <c r="BK499">
        <v>0</v>
      </c>
      <c r="BL499">
        <v>1.2095999999999999E-4</v>
      </c>
      <c r="BM499" s="2">
        <f t="shared" si="7"/>
        <v>1.2472624912593662E-6</v>
      </c>
    </row>
    <row r="500" spans="1:65" x14ac:dyDescent="0.35">
      <c r="A500">
        <v>0</v>
      </c>
      <c r="B500" t="s">
        <v>3</v>
      </c>
      <c r="C500" t="s">
        <v>4</v>
      </c>
      <c r="D500">
        <v>0</v>
      </c>
      <c r="E500" t="s">
        <v>3</v>
      </c>
      <c r="F500" t="s">
        <v>5</v>
      </c>
      <c r="G500">
        <v>3434.1733509999999</v>
      </c>
      <c r="H500" t="s">
        <v>4</v>
      </c>
      <c r="I500">
        <v>990.16341899999998</v>
      </c>
      <c r="J500">
        <v>2444.0099319999999</v>
      </c>
      <c r="K500" t="s">
        <v>6</v>
      </c>
      <c r="L500" t="s">
        <v>7</v>
      </c>
      <c r="M500" t="s">
        <v>8</v>
      </c>
      <c r="N500" t="s">
        <v>6</v>
      </c>
      <c r="O500" t="s">
        <v>3</v>
      </c>
      <c r="P500" t="s">
        <v>3</v>
      </c>
      <c r="Q500" t="s">
        <v>3</v>
      </c>
      <c r="R500" t="s">
        <v>3</v>
      </c>
      <c r="S500" t="s">
        <v>3</v>
      </c>
      <c r="T500" t="s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 t="s">
        <v>22</v>
      </c>
      <c r="AA500" t="s">
        <v>4</v>
      </c>
      <c r="AB500" t="s">
        <v>6</v>
      </c>
      <c r="AC500" t="s">
        <v>7</v>
      </c>
      <c r="AD500" t="s">
        <v>8</v>
      </c>
      <c r="AE500" t="s">
        <v>6</v>
      </c>
      <c r="AF500" t="s">
        <v>3</v>
      </c>
      <c r="AG500" t="s">
        <v>3</v>
      </c>
      <c r="AH500" t="s">
        <v>3</v>
      </c>
      <c r="AI500" t="s">
        <v>3</v>
      </c>
      <c r="AJ500" t="s">
        <v>3</v>
      </c>
      <c r="AK500" t="s">
        <v>7</v>
      </c>
      <c r="AL500">
        <v>0</v>
      </c>
      <c r="AM500">
        <v>0</v>
      </c>
      <c r="AN500">
        <v>0</v>
      </c>
      <c r="AO500">
        <v>0</v>
      </c>
      <c r="AP500">
        <v>0</v>
      </c>
      <c r="AQ500" t="s">
        <v>9</v>
      </c>
      <c r="AR500" s="1">
        <v>1.1712643899999999E-3</v>
      </c>
      <c r="AS500" s="1">
        <v>9.0079454600000006E-24</v>
      </c>
      <c r="AT500">
        <v>24</v>
      </c>
      <c r="AU500" t="s">
        <v>10</v>
      </c>
      <c r="AV500">
        <v>1</v>
      </c>
      <c r="AW500">
        <v>0</v>
      </c>
      <c r="AX500">
        <v>0</v>
      </c>
      <c r="AY500">
        <v>0</v>
      </c>
      <c r="AZ500">
        <v>0</v>
      </c>
      <c r="BA500" t="s">
        <v>22</v>
      </c>
      <c r="BB500" t="s">
        <v>4</v>
      </c>
      <c r="BC500" t="s">
        <v>10</v>
      </c>
      <c r="BD500">
        <v>0</v>
      </c>
      <c r="BE500">
        <v>0</v>
      </c>
      <c r="BF500">
        <v>0</v>
      </c>
      <c r="BG500">
        <v>0</v>
      </c>
      <c r="BH500">
        <v>0</v>
      </c>
      <c r="BI500" t="s">
        <v>9</v>
      </c>
      <c r="BJ500">
        <v>-1.16534E-3</v>
      </c>
      <c r="BK500">
        <v>0</v>
      </c>
      <c r="BL500">
        <v>1.177E-4</v>
      </c>
      <c r="BM500" s="2">
        <f t="shared" si="7"/>
        <v>5.4247115878840761E-5</v>
      </c>
    </row>
    <row r="501" spans="1:65" x14ac:dyDescent="0.35">
      <c r="A501">
        <v>0</v>
      </c>
      <c r="B501" t="s">
        <v>3</v>
      </c>
      <c r="C501" t="s">
        <v>4</v>
      </c>
      <c r="D501">
        <v>0</v>
      </c>
      <c r="E501" t="s">
        <v>3</v>
      </c>
      <c r="F501" t="s">
        <v>5</v>
      </c>
      <c r="G501">
        <v>4237.708439</v>
      </c>
      <c r="H501" t="s">
        <v>4</v>
      </c>
      <c r="I501">
        <v>990.16341899999998</v>
      </c>
      <c r="J501">
        <v>3247.54502</v>
      </c>
      <c r="K501" t="s">
        <v>6</v>
      </c>
      <c r="L501" t="s">
        <v>7</v>
      </c>
      <c r="M501" t="s">
        <v>8</v>
      </c>
      <c r="N501" t="s">
        <v>6</v>
      </c>
      <c r="O501" t="s">
        <v>3</v>
      </c>
      <c r="P501" t="s">
        <v>3</v>
      </c>
      <c r="Q501" t="s">
        <v>3</v>
      </c>
      <c r="R501" t="s">
        <v>3</v>
      </c>
      <c r="S501" t="s">
        <v>3</v>
      </c>
      <c r="T501" t="s">
        <v>7</v>
      </c>
      <c r="U501">
        <v>1</v>
      </c>
      <c r="V501">
        <v>0</v>
      </c>
      <c r="W501">
        <v>0</v>
      </c>
      <c r="X501">
        <v>2</v>
      </c>
      <c r="Y501">
        <v>0</v>
      </c>
      <c r="Z501" t="s">
        <v>29</v>
      </c>
      <c r="AA501" t="s">
        <v>4</v>
      </c>
      <c r="AB501" t="s">
        <v>6</v>
      </c>
      <c r="AC501" t="s">
        <v>7</v>
      </c>
      <c r="AD501" t="s">
        <v>8</v>
      </c>
      <c r="AE501" t="s">
        <v>6</v>
      </c>
      <c r="AF501" t="s">
        <v>3</v>
      </c>
      <c r="AG501" t="s">
        <v>3</v>
      </c>
      <c r="AH501" t="s">
        <v>3</v>
      </c>
      <c r="AI501" t="s">
        <v>3</v>
      </c>
      <c r="AJ501" t="s">
        <v>3</v>
      </c>
      <c r="AK501" t="s">
        <v>7</v>
      </c>
      <c r="AL501">
        <v>0</v>
      </c>
      <c r="AM501">
        <v>0</v>
      </c>
      <c r="AN501">
        <v>0</v>
      </c>
      <c r="AO501">
        <v>0</v>
      </c>
      <c r="AP501">
        <v>0</v>
      </c>
      <c r="AQ501" t="s">
        <v>9</v>
      </c>
      <c r="AR501" s="1">
        <v>4.5813142600000001E-5</v>
      </c>
      <c r="AS501" s="1">
        <v>1.8312660499999999E-26</v>
      </c>
      <c r="AT501">
        <v>21</v>
      </c>
      <c r="AU501" t="s">
        <v>10</v>
      </c>
      <c r="AV501">
        <v>1</v>
      </c>
      <c r="AW501">
        <v>0</v>
      </c>
      <c r="AX501">
        <v>0</v>
      </c>
      <c r="AY501">
        <v>2</v>
      </c>
      <c r="AZ501">
        <v>0</v>
      </c>
      <c r="BA501" t="s">
        <v>29</v>
      </c>
      <c r="BB501" t="s">
        <v>4</v>
      </c>
      <c r="BC501" t="s">
        <v>10</v>
      </c>
      <c r="BD501">
        <v>0</v>
      </c>
      <c r="BE501">
        <v>0</v>
      </c>
      <c r="BF501">
        <v>0</v>
      </c>
      <c r="BG501">
        <v>0</v>
      </c>
      <c r="BH501">
        <v>0</v>
      </c>
      <c r="BI501" t="s">
        <v>9</v>
      </c>
      <c r="BJ501">
        <v>4.5059999999999999E-5</v>
      </c>
      <c r="BK501">
        <v>0</v>
      </c>
      <c r="BL501">
        <v>-8.2800000000000003E-6</v>
      </c>
      <c r="BM501" s="2">
        <f t="shared" si="7"/>
        <v>1.1028141995359839E-7</v>
      </c>
    </row>
    <row r="502" spans="1:65" x14ac:dyDescent="0.35">
      <c r="A502">
        <v>0</v>
      </c>
      <c r="B502" t="s">
        <v>3</v>
      </c>
      <c r="C502" t="s">
        <v>4</v>
      </c>
      <c r="D502">
        <v>0</v>
      </c>
      <c r="E502" t="s">
        <v>3</v>
      </c>
      <c r="F502" t="s">
        <v>5</v>
      </c>
      <c r="G502">
        <v>3049.5967730000002</v>
      </c>
      <c r="H502" t="s">
        <v>4</v>
      </c>
      <c r="I502">
        <v>990.16341899999998</v>
      </c>
      <c r="J502">
        <v>2059.4333539999998</v>
      </c>
      <c r="K502" t="s">
        <v>6</v>
      </c>
      <c r="L502" t="s">
        <v>7</v>
      </c>
      <c r="M502" t="s">
        <v>8</v>
      </c>
      <c r="N502" t="s">
        <v>6</v>
      </c>
      <c r="O502" t="s">
        <v>3</v>
      </c>
      <c r="P502" t="s">
        <v>3</v>
      </c>
      <c r="Q502" t="s">
        <v>3</v>
      </c>
      <c r="R502" t="s">
        <v>3</v>
      </c>
      <c r="S502" t="s">
        <v>3</v>
      </c>
      <c r="T502" t="s">
        <v>7</v>
      </c>
      <c r="U502">
        <v>1</v>
      </c>
      <c r="V502">
        <v>1</v>
      </c>
      <c r="W502">
        <v>0</v>
      </c>
      <c r="X502">
        <v>0</v>
      </c>
      <c r="Y502">
        <v>1</v>
      </c>
      <c r="Z502" t="s">
        <v>8</v>
      </c>
      <c r="AA502" t="s">
        <v>4</v>
      </c>
      <c r="AB502" t="s">
        <v>6</v>
      </c>
      <c r="AC502" t="s">
        <v>7</v>
      </c>
      <c r="AD502" t="s">
        <v>8</v>
      </c>
      <c r="AE502" t="s">
        <v>6</v>
      </c>
      <c r="AF502" t="s">
        <v>3</v>
      </c>
      <c r="AG502" t="s">
        <v>3</v>
      </c>
      <c r="AH502" t="s">
        <v>3</v>
      </c>
      <c r="AI502" t="s">
        <v>3</v>
      </c>
      <c r="AJ502" t="s">
        <v>3</v>
      </c>
      <c r="AK502" t="s">
        <v>7</v>
      </c>
      <c r="AL502">
        <v>0</v>
      </c>
      <c r="AM502">
        <v>0</v>
      </c>
      <c r="AN502">
        <v>0</v>
      </c>
      <c r="AO502">
        <v>0</v>
      </c>
      <c r="AP502">
        <v>0</v>
      </c>
      <c r="AQ502" t="s">
        <v>9</v>
      </c>
      <c r="AR502" s="1">
        <v>8.0175385399999997E-5</v>
      </c>
      <c r="AS502" s="1">
        <v>3.5565191099999997E-26</v>
      </c>
      <c r="AT502">
        <v>22</v>
      </c>
      <c r="AU502" t="s">
        <v>10</v>
      </c>
      <c r="AV502">
        <v>1</v>
      </c>
      <c r="AW502">
        <v>1</v>
      </c>
      <c r="AX502">
        <v>0</v>
      </c>
      <c r="AY502">
        <v>0</v>
      </c>
      <c r="AZ502">
        <v>1</v>
      </c>
      <c r="BA502" t="s">
        <v>8</v>
      </c>
      <c r="BB502" t="s">
        <v>4</v>
      </c>
      <c r="BC502" t="s">
        <v>10</v>
      </c>
      <c r="BD502">
        <v>0</v>
      </c>
      <c r="BE502">
        <v>0</v>
      </c>
      <c r="BF502">
        <v>0</v>
      </c>
      <c r="BG502">
        <v>0</v>
      </c>
      <c r="BH502">
        <v>0</v>
      </c>
      <c r="BI502" t="s">
        <v>9</v>
      </c>
      <c r="BJ502">
        <v>-5.6619999999999997E-5</v>
      </c>
      <c r="BK502">
        <v>0</v>
      </c>
      <c r="BL502">
        <v>5.6759999999999999E-5</v>
      </c>
      <c r="BM502" s="2">
        <f t="shared" si="7"/>
        <v>2.1417858838310688E-7</v>
      </c>
    </row>
    <row r="503" spans="1:65" x14ac:dyDescent="0.35">
      <c r="A503">
        <v>0</v>
      </c>
      <c r="B503" t="s">
        <v>3</v>
      </c>
      <c r="C503" t="s">
        <v>4</v>
      </c>
      <c r="D503">
        <v>0</v>
      </c>
      <c r="E503" t="s">
        <v>3</v>
      </c>
      <c r="F503" t="s">
        <v>5</v>
      </c>
      <c r="G503">
        <v>4972.6891050000004</v>
      </c>
      <c r="H503" t="s">
        <v>4</v>
      </c>
      <c r="I503">
        <v>990.16341899999998</v>
      </c>
      <c r="J503">
        <v>3982.525686</v>
      </c>
      <c r="K503" t="s">
        <v>6</v>
      </c>
      <c r="L503" t="s">
        <v>7</v>
      </c>
      <c r="M503" t="s">
        <v>8</v>
      </c>
      <c r="N503" t="s">
        <v>6</v>
      </c>
      <c r="O503" t="s">
        <v>3</v>
      </c>
      <c r="P503" t="s">
        <v>3</v>
      </c>
      <c r="Q503" t="s">
        <v>3</v>
      </c>
      <c r="R503" t="s">
        <v>3</v>
      </c>
      <c r="S503" t="s">
        <v>3</v>
      </c>
      <c r="T503" t="s">
        <v>7</v>
      </c>
      <c r="U503">
        <v>0</v>
      </c>
      <c r="V503">
        <v>1</v>
      </c>
      <c r="W503">
        <v>0</v>
      </c>
      <c r="X503">
        <v>0</v>
      </c>
      <c r="Y503">
        <v>0</v>
      </c>
      <c r="Z503" t="s">
        <v>20</v>
      </c>
      <c r="AA503" t="s">
        <v>4</v>
      </c>
      <c r="AB503" t="s">
        <v>6</v>
      </c>
      <c r="AC503" t="s">
        <v>7</v>
      </c>
      <c r="AD503" t="s">
        <v>8</v>
      </c>
      <c r="AE503" t="s">
        <v>6</v>
      </c>
      <c r="AF503" t="s">
        <v>3</v>
      </c>
      <c r="AG503" t="s">
        <v>3</v>
      </c>
      <c r="AH503" t="s">
        <v>3</v>
      </c>
      <c r="AI503" t="s">
        <v>3</v>
      </c>
      <c r="AJ503" t="s">
        <v>3</v>
      </c>
      <c r="AK503" t="s">
        <v>7</v>
      </c>
      <c r="AL503">
        <v>0</v>
      </c>
      <c r="AM503">
        <v>0</v>
      </c>
      <c r="AN503">
        <v>0</v>
      </c>
      <c r="AO503">
        <v>0</v>
      </c>
      <c r="AP503">
        <v>0</v>
      </c>
      <c r="AQ503" t="s">
        <v>9</v>
      </c>
      <c r="AR503" s="1">
        <v>4.0327627100000002E-5</v>
      </c>
      <c r="AS503" s="1">
        <v>1.74012355E-26</v>
      </c>
      <c r="AT503">
        <v>22</v>
      </c>
      <c r="AU503" t="s">
        <v>10</v>
      </c>
      <c r="AV503">
        <v>0</v>
      </c>
      <c r="AW503">
        <v>1</v>
      </c>
      <c r="AX503">
        <v>0</v>
      </c>
      <c r="AY503">
        <v>0</v>
      </c>
      <c r="AZ503">
        <v>0</v>
      </c>
      <c r="BA503" t="s">
        <v>20</v>
      </c>
      <c r="BB503" t="s">
        <v>4</v>
      </c>
      <c r="BC503" t="s">
        <v>10</v>
      </c>
      <c r="BD503">
        <v>0</v>
      </c>
      <c r="BE503">
        <v>0</v>
      </c>
      <c r="BF503">
        <v>0</v>
      </c>
      <c r="BG503">
        <v>0</v>
      </c>
      <c r="BH503">
        <v>0</v>
      </c>
      <c r="BI503" t="s">
        <v>9</v>
      </c>
      <c r="BJ503">
        <v>2.1080000000000001E-5</v>
      </c>
      <c r="BK503">
        <v>0</v>
      </c>
      <c r="BL503">
        <v>-3.4379999999999999E-5</v>
      </c>
      <c r="BM503" s="2">
        <f t="shared" si="7"/>
        <v>1.047926902749584E-7</v>
      </c>
    </row>
    <row r="504" spans="1:65" x14ac:dyDescent="0.35">
      <c r="A504">
        <v>0</v>
      </c>
      <c r="B504" t="s">
        <v>3</v>
      </c>
      <c r="C504" t="s">
        <v>4</v>
      </c>
      <c r="D504">
        <v>0</v>
      </c>
      <c r="E504" t="s">
        <v>3</v>
      </c>
      <c r="F504" t="s">
        <v>5</v>
      </c>
      <c r="G504">
        <v>4390.035578</v>
      </c>
      <c r="H504" t="s">
        <v>4</v>
      </c>
      <c r="I504">
        <v>990.16341899999998</v>
      </c>
      <c r="J504">
        <v>3399.8721580000001</v>
      </c>
      <c r="K504" t="s">
        <v>6</v>
      </c>
      <c r="L504" t="s">
        <v>7</v>
      </c>
      <c r="M504" t="s">
        <v>8</v>
      </c>
      <c r="N504" t="s">
        <v>6</v>
      </c>
      <c r="O504" t="s">
        <v>3</v>
      </c>
      <c r="P504" t="s">
        <v>3</v>
      </c>
      <c r="Q504" t="s">
        <v>3</v>
      </c>
      <c r="R504" t="s">
        <v>3</v>
      </c>
      <c r="S504" t="s">
        <v>3</v>
      </c>
      <c r="T504" t="s">
        <v>7</v>
      </c>
      <c r="U504">
        <v>0</v>
      </c>
      <c r="V504">
        <v>2</v>
      </c>
      <c r="W504">
        <v>0</v>
      </c>
      <c r="X504">
        <v>0</v>
      </c>
      <c r="Y504">
        <v>0</v>
      </c>
      <c r="Z504" t="s">
        <v>21</v>
      </c>
      <c r="AA504" t="s">
        <v>4</v>
      </c>
      <c r="AB504" t="s">
        <v>6</v>
      </c>
      <c r="AC504" t="s">
        <v>7</v>
      </c>
      <c r="AD504" t="s">
        <v>8</v>
      </c>
      <c r="AE504" t="s">
        <v>6</v>
      </c>
      <c r="AF504" t="s">
        <v>3</v>
      </c>
      <c r="AG504" t="s">
        <v>3</v>
      </c>
      <c r="AH504" t="s">
        <v>3</v>
      </c>
      <c r="AI504" t="s">
        <v>3</v>
      </c>
      <c r="AJ504" t="s">
        <v>3</v>
      </c>
      <c r="AK504" t="s">
        <v>7</v>
      </c>
      <c r="AL504">
        <v>0</v>
      </c>
      <c r="AM504">
        <v>0</v>
      </c>
      <c r="AN504">
        <v>0</v>
      </c>
      <c r="AO504">
        <v>0</v>
      </c>
      <c r="AP504">
        <v>0</v>
      </c>
      <c r="AQ504" t="s">
        <v>9</v>
      </c>
      <c r="AR504" s="1">
        <v>1.51608995E-4</v>
      </c>
      <c r="AS504" s="1">
        <v>2.09956177E-25</v>
      </c>
      <c r="AT504">
        <v>21</v>
      </c>
      <c r="AU504" t="s">
        <v>10</v>
      </c>
      <c r="AV504">
        <v>0</v>
      </c>
      <c r="AW504">
        <v>2</v>
      </c>
      <c r="AX504">
        <v>0</v>
      </c>
      <c r="AY504">
        <v>0</v>
      </c>
      <c r="AZ504">
        <v>0</v>
      </c>
      <c r="BA504" t="s">
        <v>21</v>
      </c>
      <c r="BB504" t="s">
        <v>4</v>
      </c>
      <c r="BC504" t="s">
        <v>10</v>
      </c>
      <c r="BD504">
        <v>0</v>
      </c>
      <c r="BE504">
        <v>0</v>
      </c>
      <c r="BF504">
        <v>0</v>
      </c>
      <c r="BG504">
        <v>0</v>
      </c>
      <c r="BH504">
        <v>0</v>
      </c>
      <c r="BI504" t="s">
        <v>9</v>
      </c>
      <c r="BJ504">
        <v>-1.5022000000000001E-4</v>
      </c>
      <c r="BK504">
        <v>0</v>
      </c>
      <c r="BL504">
        <v>-2.05E-5</v>
      </c>
      <c r="BM504" s="2">
        <f t="shared" si="7"/>
        <v>1.2643856597237216E-6</v>
      </c>
    </row>
    <row r="505" spans="1:65" x14ac:dyDescent="0.35">
      <c r="A505">
        <v>0</v>
      </c>
      <c r="B505" t="s">
        <v>11</v>
      </c>
      <c r="C505" t="s">
        <v>4</v>
      </c>
      <c r="D505">
        <v>0</v>
      </c>
      <c r="E505" t="s">
        <v>3</v>
      </c>
      <c r="F505" t="s">
        <v>5</v>
      </c>
      <c r="G505">
        <v>3240.9492460000001</v>
      </c>
      <c r="H505" t="s">
        <v>4</v>
      </c>
      <c r="I505">
        <v>990.16341899999998</v>
      </c>
      <c r="J505">
        <v>2250.7858270000002</v>
      </c>
      <c r="K505" t="s">
        <v>6</v>
      </c>
      <c r="L505" t="s">
        <v>7</v>
      </c>
      <c r="M505" t="s">
        <v>8</v>
      </c>
      <c r="N505" t="s">
        <v>6</v>
      </c>
      <c r="O505" t="s">
        <v>3</v>
      </c>
      <c r="P505" t="s">
        <v>3</v>
      </c>
      <c r="Q505" t="s">
        <v>3</v>
      </c>
      <c r="R505" t="s">
        <v>3</v>
      </c>
      <c r="S505" t="s">
        <v>11</v>
      </c>
      <c r="T505" t="s">
        <v>7</v>
      </c>
      <c r="U505">
        <v>0</v>
      </c>
      <c r="V505">
        <v>0</v>
      </c>
      <c r="W505">
        <v>0</v>
      </c>
      <c r="X505">
        <v>1</v>
      </c>
      <c r="Y505">
        <v>0</v>
      </c>
      <c r="Z505" t="s">
        <v>23</v>
      </c>
      <c r="AA505" t="s">
        <v>4</v>
      </c>
      <c r="AB505" t="s">
        <v>6</v>
      </c>
      <c r="AC505" t="s">
        <v>7</v>
      </c>
      <c r="AD505" t="s">
        <v>8</v>
      </c>
      <c r="AE505" t="s">
        <v>6</v>
      </c>
      <c r="AF505" t="s">
        <v>3</v>
      </c>
      <c r="AG505" t="s">
        <v>3</v>
      </c>
      <c r="AH505" t="s">
        <v>3</v>
      </c>
      <c r="AI505" t="s">
        <v>3</v>
      </c>
      <c r="AJ505" t="s">
        <v>3</v>
      </c>
      <c r="AK505" t="s">
        <v>7</v>
      </c>
      <c r="AL505">
        <v>0</v>
      </c>
      <c r="AM505">
        <v>0</v>
      </c>
      <c r="AN505">
        <v>0</v>
      </c>
      <c r="AO505">
        <v>0</v>
      </c>
      <c r="AP505">
        <v>0</v>
      </c>
      <c r="AQ505" t="s">
        <v>9</v>
      </c>
      <c r="AR505" s="1">
        <v>1.9390751E-5</v>
      </c>
      <c r="AS505" s="1">
        <v>2.2736903000000002E-27</v>
      </c>
      <c r="AT505">
        <v>24</v>
      </c>
      <c r="AU505" t="s">
        <v>10</v>
      </c>
      <c r="AV505">
        <v>0</v>
      </c>
      <c r="AW505">
        <v>0</v>
      </c>
      <c r="AX505">
        <v>0</v>
      </c>
      <c r="AY505">
        <v>1</v>
      </c>
      <c r="AZ505">
        <v>0</v>
      </c>
      <c r="BA505" t="s">
        <v>23</v>
      </c>
      <c r="BB505" t="s">
        <v>4</v>
      </c>
      <c r="BC505" t="s">
        <v>10</v>
      </c>
      <c r="BD505">
        <v>0</v>
      </c>
      <c r="BE505">
        <v>0</v>
      </c>
      <c r="BF505">
        <v>0</v>
      </c>
      <c r="BG505">
        <v>0</v>
      </c>
      <c r="BH505">
        <v>0</v>
      </c>
      <c r="BI505" t="s">
        <v>9</v>
      </c>
      <c r="BJ505">
        <v>0</v>
      </c>
      <c r="BK505">
        <v>-1.9389999999999999E-5</v>
      </c>
      <c r="BL505">
        <v>0</v>
      </c>
      <c r="BM505" s="2">
        <f t="shared" si="7"/>
        <v>1.369248312219424E-8</v>
      </c>
    </row>
    <row r="506" spans="1:65" x14ac:dyDescent="0.35">
      <c r="A506">
        <v>0</v>
      </c>
      <c r="B506" t="s">
        <v>3</v>
      </c>
      <c r="C506" t="s">
        <v>4</v>
      </c>
      <c r="D506">
        <v>0</v>
      </c>
      <c r="E506" t="s">
        <v>3</v>
      </c>
      <c r="F506" t="s">
        <v>5</v>
      </c>
      <c r="G506">
        <v>3550.5671990000001</v>
      </c>
      <c r="H506" t="s">
        <v>4</v>
      </c>
      <c r="I506">
        <v>990.16341899999998</v>
      </c>
      <c r="J506">
        <v>2560.4037800000001</v>
      </c>
      <c r="K506" t="s">
        <v>6</v>
      </c>
      <c r="L506" t="s">
        <v>7</v>
      </c>
      <c r="M506" t="s">
        <v>8</v>
      </c>
      <c r="N506" t="s">
        <v>6</v>
      </c>
      <c r="O506" t="s">
        <v>3</v>
      </c>
      <c r="P506" t="s">
        <v>3</v>
      </c>
      <c r="Q506" t="s">
        <v>3</v>
      </c>
      <c r="R506" t="s">
        <v>3</v>
      </c>
      <c r="S506" t="s">
        <v>3</v>
      </c>
      <c r="T506" t="s">
        <v>7</v>
      </c>
      <c r="U506">
        <v>0</v>
      </c>
      <c r="V506">
        <v>1</v>
      </c>
      <c r="W506">
        <v>0</v>
      </c>
      <c r="X506">
        <v>4</v>
      </c>
      <c r="Y506">
        <v>0</v>
      </c>
      <c r="Z506" t="s">
        <v>9</v>
      </c>
      <c r="AA506" t="s">
        <v>4</v>
      </c>
      <c r="AB506" t="s">
        <v>6</v>
      </c>
      <c r="AC506" t="s">
        <v>7</v>
      </c>
      <c r="AD506" t="s">
        <v>8</v>
      </c>
      <c r="AE506" t="s">
        <v>6</v>
      </c>
      <c r="AF506" t="s">
        <v>3</v>
      </c>
      <c r="AG506" t="s">
        <v>3</v>
      </c>
      <c r="AH506" t="s">
        <v>3</v>
      </c>
      <c r="AI506" t="s">
        <v>3</v>
      </c>
      <c r="AJ506" t="s">
        <v>3</v>
      </c>
      <c r="AK506" t="s">
        <v>7</v>
      </c>
      <c r="AL506">
        <v>0</v>
      </c>
      <c r="AM506">
        <v>0</v>
      </c>
      <c r="AN506">
        <v>0</v>
      </c>
      <c r="AO506">
        <v>0</v>
      </c>
      <c r="AP506">
        <v>0</v>
      </c>
      <c r="AQ506" t="s">
        <v>9</v>
      </c>
      <c r="AR506" s="1">
        <v>2.5153227999999998E-3</v>
      </c>
      <c r="AS506" s="1">
        <v>4.3522137899999999E-23</v>
      </c>
      <c r="AT506">
        <v>21</v>
      </c>
      <c r="AU506" t="s">
        <v>10</v>
      </c>
      <c r="AV506">
        <v>0</v>
      </c>
      <c r="AW506">
        <v>1</v>
      </c>
      <c r="AX506">
        <v>0</v>
      </c>
      <c r="AY506">
        <v>4</v>
      </c>
      <c r="AZ506">
        <v>0</v>
      </c>
      <c r="BA506" t="s">
        <v>9</v>
      </c>
      <c r="BB506" t="s">
        <v>4</v>
      </c>
      <c r="BC506" t="s">
        <v>10</v>
      </c>
      <c r="BD506">
        <v>0</v>
      </c>
      <c r="BE506">
        <v>0</v>
      </c>
      <c r="BF506">
        <v>0</v>
      </c>
      <c r="BG506">
        <v>0</v>
      </c>
      <c r="BH506">
        <v>0</v>
      </c>
      <c r="BI506" t="s">
        <v>9</v>
      </c>
      <c r="BJ506">
        <v>-1.96342E-3</v>
      </c>
      <c r="BK506">
        <v>0</v>
      </c>
      <c r="BL506">
        <v>1.5722100000000001E-3</v>
      </c>
      <c r="BM506" s="2">
        <f t="shared" si="7"/>
        <v>2.6209644235081637E-4</v>
      </c>
    </row>
    <row r="507" spans="1:65" x14ac:dyDescent="0.35">
      <c r="A507">
        <v>0</v>
      </c>
      <c r="B507" t="s">
        <v>3</v>
      </c>
      <c r="C507" t="s">
        <v>4</v>
      </c>
      <c r="D507">
        <v>0</v>
      </c>
      <c r="E507" t="s">
        <v>3</v>
      </c>
      <c r="F507" t="s">
        <v>5</v>
      </c>
      <c r="G507">
        <v>1822.383446</v>
      </c>
      <c r="H507" t="s">
        <v>4</v>
      </c>
      <c r="I507">
        <v>990.16341899999998</v>
      </c>
      <c r="J507">
        <v>832.22002699999996</v>
      </c>
      <c r="K507" t="s">
        <v>6</v>
      </c>
      <c r="L507" t="s">
        <v>7</v>
      </c>
      <c r="M507" t="s">
        <v>8</v>
      </c>
      <c r="N507" t="s">
        <v>6</v>
      </c>
      <c r="O507" t="s">
        <v>3</v>
      </c>
      <c r="P507" t="s">
        <v>3</v>
      </c>
      <c r="Q507" t="s">
        <v>3</v>
      </c>
      <c r="R507" t="s">
        <v>3</v>
      </c>
      <c r="S507" t="s">
        <v>3</v>
      </c>
      <c r="T507" t="s">
        <v>7</v>
      </c>
      <c r="U507">
        <v>0</v>
      </c>
      <c r="V507">
        <v>0</v>
      </c>
      <c r="W507">
        <v>0</v>
      </c>
      <c r="X507">
        <v>2</v>
      </c>
      <c r="Y507">
        <v>0</v>
      </c>
      <c r="Z507" t="s">
        <v>9</v>
      </c>
      <c r="AA507" t="s">
        <v>4</v>
      </c>
      <c r="AB507" t="s">
        <v>6</v>
      </c>
      <c r="AC507" t="s">
        <v>7</v>
      </c>
      <c r="AD507" t="s">
        <v>8</v>
      </c>
      <c r="AE507" t="s">
        <v>6</v>
      </c>
      <c r="AF507" t="s">
        <v>3</v>
      </c>
      <c r="AG507" t="s">
        <v>3</v>
      </c>
      <c r="AH507" t="s">
        <v>3</v>
      </c>
      <c r="AI507" t="s">
        <v>3</v>
      </c>
      <c r="AJ507" t="s">
        <v>3</v>
      </c>
      <c r="AK507" t="s">
        <v>7</v>
      </c>
      <c r="AL507">
        <v>0</v>
      </c>
      <c r="AM507">
        <v>0</v>
      </c>
      <c r="AN507">
        <v>0</v>
      </c>
      <c r="AO507">
        <v>0</v>
      </c>
      <c r="AP507">
        <v>0</v>
      </c>
      <c r="AQ507" t="s">
        <v>9</v>
      </c>
      <c r="AR507" s="1">
        <v>3.8598588599999997E-2</v>
      </c>
      <c r="AS507" s="1">
        <v>3.27125012E-21</v>
      </c>
      <c r="AT507">
        <v>25</v>
      </c>
      <c r="AU507" t="s">
        <v>10</v>
      </c>
      <c r="AV507">
        <v>0</v>
      </c>
      <c r="AW507">
        <v>0</v>
      </c>
      <c r="AX507">
        <v>0</v>
      </c>
      <c r="AY507">
        <v>2</v>
      </c>
      <c r="AZ507">
        <v>0</v>
      </c>
      <c r="BA507" t="s">
        <v>9</v>
      </c>
      <c r="BB507" t="s">
        <v>4</v>
      </c>
      <c r="BC507" t="s">
        <v>10</v>
      </c>
      <c r="BD507">
        <v>0</v>
      </c>
      <c r="BE507">
        <v>0</v>
      </c>
      <c r="BF507">
        <v>0</v>
      </c>
      <c r="BG507">
        <v>0</v>
      </c>
      <c r="BH507">
        <v>0</v>
      </c>
      <c r="BI507" t="s">
        <v>9</v>
      </c>
      <c r="BJ507">
        <v>-1.9746980000000001E-2</v>
      </c>
      <c r="BK507">
        <v>0</v>
      </c>
      <c r="BL507">
        <v>3.3164859999999997E-2</v>
      </c>
      <c r="BM507" s="2">
        <f t="shared" si="7"/>
        <v>1.9699928814656896E-2</v>
      </c>
    </row>
    <row r="508" spans="1:65" x14ac:dyDescent="0.35">
      <c r="A508">
        <v>0</v>
      </c>
      <c r="B508" t="s">
        <v>11</v>
      </c>
      <c r="C508" t="s">
        <v>4</v>
      </c>
      <c r="D508">
        <v>0</v>
      </c>
      <c r="E508" t="s">
        <v>3</v>
      </c>
      <c r="F508" t="s">
        <v>5</v>
      </c>
      <c r="G508">
        <v>4906.8308429999997</v>
      </c>
      <c r="H508" t="s">
        <v>4</v>
      </c>
      <c r="I508">
        <v>990.16341899999998</v>
      </c>
      <c r="J508">
        <v>3916.6674240000002</v>
      </c>
      <c r="K508" t="s">
        <v>6</v>
      </c>
      <c r="L508" t="s">
        <v>7</v>
      </c>
      <c r="M508" t="s">
        <v>8</v>
      </c>
      <c r="N508" t="s">
        <v>6</v>
      </c>
      <c r="O508" t="s">
        <v>3</v>
      </c>
      <c r="P508" t="s">
        <v>3</v>
      </c>
      <c r="Q508" t="s">
        <v>3</v>
      </c>
      <c r="R508" t="s">
        <v>3</v>
      </c>
      <c r="S508" t="s">
        <v>11</v>
      </c>
      <c r="T508" t="s">
        <v>7</v>
      </c>
      <c r="U508">
        <v>1</v>
      </c>
      <c r="V508">
        <v>1</v>
      </c>
      <c r="W508">
        <v>0</v>
      </c>
      <c r="X508">
        <v>1</v>
      </c>
      <c r="Y508">
        <v>1</v>
      </c>
      <c r="Z508" t="s">
        <v>14</v>
      </c>
      <c r="AA508" t="s">
        <v>4</v>
      </c>
      <c r="AB508" t="s">
        <v>6</v>
      </c>
      <c r="AC508" t="s">
        <v>7</v>
      </c>
      <c r="AD508" t="s">
        <v>8</v>
      </c>
      <c r="AE508" t="s">
        <v>6</v>
      </c>
      <c r="AF508" t="s">
        <v>3</v>
      </c>
      <c r="AG508" t="s">
        <v>3</v>
      </c>
      <c r="AH508" t="s">
        <v>3</v>
      </c>
      <c r="AI508" t="s">
        <v>3</v>
      </c>
      <c r="AJ508" t="s">
        <v>3</v>
      </c>
      <c r="AK508" t="s">
        <v>7</v>
      </c>
      <c r="AL508">
        <v>0</v>
      </c>
      <c r="AM508">
        <v>0</v>
      </c>
      <c r="AN508">
        <v>0</v>
      </c>
      <c r="AO508">
        <v>0</v>
      </c>
      <c r="AP508">
        <v>0</v>
      </c>
      <c r="AQ508" t="s">
        <v>9</v>
      </c>
      <c r="AR508" s="1">
        <v>1.5300017599999999E-5</v>
      </c>
      <c r="AS508" s="1">
        <v>2.46329666E-27</v>
      </c>
      <c r="AT508">
        <v>22</v>
      </c>
      <c r="AU508" t="s">
        <v>10</v>
      </c>
      <c r="AV508">
        <v>1</v>
      </c>
      <c r="AW508">
        <v>1</v>
      </c>
      <c r="AX508">
        <v>0</v>
      </c>
      <c r="AY508">
        <v>1</v>
      </c>
      <c r="AZ508">
        <v>1</v>
      </c>
      <c r="BA508" t="s">
        <v>14</v>
      </c>
      <c r="BB508" t="s">
        <v>4</v>
      </c>
      <c r="BC508" t="s">
        <v>10</v>
      </c>
      <c r="BD508">
        <v>0</v>
      </c>
      <c r="BE508">
        <v>0</v>
      </c>
      <c r="BF508">
        <v>0</v>
      </c>
      <c r="BG508">
        <v>0</v>
      </c>
      <c r="BH508">
        <v>0</v>
      </c>
      <c r="BI508" t="s">
        <v>9</v>
      </c>
      <c r="BJ508">
        <v>0</v>
      </c>
      <c r="BK508">
        <v>1.5299999999999999E-5</v>
      </c>
      <c r="BL508">
        <v>0</v>
      </c>
      <c r="BM508" s="2">
        <f t="shared" si="7"/>
        <v>1.4834319318689727E-8</v>
      </c>
    </row>
    <row r="509" spans="1:65" x14ac:dyDescent="0.35">
      <c r="A509">
        <v>0</v>
      </c>
      <c r="B509" t="s">
        <v>3</v>
      </c>
      <c r="C509" t="s">
        <v>4</v>
      </c>
      <c r="D509">
        <v>0</v>
      </c>
      <c r="E509" t="s">
        <v>3</v>
      </c>
      <c r="F509" t="s">
        <v>5</v>
      </c>
      <c r="G509">
        <v>3836.7003359999999</v>
      </c>
      <c r="H509" t="s">
        <v>4</v>
      </c>
      <c r="I509">
        <v>990.16341899999998</v>
      </c>
      <c r="J509">
        <v>2846.5369169999999</v>
      </c>
      <c r="K509" t="s">
        <v>6</v>
      </c>
      <c r="L509" t="s">
        <v>7</v>
      </c>
      <c r="M509" t="s">
        <v>8</v>
      </c>
      <c r="N509" t="s">
        <v>6</v>
      </c>
      <c r="O509" t="s">
        <v>3</v>
      </c>
      <c r="P509" t="s">
        <v>3</v>
      </c>
      <c r="Q509" t="s">
        <v>3</v>
      </c>
      <c r="R509" t="s">
        <v>3</v>
      </c>
      <c r="S509" t="s">
        <v>3</v>
      </c>
      <c r="T509" t="s">
        <v>7</v>
      </c>
      <c r="U509">
        <v>0</v>
      </c>
      <c r="V509">
        <v>0</v>
      </c>
      <c r="W509">
        <v>0</v>
      </c>
      <c r="X509">
        <v>3</v>
      </c>
      <c r="Y509">
        <v>0</v>
      </c>
      <c r="Z509" t="s">
        <v>29</v>
      </c>
      <c r="AA509" t="s">
        <v>4</v>
      </c>
      <c r="AB509" t="s">
        <v>6</v>
      </c>
      <c r="AC509" t="s">
        <v>7</v>
      </c>
      <c r="AD509" t="s">
        <v>8</v>
      </c>
      <c r="AE509" t="s">
        <v>6</v>
      </c>
      <c r="AF509" t="s">
        <v>3</v>
      </c>
      <c r="AG509" t="s">
        <v>3</v>
      </c>
      <c r="AH509" t="s">
        <v>3</v>
      </c>
      <c r="AI509" t="s">
        <v>3</v>
      </c>
      <c r="AJ509" t="s">
        <v>3</v>
      </c>
      <c r="AK509" t="s">
        <v>7</v>
      </c>
      <c r="AL509">
        <v>0</v>
      </c>
      <c r="AM509">
        <v>0</v>
      </c>
      <c r="AN509">
        <v>0</v>
      </c>
      <c r="AO509">
        <v>0</v>
      </c>
      <c r="AP509">
        <v>0</v>
      </c>
      <c r="AQ509" t="s">
        <v>9</v>
      </c>
      <c r="AR509" s="1">
        <v>7.6590500399999998E-5</v>
      </c>
      <c r="AS509" s="1">
        <v>4.4862382099999998E-26</v>
      </c>
      <c r="AT509">
        <v>21</v>
      </c>
      <c r="AU509" t="s">
        <v>10</v>
      </c>
      <c r="AV509">
        <v>0</v>
      </c>
      <c r="AW509">
        <v>0</v>
      </c>
      <c r="AX509">
        <v>0</v>
      </c>
      <c r="AY509">
        <v>3</v>
      </c>
      <c r="AZ509">
        <v>0</v>
      </c>
      <c r="BA509" t="s">
        <v>29</v>
      </c>
      <c r="BB509" t="s">
        <v>4</v>
      </c>
      <c r="BC509" t="s">
        <v>10</v>
      </c>
      <c r="BD509">
        <v>0</v>
      </c>
      <c r="BE509">
        <v>0</v>
      </c>
      <c r="BF509">
        <v>0</v>
      </c>
      <c r="BG509">
        <v>0</v>
      </c>
      <c r="BH509">
        <v>0</v>
      </c>
      <c r="BI509" t="s">
        <v>9</v>
      </c>
      <c r="BJ509">
        <v>7.4510000000000003E-5</v>
      </c>
      <c r="BK509">
        <v>0</v>
      </c>
      <c r="BL509">
        <v>-1.7710000000000002E-5</v>
      </c>
      <c r="BM509" s="2">
        <f t="shared" si="7"/>
        <v>2.701675816295997E-7</v>
      </c>
    </row>
    <row r="510" spans="1:65" x14ac:dyDescent="0.35">
      <c r="A510">
        <v>0</v>
      </c>
      <c r="B510" t="s">
        <v>11</v>
      </c>
      <c r="C510" t="s">
        <v>4</v>
      </c>
      <c r="D510">
        <v>0</v>
      </c>
      <c r="E510" t="s">
        <v>3</v>
      </c>
      <c r="F510" t="s">
        <v>5</v>
      </c>
      <c r="G510">
        <v>2364.9027780000001</v>
      </c>
      <c r="H510" t="s">
        <v>4</v>
      </c>
      <c r="I510">
        <v>990.16341899999998</v>
      </c>
      <c r="J510">
        <v>1374.7393589999999</v>
      </c>
      <c r="K510" t="s">
        <v>6</v>
      </c>
      <c r="L510" t="s">
        <v>7</v>
      </c>
      <c r="M510" t="s">
        <v>8</v>
      </c>
      <c r="N510" t="s">
        <v>6</v>
      </c>
      <c r="O510" t="s">
        <v>3</v>
      </c>
      <c r="P510" t="s">
        <v>3</v>
      </c>
      <c r="Q510" t="s">
        <v>3</v>
      </c>
      <c r="R510" t="s">
        <v>3</v>
      </c>
      <c r="S510" t="s">
        <v>11</v>
      </c>
      <c r="T510" t="s">
        <v>7</v>
      </c>
      <c r="U510">
        <v>0</v>
      </c>
      <c r="V510">
        <v>0</v>
      </c>
      <c r="W510">
        <v>0</v>
      </c>
      <c r="X510">
        <v>2</v>
      </c>
      <c r="Y510">
        <v>0</v>
      </c>
      <c r="Z510" t="s">
        <v>13</v>
      </c>
      <c r="AA510" t="s">
        <v>4</v>
      </c>
      <c r="AB510" t="s">
        <v>6</v>
      </c>
      <c r="AC510" t="s">
        <v>7</v>
      </c>
      <c r="AD510" t="s">
        <v>8</v>
      </c>
      <c r="AE510" t="s">
        <v>6</v>
      </c>
      <c r="AF510" t="s">
        <v>3</v>
      </c>
      <c r="AG510" t="s">
        <v>3</v>
      </c>
      <c r="AH510" t="s">
        <v>3</v>
      </c>
      <c r="AI510" t="s">
        <v>3</v>
      </c>
      <c r="AJ510" t="s">
        <v>3</v>
      </c>
      <c r="AK510" t="s">
        <v>7</v>
      </c>
      <c r="AL510">
        <v>0</v>
      </c>
      <c r="AM510">
        <v>0</v>
      </c>
      <c r="AN510">
        <v>0</v>
      </c>
      <c r="AO510">
        <v>0</v>
      </c>
      <c r="AP510">
        <v>0</v>
      </c>
      <c r="AQ510" t="s">
        <v>9</v>
      </c>
      <c r="AR510" s="1">
        <v>1.13142592E-4</v>
      </c>
      <c r="AS510" s="1">
        <v>4.7219269700000001E-26</v>
      </c>
      <c r="AT510">
        <v>21</v>
      </c>
      <c r="AU510" t="s">
        <v>10</v>
      </c>
      <c r="AV510">
        <v>0</v>
      </c>
      <c r="AW510">
        <v>0</v>
      </c>
      <c r="AX510">
        <v>0</v>
      </c>
      <c r="AY510">
        <v>2</v>
      </c>
      <c r="AZ510">
        <v>0</v>
      </c>
      <c r="BA510" t="s">
        <v>13</v>
      </c>
      <c r="BB510" t="s">
        <v>4</v>
      </c>
      <c r="BC510" t="s">
        <v>10</v>
      </c>
      <c r="BD510">
        <v>0</v>
      </c>
      <c r="BE510">
        <v>0</v>
      </c>
      <c r="BF510">
        <v>0</v>
      </c>
      <c r="BG510">
        <v>0</v>
      </c>
      <c r="BH510">
        <v>0</v>
      </c>
      <c r="BI510" t="s">
        <v>9</v>
      </c>
      <c r="BJ510">
        <v>0</v>
      </c>
      <c r="BK510">
        <v>1.1314E-4</v>
      </c>
      <c r="BL510">
        <v>0</v>
      </c>
      <c r="BM510" s="2">
        <f t="shared" si="7"/>
        <v>2.8436109060657376E-7</v>
      </c>
    </row>
    <row r="511" spans="1:65" x14ac:dyDescent="0.35">
      <c r="A511">
        <v>0</v>
      </c>
      <c r="B511" t="s">
        <v>11</v>
      </c>
      <c r="C511" t="s">
        <v>4</v>
      </c>
      <c r="D511">
        <v>0</v>
      </c>
      <c r="E511" t="s">
        <v>3</v>
      </c>
      <c r="F511" t="s">
        <v>5</v>
      </c>
      <c r="G511">
        <v>3945.4416769999998</v>
      </c>
      <c r="H511" t="s">
        <v>4</v>
      </c>
      <c r="I511">
        <v>990.16341899999998</v>
      </c>
      <c r="J511">
        <v>2955.2782579999998</v>
      </c>
      <c r="K511" t="s">
        <v>6</v>
      </c>
      <c r="L511" t="s">
        <v>7</v>
      </c>
      <c r="M511" t="s">
        <v>8</v>
      </c>
      <c r="N511" t="s">
        <v>6</v>
      </c>
      <c r="O511" t="s">
        <v>3</v>
      </c>
      <c r="P511" t="s">
        <v>3</v>
      </c>
      <c r="Q511" t="s">
        <v>3</v>
      </c>
      <c r="R511" t="s">
        <v>3</v>
      </c>
      <c r="S511" t="s">
        <v>11</v>
      </c>
      <c r="T511" t="s">
        <v>7</v>
      </c>
      <c r="U511">
        <v>1</v>
      </c>
      <c r="V511">
        <v>0</v>
      </c>
      <c r="W511">
        <v>0</v>
      </c>
      <c r="X511">
        <v>0</v>
      </c>
      <c r="Y511">
        <v>1</v>
      </c>
      <c r="Z511" t="s">
        <v>19</v>
      </c>
      <c r="AA511" t="s">
        <v>4</v>
      </c>
      <c r="AB511" t="s">
        <v>6</v>
      </c>
      <c r="AC511" t="s">
        <v>7</v>
      </c>
      <c r="AD511" t="s">
        <v>8</v>
      </c>
      <c r="AE511" t="s">
        <v>6</v>
      </c>
      <c r="AF511" t="s">
        <v>3</v>
      </c>
      <c r="AG511" t="s">
        <v>3</v>
      </c>
      <c r="AH511" t="s">
        <v>3</v>
      </c>
      <c r="AI511" t="s">
        <v>3</v>
      </c>
      <c r="AJ511" t="s">
        <v>3</v>
      </c>
      <c r="AK511" t="s">
        <v>7</v>
      </c>
      <c r="AL511">
        <v>0</v>
      </c>
      <c r="AM511">
        <v>0</v>
      </c>
      <c r="AN511">
        <v>0</v>
      </c>
      <c r="AO511">
        <v>0</v>
      </c>
      <c r="AP511">
        <v>0</v>
      </c>
      <c r="AQ511" t="s">
        <v>9</v>
      </c>
      <c r="AR511" s="1">
        <v>5.9420899999999999E-5</v>
      </c>
      <c r="AS511" s="1">
        <v>2.8034493599999998E-26</v>
      </c>
      <c r="AT511">
        <v>21</v>
      </c>
      <c r="AU511" t="s">
        <v>10</v>
      </c>
      <c r="AV511">
        <v>1</v>
      </c>
      <c r="AW511">
        <v>0</v>
      </c>
      <c r="AX511">
        <v>0</v>
      </c>
      <c r="AY511">
        <v>0</v>
      </c>
      <c r="AZ511">
        <v>1</v>
      </c>
      <c r="BA511" t="s">
        <v>19</v>
      </c>
      <c r="BB511" t="s">
        <v>4</v>
      </c>
      <c r="BC511" t="s">
        <v>10</v>
      </c>
      <c r="BD511">
        <v>0</v>
      </c>
      <c r="BE511">
        <v>0</v>
      </c>
      <c r="BF511">
        <v>0</v>
      </c>
      <c r="BG511">
        <v>0</v>
      </c>
      <c r="BH511">
        <v>0</v>
      </c>
      <c r="BI511" t="s">
        <v>9</v>
      </c>
      <c r="BJ511">
        <v>0</v>
      </c>
      <c r="BK511">
        <v>-5.9419999999999997E-5</v>
      </c>
      <c r="BL511">
        <v>0</v>
      </c>
      <c r="BM511" s="2">
        <f t="shared" si="7"/>
        <v>1.6882766771589887E-7</v>
      </c>
    </row>
    <row r="512" spans="1:65" x14ac:dyDescent="0.35">
      <c r="A512">
        <v>0</v>
      </c>
      <c r="B512" t="s">
        <v>3</v>
      </c>
      <c r="C512" t="s">
        <v>4</v>
      </c>
      <c r="D512">
        <v>0</v>
      </c>
      <c r="E512" t="s">
        <v>3</v>
      </c>
      <c r="F512" t="s">
        <v>5</v>
      </c>
      <c r="G512">
        <v>4852.8480010000003</v>
      </c>
      <c r="H512" t="s">
        <v>4</v>
      </c>
      <c r="I512">
        <v>990.16341899999998</v>
      </c>
      <c r="J512">
        <v>3862.6845819999999</v>
      </c>
      <c r="K512" t="s">
        <v>6</v>
      </c>
      <c r="L512" t="s">
        <v>7</v>
      </c>
      <c r="M512" t="s">
        <v>8</v>
      </c>
      <c r="N512" t="s">
        <v>6</v>
      </c>
      <c r="O512" t="s">
        <v>3</v>
      </c>
      <c r="P512" t="s">
        <v>3</v>
      </c>
      <c r="Q512" t="s">
        <v>3</v>
      </c>
      <c r="R512" t="s">
        <v>3</v>
      </c>
      <c r="S512" t="s">
        <v>3</v>
      </c>
      <c r="T512" t="s">
        <v>7</v>
      </c>
      <c r="U512">
        <v>3</v>
      </c>
      <c r="V512">
        <v>1</v>
      </c>
      <c r="W512">
        <v>0</v>
      </c>
      <c r="X512">
        <v>0</v>
      </c>
      <c r="Y512">
        <v>0</v>
      </c>
      <c r="Z512" t="s">
        <v>15</v>
      </c>
      <c r="AA512" t="s">
        <v>4</v>
      </c>
      <c r="AB512" t="s">
        <v>6</v>
      </c>
      <c r="AC512" t="s">
        <v>7</v>
      </c>
      <c r="AD512" t="s">
        <v>8</v>
      </c>
      <c r="AE512" t="s">
        <v>6</v>
      </c>
      <c r="AF512" t="s">
        <v>3</v>
      </c>
      <c r="AG512" t="s">
        <v>3</v>
      </c>
      <c r="AH512" t="s">
        <v>3</v>
      </c>
      <c r="AI512" t="s">
        <v>3</v>
      </c>
      <c r="AJ512" t="s">
        <v>3</v>
      </c>
      <c r="AK512" t="s">
        <v>7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9</v>
      </c>
      <c r="AR512" s="1">
        <v>4.2962019200000002E-5</v>
      </c>
      <c r="AS512" s="1">
        <v>1.91546745E-26</v>
      </c>
      <c r="AT512">
        <v>22</v>
      </c>
      <c r="AU512" t="s">
        <v>10</v>
      </c>
      <c r="AV512">
        <v>3</v>
      </c>
      <c r="AW512">
        <v>1</v>
      </c>
      <c r="AX512">
        <v>0</v>
      </c>
      <c r="AY512">
        <v>0</v>
      </c>
      <c r="AZ512">
        <v>0</v>
      </c>
      <c r="BA512" t="s">
        <v>15</v>
      </c>
      <c r="BB512" t="s">
        <v>4</v>
      </c>
      <c r="BC512" t="s">
        <v>10</v>
      </c>
      <c r="BD512">
        <v>0</v>
      </c>
      <c r="BE512">
        <v>0</v>
      </c>
      <c r="BF512">
        <v>0</v>
      </c>
      <c r="BG512">
        <v>0</v>
      </c>
      <c r="BH512">
        <v>0</v>
      </c>
      <c r="BI512" t="s">
        <v>9</v>
      </c>
      <c r="BJ512">
        <v>4.2880000000000003E-5</v>
      </c>
      <c r="BK512">
        <v>0</v>
      </c>
      <c r="BL512">
        <v>2.6599999999999999E-6</v>
      </c>
      <c r="BM512" s="2">
        <f t="shared" si="7"/>
        <v>1.153521468171696E-7</v>
      </c>
    </row>
    <row r="513" spans="1:65" x14ac:dyDescent="0.35">
      <c r="A513">
        <v>0</v>
      </c>
      <c r="B513" t="s">
        <v>3</v>
      </c>
      <c r="C513" t="s">
        <v>4</v>
      </c>
      <c r="D513">
        <v>0</v>
      </c>
      <c r="E513" t="s">
        <v>3</v>
      </c>
      <c r="F513" t="s">
        <v>5</v>
      </c>
      <c r="G513">
        <v>4535.466144</v>
      </c>
      <c r="H513" t="s">
        <v>4</v>
      </c>
      <c r="I513">
        <v>990.16341899999998</v>
      </c>
      <c r="J513">
        <v>3545.302725</v>
      </c>
      <c r="K513" t="s">
        <v>6</v>
      </c>
      <c r="L513" t="s">
        <v>7</v>
      </c>
      <c r="M513" t="s">
        <v>8</v>
      </c>
      <c r="N513" t="s">
        <v>6</v>
      </c>
      <c r="O513" t="s">
        <v>3</v>
      </c>
      <c r="P513" t="s">
        <v>3</v>
      </c>
      <c r="Q513" t="s">
        <v>3</v>
      </c>
      <c r="R513" t="s">
        <v>3</v>
      </c>
      <c r="S513" t="s">
        <v>3</v>
      </c>
      <c r="T513" t="s">
        <v>7</v>
      </c>
      <c r="U513">
        <v>0</v>
      </c>
      <c r="V513">
        <v>0</v>
      </c>
      <c r="W513">
        <v>0</v>
      </c>
      <c r="X513">
        <v>8</v>
      </c>
      <c r="Y513">
        <v>2</v>
      </c>
      <c r="Z513" t="s">
        <v>8</v>
      </c>
      <c r="AA513" t="s">
        <v>4</v>
      </c>
      <c r="AB513" t="s">
        <v>6</v>
      </c>
      <c r="AC513" t="s">
        <v>7</v>
      </c>
      <c r="AD513" t="s">
        <v>8</v>
      </c>
      <c r="AE513" t="s">
        <v>6</v>
      </c>
      <c r="AF513" t="s">
        <v>3</v>
      </c>
      <c r="AG513" t="s">
        <v>3</v>
      </c>
      <c r="AH513" t="s">
        <v>3</v>
      </c>
      <c r="AI513" t="s">
        <v>3</v>
      </c>
      <c r="AJ513" t="s">
        <v>3</v>
      </c>
      <c r="AK513" t="s">
        <v>7</v>
      </c>
      <c r="AL513">
        <v>0</v>
      </c>
      <c r="AM513">
        <v>0</v>
      </c>
      <c r="AN513">
        <v>0</v>
      </c>
      <c r="AO513">
        <v>0</v>
      </c>
      <c r="AP513">
        <v>0</v>
      </c>
      <c r="AQ513" t="s">
        <v>9</v>
      </c>
      <c r="AR513" s="1">
        <v>9.9193385700000008E-6</v>
      </c>
      <c r="AS513" s="1">
        <v>9.3720565300000003E-28</v>
      </c>
      <c r="AT513">
        <v>21</v>
      </c>
      <c r="AU513" t="s">
        <v>10</v>
      </c>
      <c r="AV513">
        <v>0</v>
      </c>
      <c r="AW513">
        <v>0</v>
      </c>
      <c r="AX513">
        <v>0</v>
      </c>
      <c r="AY513">
        <v>8</v>
      </c>
      <c r="AZ513">
        <v>2</v>
      </c>
      <c r="BA513" t="s">
        <v>8</v>
      </c>
      <c r="BB513" t="s">
        <v>4</v>
      </c>
      <c r="BC513" t="s">
        <v>10</v>
      </c>
      <c r="BD513">
        <v>0</v>
      </c>
      <c r="BE513">
        <v>0</v>
      </c>
      <c r="BF513">
        <v>0</v>
      </c>
      <c r="BG513">
        <v>0</v>
      </c>
      <c r="BH513">
        <v>0</v>
      </c>
      <c r="BI513" t="s">
        <v>9</v>
      </c>
      <c r="BJ513">
        <v>6.6200000000000001E-6</v>
      </c>
      <c r="BK513">
        <v>0</v>
      </c>
      <c r="BL513">
        <v>-7.3900000000000004E-6</v>
      </c>
      <c r="BM513" s="2">
        <f t="shared" si="7"/>
        <v>5.6439844009219424E-9</v>
      </c>
    </row>
    <row r="514" spans="1:65" x14ac:dyDescent="0.35">
      <c r="A514">
        <v>0</v>
      </c>
      <c r="B514" t="s">
        <v>3</v>
      </c>
      <c r="C514" t="s">
        <v>4</v>
      </c>
      <c r="D514">
        <v>0</v>
      </c>
      <c r="E514" t="s">
        <v>3</v>
      </c>
      <c r="F514" t="s">
        <v>5</v>
      </c>
      <c r="G514">
        <v>4039.751205</v>
      </c>
      <c r="H514" t="s">
        <v>4</v>
      </c>
      <c r="I514">
        <v>990.16341899999998</v>
      </c>
      <c r="J514">
        <v>3049.5877860000001</v>
      </c>
      <c r="K514" t="s">
        <v>6</v>
      </c>
      <c r="L514" t="s">
        <v>7</v>
      </c>
      <c r="M514" t="s">
        <v>8</v>
      </c>
      <c r="N514" t="s">
        <v>6</v>
      </c>
      <c r="O514" t="s">
        <v>3</v>
      </c>
      <c r="P514" t="s">
        <v>3</v>
      </c>
      <c r="Q514" t="s">
        <v>3</v>
      </c>
      <c r="R514" t="s">
        <v>3</v>
      </c>
      <c r="S514" t="s">
        <v>3</v>
      </c>
      <c r="T514" t="s">
        <v>7</v>
      </c>
      <c r="U514">
        <v>0</v>
      </c>
      <c r="V514">
        <v>0</v>
      </c>
      <c r="W514">
        <v>0</v>
      </c>
      <c r="X514">
        <v>3</v>
      </c>
      <c r="Y514">
        <v>0</v>
      </c>
      <c r="Z514" t="s">
        <v>22</v>
      </c>
      <c r="AA514" t="s">
        <v>4</v>
      </c>
      <c r="AB514" t="s">
        <v>6</v>
      </c>
      <c r="AC514" t="s">
        <v>7</v>
      </c>
      <c r="AD514" t="s">
        <v>8</v>
      </c>
      <c r="AE514" t="s">
        <v>6</v>
      </c>
      <c r="AF514" t="s">
        <v>3</v>
      </c>
      <c r="AG514" t="s">
        <v>3</v>
      </c>
      <c r="AH514" t="s">
        <v>3</v>
      </c>
      <c r="AI514" t="s">
        <v>3</v>
      </c>
      <c r="AJ514" t="s">
        <v>3</v>
      </c>
      <c r="AK514" t="s">
        <v>7</v>
      </c>
      <c r="AL514">
        <v>0</v>
      </c>
      <c r="AM514">
        <v>0</v>
      </c>
      <c r="AN514">
        <v>0</v>
      </c>
      <c r="AO514">
        <v>0</v>
      </c>
      <c r="AP514">
        <v>0</v>
      </c>
      <c r="AQ514" t="s">
        <v>9</v>
      </c>
      <c r="AR514" s="1">
        <v>3.3183501000000001E-5</v>
      </c>
      <c r="AS514" s="1">
        <v>9.0219732800000003E-27</v>
      </c>
      <c r="AT514">
        <v>22</v>
      </c>
      <c r="AU514" t="s">
        <v>10</v>
      </c>
      <c r="AV514">
        <v>0</v>
      </c>
      <c r="AW514">
        <v>0</v>
      </c>
      <c r="AX514">
        <v>0</v>
      </c>
      <c r="AY514">
        <v>3</v>
      </c>
      <c r="AZ514">
        <v>0</v>
      </c>
      <c r="BA514" t="s">
        <v>22</v>
      </c>
      <c r="BB514" t="s">
        <v>4</v>
      </c>
      <c r="BC514" t="s">
        <v>10</v>
      </c>
      <c r="BD514">
        <v>0</v>
      </c>
      <c r="BE514">
        <v>0</v>
      </c>
      <c r="BF514">
        <v>0</v>
      </c>
      <c r="BG514">
        <v>0</v>
      </c>
      <c r="BH514">
        <v>0</v>
      </c>
      <c r="BI514" t="s">
        <v>9</v>
      </c>
      <c r="BJ514">
        <v>-1.5529999999999999E-5</v>
      </c>
      <c r="BK514">
        <v>0</v>
      </c>
      <c r="BL514">
        <v>-2.9329999999999999E-5</v>
      </c>
      <c r="BM514" s="2">
        <f t="shared" ref="BM514:BM577" si="8">AS514*10^(-5)*6.0221408*10^(23)</f>
        <v>5.4331593385997823E-8</v>
      </c>
    </row>
    <row r="515" spans="1:65" x14ac:dyDescent="0.35">
      <c r="A515">
        <v>0</v>
      </c>
      <c r="B515" t="s">
        <v>3</v>
      </c>
      <c r="C515" t="s">
        <v>4</v>
      </c>
      <c r="D515">
        <v>0</v>
      </c>
      <c r="E515" t="s">
        <v>3</v>
      </c>
      <c r="F515" t="s">
        <v>5</v>
      </c>
      <c r="G515">
        <v>3719.6075150000001</v>
      </c>
      <c r="H515" t="s">
        <v>4</v>
      </c>
      <c r="I515">
        <v>990.16341899999998</v>
      </c>
      <c r="J515">
        <v>2729.4440960000002</v>
      </c>
      <c r="K515" t="s">
        <v>6</v>
      </c>
      <c r="L515" t="s">
        <v>7</v>
      </c>
      <c r="M515" t="s">
        <v>8</v>
      </c>
      <c r="N515" t="s">
        <v>6</v>
      </c>
      <c r="O515" t="s">
        <v>3</v>
      </c>
      <c r="P515" t="s">
        <v>3</v>
      </c>
      <c r="Q515" t="s">
        <v>3</v>
      </c>
      <c r="R515" t="s">
        <v>3</v>
      </c>
      <c r="S515" t="s">
        <v>3</v>
      </c>
      <c r="T515" t="s">
        <v>7</v>
      </c>
      <c r="U515">
        <v>2</v>
      </c>
      <c r="V515">
        <v>1</v>
      </c>
      <c r="W515">
        <v>0</v>
      </c>
      <c r="X515">
        <v>2</v>
      </c>
      <c r="Y515">
        <v>0</v>
      </c>
      <c r="Z515" t="s">
        <v>8</v>
      </c>
      <c r="AA515" t="s">
        <v>4</v>
      </c>
      <c r="AB515" t="s">
        <v>6</v>
      </c>
      <c r="AC515" t="s">
        <v>7</v>
      </c>
      <c r="AD515" t="s">
        <v>8</v>
      </c>
      <c r="AE515" t="s">
        <v>6</v>
      </c>
      <c r="AF515" t="s">
        <v>3</v>
      </c>
      <c r="AG515" t="s">
        <v>3</v>
      </c>
      <c r="AH515" t="s">
        <v>3</v>
      </c>
      <c r="AI515" t="s">
        <v>3</v>
      </c>
      <c r="AJ515" t="s">
        <v>3</v>
      </c>
      <c r="AK515" t="s">
        <v>7</v>
      </c>
      <c r="AL515">
        <v>0</v>
      </c>
      <c r="AM515">
        <v>0</v>
      </c>
      <c r="AN515">
        <v>0</v>
      </c>
      <c r="AO515">
        <v>0</v>
      </c>
      <c r="AP515">
        <v>0</v>
      </c>
      <c r="AQ515" t="s">
        <v>9</v>
      </c>
      <c r="AR515" s="1">
        <v>6.7902607399999995E-5</v>
      </c>
      <c r="AS515" s="1">
        <v>3.3811344999999998E-26</v>
      </c>
      <c r="AT515">
        <v>25</v>
      </c>
      <c r="AU515" t="s">
        <v>10</v>
      </c>
      <c r="AV515">
        <v>2</v>
      </c>
      <c r="AW515">
        <v>1</v>
      </c>
      <c r="AX515">
        <v>0</v>
      </c>
      <c r="AY515">
        <v>2</v>
      </c>
      <c r="AZ515">
        <v>0</v>
      </c>
      <c r="BA515" t="s">
        <v>8</v>
      </c>
      <c r="BB515" t="s">
        <v>4</v>
      </c>
      <c r="BC515" t="s">
        <v>10</v>
      </c>
      <c r="BD515">
        <v>0</v>
      </c>
      <c r="BE515">
        <v>0</v>
      </c>
      <c r="BF515">
        <v>0</v>
      </c>
      <c r="BG515">
        <v>0</v>
      </c>
      <c r="BH515">
        <v>0</v>
      </c>
      <c r="BI515" t="s">
        <v>9</v>
      </c>
      <c r="BJ515">
        <v>-6.7899999999999997E-5</v>
      </c>
      <c r="BK515">
        <v>0</v>
      </c>
      <c r="BL515">
        <v>2.8999999999999998E-7</v>
      </c>
      <c r="BM515" s="2">
        <f t="shared" si="8"/>
        <v>2.0361668022737598E-7</v>
      </c>
    </row>
    <row r="516" spans="1:65" x14ac:dyDescent="0.35">
      <c r="A516">
        <v>0</v>
      </c>
      <c r="B516" t="s">
        <v>3</v>
      </c>
      <c r="C516" t="s">
        <v>4</v>
      </c>
      <c r="D516">
        <v>0</v>
      </c>
      <c r="E516" t="s">
        <v>3</v>
      </c>
      <c r="F516" t="s">
        <v>5</v>
      </c>
      <c r="G516">
        <v>4680.0983079999996</v>
      </c>
      <c r="H516" t="s">
        <v>4</v>
      </c>
      <c r="I516">
        <v>990.16341899999998</v>
      </c>
      <c r="J516">
        <v>3689.9348890000001</v>
      </c>
      <c r="K516" t="s">
        <v>6</v>
      </c>
      <c r="L516" t="s">
        <v>7</v>
      </c>
      <c r="M516" t="s">
        <v>8</v>
      </c>
      <c r="N516" t="s">
        <v>6</v>
      </c>
      <c r="O516" t="s">
        <v>3</v>
      </c>
      <c r="P516" t="s">
        <v>3</v>
      </c>
      <c r="Q516" t="s">
        <v>3</v>
      </c>
      <c r="R516" t="s">
        <v>3</v>
      </c>
      <c r="S516" t="s">
        <v>3</v>
      </c>
      <c r="T516" t="s">
        <v>7</v>
      </c>
      <c r="U516">
        <v>1</v>
      </c>
      <c r="V516">
        <v>1</v>
      </c>
      <c r="W516">
        <v>0</v>
      </c>
      <c r="X516">
        <v>0</v>
      </c>
      <c r="Y516">
        <v>0</v>
      </c>
      <c r="Z516" t="s">
        <v>29</v>
      </c>
      <c r="AA516" t="s">
        <v>4</v>
      </c>
      <c r="AB516" t="s">
        <v>6</v>
      </c>
      <c r="AC516" t="s">
        <v>7</v>
      </c>
      <c r="AD516" t="s">
        <v>8</v>
      </c>
      <c r="AE516" t="s">
        <v>6</v>
      </c>
      <c r="AF516" t="s">
        <v>3</v>
      </c>
      <c r="AG516" t="s">
        <v>3</v>
      </c>
      <c r="AH516" t="s">
        <v>3</v>
      </c>
      <c r="AI516" t="s">
        <v>3</v>
      </c>
      <c r="AJ516" t="s">
        <v>3</v>
      </c>
      <c r="AK516" t="s">
        <v>7</v>
      </c>
      <c r="AL516">
        <v>0</v>
      </c>
      <c r="AM516">
        <v>0</v>
      </c>
      <c r="AN516">
        <v>0</v>
      </c>
      <c r="AO516">
        <v>0</v>
      </c>
      <c r="AP516">
        <v>0</v>
      </c>
      <c r="AQ516" t="s">
        <v>9</v>
      </c>
      <c r="AR516" s="1">
        <v>3.8145899900000001E-4</v>
      </c>
      <c r="AS516" s="1">
        <v>1.4425490499999999E-24</v>
      </c>
      <c r="AT516">
        <v>22</v>
      </c>
      <c r="AU516" t="s">
        <v>10</v>
      </c>
      <c r="AV516">
        <v>1</v>
      </c>
      <c r="AW516">
        <v>1</v>
      </c>
      <c r="AX516">
        <v>0</v>
      </c>
      <c r="AY516">
        <v>0</v>
      </c>
      <c r="AZ516">
        <v>0</v>
      </c>
      <c r="BA516" t="s">
        <v>29</v>
      </c>
      <c r="BB516" t="s">
        <v>4</v>
      </c>
      <c r="BC516" t="s">
        <v>10</v>
      </c>
      <c r="BD516">
        <v>0</v>
      </c>
      <c r="BE516">
        <v>0</v>
      </c>
      <c r="BF516">
        <v>0</v>
      </c>
      <c r="BG516">
        <v>0</v>
      </c>
      <c r="BH516">
        <v>0</v>
      </c>
      <c r="BI516" t="s">
        <v>9</v>
      </c>
      <c r="BJ516">
        <v>-2.6475000000000001E-4</v>
      </c>
      <c r="BK516">
        <v>0</v>
      </c>
      <c r="BL516">
        <v>2.7462E-4</v>
      </c>
      <c r="BM516" s="2">
        <f t="shared" si="8"/>
        <v>8.6872334900062381E-6</v>
      </c>
    </row>
    <row r="517" spans="1:65" x14ac:dyDescent="0.35">
      <c r="A517">
        <v>0</v>
      </c>
      <c r="B517" t="s">
        <v>3</v>
      </c>
      <c r="C517" t="s">
        <v>4</v>
      </c>
      <c r="D517">
        <v>0</v>
      </c>
      <c r="E517" t="s">
        <v>3</v>
      </c>
      <c r="F517" t="s">
        <v>5</v>
      </c>
      <c r="G517">
        <v>2725.4470030000002</v>
      </c>
      <c r="H517" t="s">
        <v>4</v>
      </c>
      <c r="I517">
        <v>990.16341899999998</v>
      </c>
      <c r="J517">
        <v>1735.283584</v>
      </c>
      <c r="K517" t="s">
        <v>6</v>
      </c>
      <c r="L517" t="s">
        <v>7</v>
      </c>
      <c r="M517" t="s">
        <v>8</v>
      </c>
      <c r="N517" t="s">
        <v>6</v>
      </c>
      <c r="O517" t="s">
        <v>3</v>
      </c>
      <c r="P517" t="s">
        <v>3</v>
      </c>
      <c r="Q517" t="s">
        <v>3</v>
      </c>
      <c r="R517" t="s">
        <v>3</v>
      </c>
      <c r="S517" t="s">
        <v>3</v>
      </c>
      <c r="T517" t="s">
        <v>7</v>
      </c>
      <c r="U517">
        <v>2</v>
      </c>
      <c r="V517">
        <v>0</v>
      </c>
      <c r="W517">
        <v>0</v>
      </c>
      <c r="X517">
        <v>0</v>
      </c>
      <c r="Y517">
        <v>0</v>
      </c>
      <c r="Z517" t="s">
        <v>15</v>
      </c>
      <c r="AA517" t="s">
        <v>4</v>
      </c>
      <c r="AB517" t="s">
        <v>6</v>
      </c>
      <c r="AC517" t="s">
        <v>7</v>
      </c>
      <c r="AD517" t="s">
        <v>8</v>
      </c>
      <c r="AE517" t="s">
        <v>6</v>
      </c>
      <c r="AF517" t="s">
        <v>3</v>
      </c>
      <c r="AG517" t="s">
        <v>3</v>
      </c>
      <c r="AH517" t="s">
        <v>3</v>
      </c>
      <c r="AI517" t="s">
        <v>3</v>
      </c>
      <c r="AJ517" t="s">
        <v>3</v>
      </c>
      <c r="AK517" t="s">
        <v>7</v>
      </c>
      <c r="AL517">
        <v>0</v>
      </c>
      <c r="AM517">
        <v>0</v>
      </c>
      <c r="AN517">
        <v>0</v>
      </c>
      <c r="AO517">
        <v>0</v>
      </c>
      <c r="AP517">
        <v>0</v>
      </c>
      <c r="AQ517" t="s">
        <v>9</v>
      </c>
      <c r="AR517" s="1">
        <v>1.1344662199999999E-2</v>
      </c>
      <c r="AS517" s="1">
        <v>5.9988765300000004E-22</v>
      </c>
      <c r="AT517">
        <v>21</v>
      </c>
      <c r="AU517" t="s">
        <v>10</v>
      </c>
      <c r="AV517">
        <v>2</v>
      </c>
      <c r="AW517">
        <v>0</v>
      </c>
      <c r="AX517">
        <v>0</v>
      </c>
      <c r="AY517">
        <v>0</v>
      </c>
      <c r="AZ517">
        <v>0</v>
      </c>
      <c r="BA517" t="s">
        <v>15</v>
      </c>
      <c r="BB517" t="s">
        <v>4</v>
      </c>
      <c r="BC517" t="s">
        <v>10</v>
      </c>
      <c r="BD517">
        <v>0</v>
      </c>
      <c r="BE517">
        <v>0</v>
      </c>
      <c r="BF517">
        <v>0</v>
      </c>
      <c r="BG517">
        <v>0</v>
      </c>
      <c r="BH517">
        <v>0</v>
      </c>
      <c r="BI517" t="s">
        <v>9</v>
      </c>
      <c r="BJ517">
        <v>-7.4409599999999999E-3</v>
      </c>
      <c r="BK517">
        <v>0</v>
      </c>
      <c r="BL517">
        <v>8.5634999999999999E-3</v>
      </c>
      <c r="BM517" s="2">
        <f t="shared" si="8"/>
        <v>3.6126079105475426E-3</v>
      </c>
    </row>
    <row r="518" spans="1:65" x14ac:dyDescent="0.35">
      <c r="A518">
        <v>0</v>
      </c>
      <c r="B518" t="s">
        <v>3</v>
      </c>
      <c r="C518" t="s">
        <v>4</v>
      </c>
      <c r="D518">
        <v>0</v>
      </c>
      <c r="E518" t="s">
        <v>3</v>
      </c>
      <c r="F518" t="s">
        <v>5</v>
      </c>
      <c r="G518">
        <v>4150.4436480000004</v>
      </c>
      <c r="H518" t="s">
        <v>4</v>
      </c>
      <c r="I518">
        <v>990.16341899999998</v>
      </c>
      <c r="J518">
        <v>3160.280229</v>
      </c>
      <c r="K518" t="s">
        <v>6</v>
      </c>
      <c r="L518" t="s">
        <v>7</v>
      </c>
      <c r="M518" t="s">
        <v>8</v>
      </c>
      <c r="N518" t="s">
        <v>6</v>
      </c>
      <c r="O518" t="s">
        <v>3</v>
      </c>
      <c r="P518" t="s">
        <v>3</v>
      </c>
      <c r="Q518" t="s">
        <v>3</v>
      </c>
      <c r="R518" t="s">
        <v>3</v>
      </c>
      <c r="S518" t="s">
        <v>3</v>
      </c>
      <c r="T518" t="s">
        <v>7</v>
      </c>
      <c r="U518">
        <v>4</v>
      </c>
      <c r="V518">
        <v>0</v>
      </c>
      <c r="W518">
        <v>0</v>
      </c>
      <c r="X518">
        <v>2</v>
      </c>
      <c r="Y518">
        <v>0</v>
      </c>
      <c r="Z518" t="s">
        <v>8</v>
      </c>
      <c r="AA518" t="s">
        <v>4</v>
      </c>
      <c r="AB518" t="s">
        <v>6</v>
      </c>
      <c r="AC518" t="s">
        <v>7</v>
      </c>
      <c r="AD518" t="s">
        <v>8</v>
      </c>
      <c r="AE518" t="s">
        <v>6</v>
      </c>
      <c r="AF518" t="s">
        <v>3</v>
      </c>
      <c r="AG518" t="s">
        <v>3</v>
      </c>
      <c r="AH518" t="s">
        <v>3</v>
      </c>
      <c r="AI518" t="s">
        <v>3</v>
      </c>
      <c r="AJ518" t="s">
        <v>3</v>
      </c>
      <c r="AK518" t="s">
        <v>7</v>
      </c>
      <c r="AL518">
        <v>0</v>
      </c>
      <c r="AM518">
        <v>0</v>
      </c>
      <c r="AN518">
        <v>0</v>
      </c>
      <c r="AO518">
        <v>0</v>
      </c>
      <c r="AP518">
        <v>0</v>
      </c>
      <c r="AQ518" t="s">
        <v>9</v>
      </c>
      <c r="AR518" s="1">
        <v>1.3642683999999999E-4</v>
      </c>
      <c r="AS518" s="1">
        <v>1.58030639E-25</v>
      </c>
      <c r="AT518">
        <v>25</v>
      </c>
      <c r="AU518" t="s">
        <v>10</v>
      </c>
      <c r="AV518">
        <v>4</v>
      </c>
      <c r="AW518">
        <v>0</v>
      </c>
      <c r="AX518">
        <v>0</v>
      </c>
      <c r="AY518">
        <v>2</v>
      </c>
      <c r="AZ518">
        <v>0</v>
      </c>
      <c r="BA518" t="s">
        <v>8</v>
      </c>
      <c r="BB518" t="s">
        <v>4</v>
      </c>
      <c r="BC518" t="s">
        <v>10</v>
      </c>
      <c r="BD518">
        <v>0</v>
      </c>
      <c r="BE518">
        <v>0</v>
      </c>
      <c r="BF518">
        <v>0</v>
      </c>
      <c r="BG518">
        <v>0</v>
      </c>
      <c r="BH518">
        <v>0</v>
      </c>
      <c r="BI518" t="s">
        <v>9</v>
      </c>
      <c r="BJ518">
        <v>-1.3346000000000001E-4</v>
      </c>
      <c r="BK518">
        <v>0</v>
      </c>
      <c r="BL518">
        <v>-2.8309999999999998E-5</v>
      </c>
      <c r="BM518" s="2">
        <f t="shared" si="8"/>
        <v>9.5168275877197117E-7</v>
      </c>
    </row>
    <row r="519" spans="1:65" x14ac:dyDescent="0.35">
      <c r="A519">
        <v>0</v>
      </c>
      <c r="B519" t="s">
        <v>3</v>
      </c>
      <c r="C519" t="s">
        <v>4</v>
      </c>
      <c r="D519">
        <v>0</v>
      </c>
      <c r="E519" t="s">
        <v>3</v>
      </c>
      <c r="F519" t="s">
        <v>5</v>
      </c>
      <c r="G519">
        <v>4618.8771589999997</v>
      </c>
      <c r="H519" t="s">
        <v>4</v>
      </c>
      <c r="I519">
        <v>990.16341899999998</v>
      </c>
      <c r="J519">
        <v>3628.7137400000001</v>
      </c>
      <c r="K519" t="s">
        <v>6</v>
      </c>
      <c r="L519" t="s">
        <v>7</v>
      </c>
      <c r="M519" t="s">
        <v>8</v>
      </c>
      <c r="N519" t="s">
        <v>6</v>
      </c>
      <c r="O519" t="s">
        <v>3</v>
      </c>
      <c r="P519" t="s">
        <v>3</v>
      </c>
      <c r="Q519" t="s">
        <v>3</v>
      </c>
      <c r="R519" t="s">
        <v>3</v>
      </c>
      <c r="S519" t="s">
        <v>3</v>
      </c>
      <c r="T519" t="s">
        <v>7</v>
      </c>
      <c r="U519">
        <v>0</v>
      </c>
      <c r="V519">
        <v>0</v>
      </c>
      <c r="W519">
        <v>1</v>
      </c>
      <c r="X519">
        <v>0</v>
      </c>
      <c r="Y519">
        <v>0</v>
      </c>
      <c r="Z519" t="s">
        <v>15</v>
      </c>
      <c r="AA519" t="s">
        <v>4</v>
      </c>
      <c r="AB519" t="s">
        <v>6</v>
      </c>
      <c r="AC519" t="s">
        <v>7</v>
      </c>
      <c r="AD519" t="s">
        <v>8</v>
      </c>
      <c r="AE519" t="s">
        <v>6</v>
      </c>
      <c r="AF519" t="s">
        <v>3</v>
      </c>
      <c r="AG519" t="s">
        <v>3</v>
      </c>
      <c r="AH519" t="s">
        <v>3</v>
      </c>
      <c r="AI519" t="s">
        <v>3</v>
      </c>
      <c r="AJ519" t="s">
        <v>3</v>
      </c>
      <c r="AK519" t="s">
        <v>7</v>
      </c>
      <c r="AL519">
        <v>0</v>
      </c>
      <c r="AM519">
        <v>0</v>
      </c>
      <c r="AN519">
        <v>0</v>
      </c>
      <c r="AO519">
        <v>0</v>
      </c>
      <c r="AP519">
        <v>0</v>
      </c>
      <c r="AQ519" t="s">
        <v>9</v>
      </c>
      <c r="AR519" s="1">
        <v>2.8898933699999998E-4</v>
      </c>
      <c r="AS519" s="1">
        <v>8.1420262400000003E-25</v>
      </c>
      <c r="AT519">
        <v>25</v>
      </c>
      <c r="AU519" t="s">
        <v>10</v>
      </c>
      <c r="AV519">
        <v>0</v>
      </c>
      <c r="AW519">
        <v>0</v>
      </c>
      <c r="AX519">
        <v>1</v>
      </c>
      <c r="AY519">
        <v>0</v>
      </c>
      <c r="AZ519">
        <v>0</v>
      </c>
      <c r="BA519" t="s">
        <v>15</v>
      </c>
      <c r="BB519" t="s">
        <v>4</v>
      </c>
      <c r="BC519" t="s">
        <v>10</v>
      </c>
      <c r="BD519">
        <v>0</v>
      </c>
      <c r="BE519">
        <v>0</v>
      </c>
      <c r="BF519">
        <v>0</v>
      </c>
      <c r="BG519">
        <v>0</v>
      </c>
      <c r="BH519">
        <v>0</v>
      </c>
      <c r="BI519" t="s">
        <v>9</v>
      </c>
      <c r="BJ519">
        <v>-2.1405999999999999E-4</v>
      </c>
      <c r="BK519">
        <v>0</v>
      </c>
      <c r="BL519">
        <v>1.9415E-4</v>
      </c>
      <c r="BM519" s="2">
        <f t="shared" si="8"/>
        <v>4.9032428414574594E-6</v>
      </c>
    </row>
    <row r="520" spans="1:65" x14ac:dyDescent="0.35">
      <c r="A520">
        <v>0</v>
      </c>
      <c r="B520" t="s">
        <v>3</v>
      </c>
      <c r="C520" t="s">
        <v>4</v>
      </c>
      <c r="D520">
        <v>0</v>
      </c>
      <c r="E520" t="s">
        <v>3</v>
      </c>
      <c r="F520" t="s">
        <v>5</v>
      </c>
      <c r="G520">
        <v>4435.6369519999998</v>
      </c>
      <c r="H520" t="s">
        <v>4</v>
      </c>
      <c r="I520">
        <v>990.16341899999998</v>
      </c>
      <c r="J520">
        <v>3445.4735329999999</v>
      </c>
      <c r="K520" t="s">
        <v>6</v>
      </c>
      <c r="L520" t="s">
        <v>7</v>
      </c>
      <c r="M520" t="s">
        <v>8</v>
      </c>
      <c r="N520" t="s">
        <v>6</v>
      </c>
      <c r="O520" t="s">
        <v>3</v>
      </c>
      <c r="P520" t="s">
        <v>3</v>
      </c>
      <c r="Q520" t="s">
        <v>3</v>
      </c>
      <c r="R520" t="s">
        <v>3</v>
      </c>
      <c r="S520" t="s">
        <v>3</v>
      </c>
      <c r="T520" t="s">
        <v>7</v>
      </c>
      <c r="U520">
        <v>0</v>
      </c>
      <c r="V520">
        <v>1</v>
      </c>
      <c r="W520">
        <v>0</v>
      </c>
      <c r="X520">
        <v>1</v>
      </c>
      <c r="Y520">
        <v>2</v>
      </c>
      <c r="Z520" t="s">
        <v>9</v>
      </c>
      <c r="AA520" t="s">
        <v>4</v>
      </c>
      <c r="AB520" t="s">
        <v>6</v>
      </c>
      <c r="AC520" t="s">
        <v>7</v>
      </c>
      <c r="AD520" t="s">
        <v>8</v>
      </c>
      <c r="AE520" t="s">
        <v>6</v>
      </c>
      <c r="AF520" t="s">
        <v>3</v>
      </c>
      <c r="AG520" t="s">
        <v>3</v>
      </c>
      <c r="AH520" t="s">
        <v>3</v>
      </c>
      <c r="AI520" t="s">
        <v>3</v>
      </c>
      <c r="AJ520" t="s">
        <v>3</v>
      </c>
      <c r="AK520" t="s">
        <v>7</v>
      </c>
      <c r="AL520">
        <v>0</v>
      </c>
      <c r="AM520">
        <v>0</v>
      </c>
      <c r="AN520">
        <v>0</v>
      </c>
      <c r="AO520">
        <v>0</v>
      </c>
      <c r="AP520">
        <v>0</v>
      </c>
      <c r="AQ520" t="s">
        <v>9</v>
      </c>
      <c r="AR520" s="1">
        <v>1.5547322399999999E-5</v>
      </c>
      <c r="AS520" s="1">
        <v>2.2375681199999999E-27</v>
      </c>
      <c r="AT520">
        <v>8</v>
      </c>
      <c r="AU520" t="s">
        <v>10</v>
      </c>
      <c r="AV520">
        <v>0</v>
      </c>
      <c r="AW520">
        <v>1</v>
      </c>
      <c r="AX520">
        <v>0</v>
      </c>
      <c r="AY520">
        <v>1</v>
      </c>
      <c r="AZ520">
        <v>2</v>
      </c>
      <c r="BA520" t="s">
        <v>9</v>
      </c>
      <c r="BB520" t="s">
        <v>4</v>
      </c>
      <c r="BC520" t="s">
        <v>10</v>
      </c>
      <c r="BD520">
        <v>0</v>
      </c>
      <c r="BE520">
        <v>0</v>
      </c>
      <c r="BF520">
        <v>0</v>
      </c>
      <c r="BG520">
        <v>0</v>
      </c>
      <c r="BH520">
        <v>0</v>
      </c>
      <c r="BI520" t="s">
        <v>9</v>
      </c>
      <c r="BJ520">
        <v>7.9400000000000002E-6</v>
      </c>
      <c r="BK520">
        <v>0</v>
      </c>
      <c r="BL520">
        <v>1.3370000000000001E-5</v>
      </c>
      <c r="BM520" s="2">
        <f t="shared" si="8"/>
        <v>1.3474950268231294E-8</v>
      </c>
    </row>
    <row r="521" spans="1:65" x14ac:dyDescent="0.35">
      <c r="A521">
        <v>0</v>
      </c>
      <c r="B521" t="s">
        <v>3</v>
      </c>
      <c r="C521" t="s">
        <v>4</v>
      </c>
      <c r="D521">
        <v>0</v>
      </c>
      <c r="E521" t="s">
        <v>3</v>
      </c>
      <c r="F521" t="s">
        <v>5</v>
      </c>
      <c r="G521">
        <v>4800.518086</v>
      </c>
      <c r="H521" t="s">
        <v>4</v>
      </c>
      <c r="I521">
        <v>990.16341899999998</v>
      </c>
      <c r="J521">
        <v>3810.3546670000001</v>
      </c>
      <c r="K521" t="s">
        <v>6</v>
      </c>
      <c r="L521" t="s">
        <v>7</v>
      </c>
      <c r="M521" t="s">
        <v>8</v>
      </c>
      <c r="N521" t="s">
        <v>6</v>
      </c>
      <c r="O521" t="s">
        <v>3</v>
      </c>
      <c r="P521" t="s">
        <v>3</v>
      </c>
      <c r="Q521" t="s">
        <v>3</v>
      </c>
      <c r="R521" t="s">
        <v>3</v>
      </c>
      <c r="S521" t="s">
        <v>3</v>
      </c>
      <c r="T521" t="s">
        <v>7</v>
      </c>
      <c r="U521">
        <v>0</v>
      </c>
      <c r="V521">
        <v>3</v>
      </c>
      <c r="W521">
        <v>0</v>
      </c>
      <c r="X521">
        <v>0</v>
      </c>
      <c r="Y521">
        <v>0</v>
      </c>
      <c r="Z521" t="s">
        <v>15</v>
      </c>
      <c r="AA521" t="s">
        <v>4</v>
      </c>
      <c r="AB521" t="s">
        <v>6</v>
      </c>
      <c r="AC521" t="s">
        <v>7</v>
      </c>
      <c r="AD521" t="s">
        <v>8</v>
      </c>
      <c r="AE521" t="s">
        <v>6</v>
      </c>
      <c r="AF521" t="s">
        <v>3</v>
      </c>
      <c r="AG521" t="s">
        <v>3</v>
      </c>
      <c r="AH521" t="s">
        <v>3</v>
      </c>
      <c r="AI521" t="s">
        <v>3</v>
      </c>
      <c r="AJ521" t="s">
        <v>3</v>
      </c>
      <c r="AK521" t="s">
        <v>7</v>
      </c>
      <c r="AL521">
        <v>0</v>
      </c>
      <c r="AM521">
        <v>0</v>
      </c>
      <c r="AN521">
        <v>0</v>
      </c>
      <c r="AO521">
        <v>0</v>
      </c>
      <c r="AP521">
        <v>0</v>
      </c>
      <c r="AQ521" t="s">
        <v>9</v>
      </c>
      <c r="AR521" s="1">
        <v>3.6868900299999997E-5</v>
      </c>
      <c r="AS521" s="1">
        <v>1.3915599699999999E-26</v>
      </c>
      <c r="AT521">
        <v>23</v>
      </c>
      <c r="AU521" t="s">
        <v>10</v>
      </c>
      <c r="AV521">
        <v>0</v>
      </c>
      <c r="AW521">
        <v>3</v>
      </c>
      <c r="AX521">
        <v>0</v>
      </c>
      <c r="AY521">
        <v>0</v>
      </c>
      <c r="AZ521">
        <v>0</v>
      </c>
      <c r="BA521" t="s">
        <v>15</v>
      </c>
      <c r="BB521" t="s">
        <v>4</v>
      </c>
      <c r="BC521" t="s">
        <v>10</v>
      </c>
      <c r="BD521">
        <v>0</v>
      </c>
      <c r="BE521">
        <v>0</v>
      </c>
      <c r="BF521">
        <v>0</v>
      </c>
      <c r="BG521">
        <v>0</v>
      </c>
      <c r="BH521">
        <v>0</v>
      </c>
      <c r="BI521" t="s">
        <v>9</v>
      </c>
      <c r="BJ521">
        <v>1.8539999999999999E-5</v>
      </c>
      <c r="BK521">
        <v>0</v>
      </c>
      <c r="BL521">
        <v>-3.1869999999999998E-5</v>
      </c>
      <c r="BM521" s="2">
        <f t="shared" si="8"/>
        <v>8.3801700709837746E-8</v>
      </c>
    </row>
    <row r="522" spans="1:65" x14ac:dyDescent="0.35">
      <c r="A522">
        <v>0</v>
      </c>
      <c r="B522" t="s">
        <v>11</v>
      </c>
      <c r="C522" t="s">
        <v>4</v>
      </c>
      <c r="D522">
        <v>0</v>
      </c>
      <c r="E522" t="s">
        <v>3</v>
      </c>
      <c r="F522" t="s">
        <v>5</v>
      </c>
      <c r="G522">
        <v>3435.750082</v>
      </c>
      <c r="H522" t="s">
        <v>4</v>
      </c>
      <c r="I522">
        <v>990.16341899999998</v>
      </c>
      <c r="J522">
        <v>2445.586663</v>
      </c>
      <c r="K522" t="s">
        <v>6</v>
      </c>
      <c r="L522" t="s">
        <v>7</v>
      </c>
      <c r="M522" t="s">
        <v>8</v>
      </c>
      <c r="N522" t="s">
        <v>6</v>
      </c>
      <c r="O522" t="s">
        <v>3</v>
      </c>
      <c r="P522" t="s">
        <v>3</v>
      </c>
      <c r="Q522" t="s">
        <v>3</v>
      </c>
      <c r="R522" t="s">
        <v>3</v>
      </c>
      <c r="S522" t="s">
        <v>11</v>
      </c>
      <c r="T522" t="s">
        <v>7</v>
      </c>
      <c r="U522">
        <v>1</v>
      </c>
      <c r="V522">
        <v>0</v>
      </c>
      <c r="W522">
        <v>0</v>
      </c>
      <c r="X522">
        <v>0</v>
      </c>
      <c r="Y522">
        <v>1</v>
      </c>
      <c r="Z522" t="s">
        <v>13</v>
      </c>
      <c r="AA522" t="s">
        <v>4</v>
      </c>
      <c r="AB522" t="s">
        <v>6</v>
      </c>
      <c r="AC522" t="s">
        <v>7</v>
      </c>
      <c r="AD522" t="s">
        <v>8</v>
      </c>
      <c r="AE522" t="s">
        <v>6</v>
      </c>
      <c r="AF522" t="s">
        <v>3</v>
      </c>
      <c r="AG522" t="s">
        <v>3</v>
      </c>
      <c r="AH522" t="s">
        <v>3</v>
      </c>
      <c r="AI522" t="s">
        <v>3</v>
      </c>
      <c r="AJ522" t="s">
        <v>3</v>
      </c>
      <c r="AK522" t="s">
        <v>7</v>
      </c>
      <c r="AL522">
        <v>0</v>
      </c>
      <c r="AM522">
        <v>0</v>
      </c>
      <c r="AN522">
        <v>0</v>
      </c>
      <c r="AO522">
        <v>0</v>
      </c>
      <c r="AP522">
        <v>0</v>
      </c>
      <c r="AQ522" t="s">
        <v>9</v>
      </c>
      <c r="AR522" s="1">
        <v>8.99648548E-6</v>
      </c>
      <c r="AS522" s="1">
        <v>5.3179194099999998E-28</v>
      </c>
      <c r="AT522">
        <v>25</v>
      </c>
      <c r="AU522" t="s">
        <v>10</v>
      </c>
      <c r="AV522">
        <v>1</v>
      </c>
      <c r="AW522">
        <v>0</v>
      </c>
      <c r="AX522">
        <v>0</v>
      </c>
      <c r="AY522">
        <v>0</v>
      </c>
      <c r="AZ522">
        <v>1</v>
      </c>
      <c r="BA522" t="s">
        <v>13</v>
      </c>
      <c r="BB522" t="s">
        <v>4</v>
      </c>
      <c r="BC522" t="s">
        <v>10</v>
      </c>
      <c r="BD522">
        <v>0</v>
      </c>
      <c r="BE522">
        <v>0</v>
      </c>
      <c r="BF522">
        <v>0</v>
      </c>
      <c r="BG522">
        <v>0</v>
      </c>
      <c r="BH522">
        <v>0</v>
      </c>
      <c r="BI522" t="s">
        <v>9</v>
      </c>
      <c r="BJ522">
        <v>0</v>
      </c>
      <c r="BK522">
        <v>-9.0000000000000002E-6</v>
      </c>
      <c r="BL522">
        <v>0</v>
      </c>
      <c r="BM522" s="2">
        <f t="shared" si="8"/>
        <v>3.202525945007293E-9</v>
      </c>
    </row>
    <row r="523" spans="1:65" x14ac:dyDescent="0.35">
      <c r="A523">
        <v>0</v>
      </c>
      <c r="B523" t="s">
        <v>11</v>
      </c>
      <c r="C523" t="s">
        <v>4</v>
      </c>
      <c r="D523">
        <v>0</v>
      </c>
      <c r="E523" t="s">
        <v>3</v>
      </c>
      <c r="F523" t="s">
        <v>5</v>
      </c>
      <c r="G523">
        <v>4323.4057990000001</v>
      </c>
      <c r="H523" t="s">
        <v>4</v>
      </c>
      <c r="I523">
        <v>990.16341899999998</v>
      </c>
      <c r="J523">
        <v>3333.2423800000001</v>
      </c>
      <c r="K523" t="s">
        <v>6</v>
      </c>
      <c r="L523" t="s">
        <v>7</v>
      </c>
      <c r="M523" t="s">
        <v>8</v>
      </c>
      <c r="N523" t="s">
        <v>6</v>
      </c>
      <c r="O523" t="s">
        <v>3</v>
      </c>
      <c r="P523" t="s">
        <v>3</v>
      </c>
      <c r="Q523" t="s">
        <v>3</v>
      </c>
      <c r="R523" t="s">
        <v>3</v>
      </c>
      <c r="S523" t="s">
        <v>11</v>
      </c>
      <c r="T523" t="s">
        <v>7</v>
      </c>
      <c r="U523">
        <v>3</v>
      </c>
      <c r="V523">
        <v>1</v>
      </c>
      <c r="W523">
        <v>0</v>
      </c>
      <c r="X523">
        <v>0</v>
      </c>
      <c r="Y523">
        <v>0</v>
      </c>
      <c r="Z523" t="s">
        <v>18</v>
      </c>
      <c r="AA523" t="s">
        <v>4</v>
      </c>
      <c r="AB523" t="s">
        <v>6</v>
      </c>
      <c r="AC523" t="s">
        <v>7</v>
      </c>
      <c r="AD523" t="s">
        <v>8</v>
      </c>
      <c r="AE523" t="s">
        <v>6</v>
      </c>
      <c r="AF523" t="s">
        <v>3</v>
      </c>
      <c r="AG523" t="s">
        <v>3</v>
      </c>
      <c r="AH523" t="s">
        <v>3</v>
      </c>
      <c r="AI523" t="s">
        <v>3</v>
      </c>
      <c r="AJ523" t="s">
        <v>3</v>
      </c>
      <c r="AK523" t="s">
        <v>7</v>
      </c>
      <c r="AL523">
        <v>0</v>
      </c>
      <c r="AM523">
        <v>0</v>
      </c>
      <c r="AN523">
        <v>0</v>
      </c>
      <c r="AO523">
        <v>0</v>
      </c>
      <c r="AP523">
        <v>0</v>
      </c>
      <c r="AQ523" t="s">
        <v>9</v>
      </c>
      <c r="AR523" s="1">
        <v>2.0203778200000001E-5</v>
      </c>
      <c r="AS523" s="1">
        <v>3.6555118699999997E-27</v>
      </c>
      <c r="AT523">
        <v>22</v>
      </c>
      <c r="AU523" t="s">
        <v>10</v>
      </c>
      <c r="AV523">
        <v>3</v>
      </c>
      <c r="AW523">
        <v>1</v>
      </c>
      <c r="AX523">
        <v>0</v>
      </c>
      <c r="AY523">
        <v>0</v>
      </c>
      <c r="AZ523">
        <v>0</v>
      </c>
      <c r="BA523" t="s">
        <v>18</v>
      </c>
      <c r="BB523" t="s">
        <v>4</v>
      </c>
      <c r="BC523" t="s">
        <v>10</v>
      </c>
      <c r="BD523">
        <v>0</v>
      </c>
      <c r="BE523">
        <v>0</v>
      </c>
      <c r="BF523">
        <v>0</v>
      </c>
      <c r="BG523">
        <v>0</v>
      </c>
      <c r="BH523">
        <v>0</v>
      </c>
      <c r="BI523" t="s">
        <v>9</v>
      </c>
      <c r="BJ523">
        <v>0</v>
      </c>
      <c r="BK523">
        <v>2.02E-5</v>
      </c>
      <c r="BL523">
        <v>0</v>
      </c>
      <c r="BM523" s="2">
        <f t="shared" si="8"/>
        <v>2.2014007177211293E-8</v>
      </c>
    </row>
    <row r="524" spans="1:65" x14ac:dyDescent="0.35">
      <c r="A524">
        <v>0</v>
      </c>
      <c r="B524" t="s">
        <v>11</v>
      </c>
      <c r="C524" t="s">
        <v>4</v>
      </c>
      <c r="D524">
        <v>0</v>
      </c>
      <c r="E524" t="s">
        <v>3</v>
      </c>
      <c r="F524" t="s">
        <v>5</v>
      </c>
      <c r="G524">
        <v>4746.2635659999996</v>
      </c>
      <c r="H524" t="s">
        <v>4</v>
      </c>
      <c r="I524">
        <v>990.16341899999998</v>
      </c>
      <c r="J524">
        <v>3756.1001470000001</v>
      </c>
      <c r="K524" t="s">
        <v>6</v>
      </c>
      <c r="L524" t="s">
        <v>7</v>
      </c>
      <c r="M524" t="s">
        <v>8</v>
      </c>
      <c r="N524" t="s">
        <v>6</v>
      </c>
      <c r="O524" t="s">
        <v>3</v>
      </c>
      <c r="P524" t="s">
        <v>3</v>
      </c>
      <c r="Q524" t="s">
        <v>3</v>
      </c>
      <c r="R524" t="s">
        <v>3</v>
      </c>
      <c r="S524" t="s">
        <v>11</v>
      </c>
      <c r="T524" t="s">
        <v>7</v>
      </c>
      <c r="U524">
        <v>2</v>
      </c>
      <c r="V524">
        <v>2</v>
      </c>
      <c r="W524">
        <v>0</v>
      </c>
      <c r="X524">
        <v>0</v>
      </c>
      <c r="Y524">
        <v>0</v>
      </c>
      <c r="Z524" t="s">
        <v>18</v>
      </c>
      <c r="AA524" t="s">
        <v>4</v>
      </c>
      <c r="AB524" t="s">
        <v>6</v>
      </c>
      <c r="AC524" t="s">
        <v>7</v>
      </c>
      <c r="AD524" t="s">
        <v>8</v>
      </c>
      <c r="AE524" t="s">
        <v>6</v>
      </c>
      <c r="AF524" t="s">
        <v>3</v>
      </c>
      <c r="AG524" t="s">
        <v>3</v>
      </c>
      <c r="AH524" t="s">
        <v>3</v>
      </c>
      <c r="AI524" t="s">
        <v>3</v>
      </c>
      <c r="AJ524" t="s">
        <v>3</v>
      </c>
      <c r="AK524" t="s">
        <v>7</v>
      </c>
      <c r="AL524">
        <v>0</v>
      </c>
      <c r="AM524">
        <v>0</v>
      </c>
      <c r="AN524">
        <v>0</v>
      </c>
      <c r="AO524">
        <v>0</v>
      </c>
      <c r="AP524">
        <v>0</v>
      </c>
      <c r="AQ524" t="s">
        <v>9</v>
      </c>
      <c r="AR524" s="1">
        <v>2.5820258300000001E-5</v>
      </c>
      <c r="AS524" s="1">
        <v>6.7278218899999999E-27</v>
      </c>
      <c r="AT524">
        <v>22</v>
      </c>
      <c r="AU524" t="s">
        <v>10</v>
      </c>
      <c r="AV524">
        <v>2</v>
      </c>
      <c r="AW524">
        <v>2</v>
      </c>
      <c r="AX524">
        <v>0</v>
      </c>
      <c r="AY524">
        <v>0</v>
      </c>
      <c r="AZ524">
        <v>0</v>
      </c>
      <c r="BA524" t="s">
        <v>18</v>
      </c>
      <c r="BB524" t="s">
        <v>4</v>
      </c>
      <c r="BC524" t="s">
        <v>10</v>
      </c>
      <c r="BD524">
        <v>0</v>
      </c>
      <c r="BE524">
        <v>0</v>
      </c>
      <c r="BF524">
        <v>0</v>
      </c>
      <c r="BG524">
        <v>0</v>
      </c>
      <c r="BH524">
        <v>0</v>
      </c>
      <c r="BI524" t="s">
        <v>9</v>
      </c>
      <c r="BJ524">
        <v>0</v>
      </c>
      <c r="BK524">
        <v>-2.582E-5</v>
      </c>
      <c r="BL524">
        <v>0</v>
      </c>
      <c r="BM524" s="2">
        <f t="shared" si="8"/>
        <v>4.051589069890212E-8</v>
      </c>
    </row>
    <row r="525" spans="1:65" x14ac:dyDescent="0.35">
      <c r="A525">
        <v>0</v>
      </c>
      <c r="B525" t="s">
        <v>11</v>
      </c>
      <c r="C525" t="s">
        <v>4</v>
      </c>
      <c r="D525">
        <v>0</v>
      </c>
      <c r="E525" t="s">
        <v>3</v>
      </c>
      <c r="F525" t="s">
        <v>5</v>
      </c>
      <c r="G525">
        <v>3051.690638</v>
      </c>
      <c r="H525" t="s">
        <v>4</v>
      </c>
      <c r="I525">
        <v>990.16341899999998</v>
      </c>
      <c r="J525">
        <v>2061.5272190000001</v>
      </c>
      <c r="K525" t="s">
        <v>6</v>
      </c>
      <c r="L525" t="s">
        <v>7</v>
      </c>
      <c r="M525" t="s">
        <v>8</v>
      </c>
      <c r="N525" t="s">
        <v>6</v>
      </c>
      <c r="O525" t="s">
        <v>3</v>
      </c>
      <c r="P525" t="s">
        <v>3</v>
      </c>
      <c r="Q525" t="s">
        <v>3</v>
      </c>
      <c r="R525" t="s">
        <v>3</v>
      </c>
      <c r="S525" t="s">
        <v>11</v>
      </c>
      <c r="T525" t="s">
        <v>7</v>
      </c>
      <c r="U525">
        <v>0</v>
      </c>
      <c r="V525">
        <v>2</v>
      </c>
      <c r="W525">
        <v>0</v>
      </c>
      <c r="X525">
        <v>0</v>
      </c>
      <c r="Y525">
        <v>0</v>
      </c>
      <c r="Z525" t="s">
        <v>18</v>
      </c>
      <c r="AA525" t="s">
        <v>4</v>
      </c>
      <c r="AB525" t="s">
        <v>6</v>
      </c>
      <c r="AC525" t="s">
        <v>7</v>
      </c>
      <c r="AD525" t="s">
        <v>8</v>
      </c>
      <c r="AE525" t="s">
        <v>6</v>
      </c>
      <c r="AF525" t="s">
        <v>3</v>
      </c>
      <c r="AG525" t="s">
        <v>3</v>
      </c>
      <c r="AH525" t="s">
        <v>3</v>
      </c>
      <c r="AI525" t="s">
        <v>3</v>
      </c>
      <c r="AJ525" t="s">
        <v>3</v>
      </c>
      <c r="AK525" t="s">
        <v>7</v>
      </c>
      <c r="AL525">
        <v>0</v>
      </c>
      <c r="AM525">
        <v>0</v>
      </c>
      <c r="AN525">
        <v>0</v>
      </c>
      <c r="AO525">
        <v>0</v>
      </c>
      <c r="AP525">
        <v>0</v>
      </c>
      <c r="AQ525" t="s">
        <v>9</v>
      </c>
      <c r="AR525" s="1">
        <v>5.1403186500000003E-6</v>
      </c>
      <c r="AS525" s="1">
        <v>1.46340542E-28</v>
      </c>
      <c r="AT525">
        <v>23</v>
      </c>
      <c r="AU525" t="s">
        <v>10</v>
      </c>
      <c r="AV525">
        <v>0</v>
      </c>
      <c r="AW525">
        <v>2</v>
      </c>
      <c r="AX525">
        <v>0</v>
      </c>
      <c r="AY525">
        <v>0</v>
      </c>
      <c r="AZ525">
        <v>0</v>
      </c>
      <c r="BA525" t="s">
        <v>18</v>
      </c>
      <c r="BB525" t="s">
        <v>4</v>
      </c>
      <c r="BC525" t="s">
        <v>10</v>
      </c>
      <c r="BD525">
        <v>0</v>
      </c>
      <c r="BE525">
        <v>0</v>
      </c>
      <c r="BF525">
        <v>0</v>
      </c>
      <c r="BG525">
        <v>0</v>
      </c>
      <c r="BH525">
        <v>0</v>
      </c>
      <c r="BI525" t="s">
        <v>9</v>
      </c>
      <c r="BJ525">
        <v>0</v>
      </c>
      <c r="BK525">
        <v>-5.1399999999999999E-6</v>
      </c>
      <c r="BL525">
        <v>0</v>
      </c>
      <c r="BM525" s="2">
        <f t="shared" si="8"/>
        <v>8.8128334867231361E-10</v>
      </c>
    </row>
    <row r="526" spans="1:65" x14ac:dyDescent="0.35">
      <c r="A526">
        <v>0</v>
      </c>
      <c r="B526" t="s">
        <v>11</v>
      </c>
      <c r="C526" t="s">
        <v>4</v>
      </c>
      <c r="D526">
        <v>0</v>
      </c>
      <c r="E526" t="s">
        <v>3</v>
      </c>
      <c r="F526" t="s">
        <v>5</v>
      </c>
      <c r="G526">
        <v>4239.9314180000001</v>
      </c>
      <c r="H526" t="s">
        <v>4</v>
      </c>
      <c r="I526">
        <v>990.16341899999998</v>
      </c>
      <c r="J526">
        <v>3249.7679990000001</v>
      </c>
      <c r="K526" t="s">
        <v>6</v>
      </c>
      <c r="L526" t="s">
        <v>7</v>
      </c>
      <c r="M526" t="s">
        <v>8</v>
      </c>
      <c r="N526" t="s">
        <v>6</v>
      </c>
      <c r="O526" t="s">
        <v>3</v>
      </c>
      <c r="P526" t="s">
        <v>3</v>
      </c>
      <c r="Q526" t="s">
        <v>3</v>
      </c>
      <c r="R526" t="s">
        <v>3</v>
      </c>
      <c r="S526" t="s">
        <v>11</v>
      </c>
      <c r="T526" t="s">
        <v>7</v>
      </c>
      <c r="U526">
        <v>2</v>
      </c>
      <c r="V526">
        <v>0</v>
      </c>
      <c r="W526">
        <v>0</v>
      </c>
      <c r="X526">
        <v>5</v>
      </c>
      <c r="Y526">
        <v>0</v>
      </c>
      <c r="Z526" t="s">
        <v>18</v>
      </c>
      <c r="AA526" t="s">
        <v>4</v>
      </c>
      <c r="AB526" t="s">
        <v>6</v>
      </c>
      <c r="AC526" t="s">
        <v>7</v>
      </c>
      <c r="AD526" t="s">
        <v>8</v>
      </c>
      <c r="AE526" t="s">
        <v>6</v>
      </c>
      <c r="AF526" t="s">
        <v>3</v>
      </c>
      <c r="AG526" t="s">
        <v>3</v>
      </c>
      <c r="AH526" t="s">
        <v>3</v>
      </c>
      <c r="AI526" t="s">
        <v>3</v>
      </c>
      <c r="AJ526" t="s">
        <v>3</v>
      </c>
      <c r="AK526" t="s">
        <v>7</v>
      </c>
      <c r="AL526">
        <v>0</v>
      </c>
      <c r="AM526">
        <v>0</v>
      </c>
      <c r="AN526">
        <v>0</v>
      </c>
      <c r="AO526">
        <v>0</v>
      </c>
      <c r="AP526">
        <v>0</v>
      </c>
      <c r="AQ526" t="s">
        <v>9</v>
      </c>
      <c r="AR526" s="1">
        <v>3.2575683300000002E-5</v>
      </c>
      <c r="AS526" s="1">
        <v>9.2652154400000006E-27</v>
      </c>
      <c r="AT526">
        <v>22</v>
      </c>
      <c r="AU526" t="s">
        <v>10</v>
      </c>
      <c r="AV526">
        <v>2</v>
      </c>
      <c r="AW526">
        <v>0</v>
      </c>
      <c r="AX526">
        <v>0</v>
      </c>
      <c r="AY526">
        <v>5</v>
      </c>
      <c r="AZ526">
        <v>0</v>
      </c>
      <c r="BA526" t="s">
        <v>18</v>
      </c>
      <c r="BB526" t="s">
        <v>4</v>
      </c>
      <c r="BC526" t="s">
        <v>10</v>
      </c>
      <c r="BD526">
        <v>0</v>
      </c>
      <c r="BE526">
        <v>0</v>
      </c>
      <c r="BF526">
        <v>0</v>
      </c>
      <c r="BG526">
        <v>0</v>
      </c>
      <c r="BH526">
        <v>0</v>
      </c>
      <c r="BI526" t="s">
        <v>9</v>
      </c>
      <c r="BJ526">
        <v>0</v>
      </c>
      <c r="BK526">
        <v>-3.2580000000000003E-5</v>
      </c>
      <c r="BL526">
        <v>0</v>
      </c>
      <c r="BM526" s="2">
        <f t="shared" si="8"/>
        <v>5.5796431922013952E-8</v>
      </c>
    </row>
    <row r="527" spans="1:65" x14ac:dyDescent="0.35">
      <c r="A527">
        <v>0</v>
      </c>
      <c r="B527" t="s">
        <v>11</v>
      </c>
      <c r="C527" t="s">
        <v>4</v>
      </c>
      <c r="D527">
        <v>0</v>
      </c>
      <c r="E527" t="s">
        <v>3</v>
      </c>
      <c r="F527" t="s">
        <v>5</v>
      </c>
      <c r="G527">
        <v>4974.6421270000001</v>
      </c>
      <c r="H527" t="s">
        <v>4</v>
      </c>
      <c r="I527">
        <v>990.16341899999998</v>
      </c>
      <c r="J527">
        <v>3984.4787080000001</v>
      </c>
      <c r="K527" t="s">
        <v>6</v>
      </c>
      <c r="L527" t="s">
        <v>7</v>
      </c>
      <c r="M527" t="s">
        <v>8</v>
      </c>
      <c r="N527" t="s">
        <v>6</v>
      </c>
      <c r="O527" t="s">
        <v>3</v>
      </c>
      <c r="P527" t="s">
        <v>3</v>
      </c>
      <c r="Q527" t="s">
        <v>3</v>
      </c>
      <c r="R527" t="s">
        <v>3</v>
      </c>
      <c r="S527" t="s">
        <v>11</v>
      </c>
      <c r="T527" t="s">
        <v>7</v>
      </c>
      <c r="U527">
        <v>1</v>
      </c>
      <c r="V527">
        <v>0</v>
      </c>
      <c r="W527">
        <v>1</v>
      </c>
      <c r="X527">
        <v>0</v>
      </c>
      <c r="Y527">
        <v>0</v>
      </c>
      <c r="Z527" t="s">
        <v>18</v>
      </c>
      <c r="AA527" t="s">
        <v>4</v>
      </c>
      <c r="AB527" t="s">
        <v>6</v>
      </c>
      <c r="AC527" t="s">
        <v>7</v>
      </c>
      <c r="AD527" t="s">
        <v>8</v>
      </c>
      <c r="AE527" t="s">
        <v>6</v>
      </c>
      <c r="AF527" t="s">
        <v>3</v>
      </c>
      <c r="AG527" t="s">
        <v>3</v>
      </c>
      <c r="AH527" t="s">
        <v>3</v>
      </c>
      <c r="AI527" t="s">
        <v>3</v>
      </c>
      <c r="AJ527" t="s">
        <v>3</v>
      </c>
      <c r="AK527" t="s">
        <v>7</v>
      </c>
      <c r="AL527">
        <v>0</v>
      </c>
      <c r="AM527">
        <v>0</v>
      </c>
      <c r="AN527">
        <v>0</v>
      </c>
      <c r="AO527">
        <v>0</v>
      </c>
      <c r="AP527">
        <v>0</v>
      </c>
      <c r="AQ527" t="s">
        <v>9</v>
      </c>
      <c r="AR527" s="1">
        <v>1.25258417E-5</v>
      </c>
      <c r="AS527" s="1">
        <v>1.6795831599999998E-27</v>
      </c>
      <c r="AT527">
        <v>23</v>
      </c>
      <c r="AU527" t="s">
        <v>10</v>
      </c>
      <c r="AV527">
        <v>1</v>
      </c>
      <c r="AW527">
        <v>0</v>
      </c>
      <c r="AX527">
        <v>1</v>
      </c>
      <c r="AY527">
        <v>0</v>
      </c>
      <c r="AZ527">
        <v>0</v>
      </c>
      <c r="BA527" t="s">
        <v>18</v>
      </c>
      <c r="BB527" t="s">
        <v>4</v>
      </c>
      <c r="BC527" t="s">
        <v>10</v>
      </c>
      <c r="BD527">
        <v>0</v>
      </c>
      <c r="BE527">
        <v>0</v>
      </c>
      <c r="BF527">
        <v>0</v>
      </c>
      <c r="BG527">
        <v>0</v>
      </c>
      <c r="BH527">
        <v>0</v>
      </c>
      <c r="BI527" t="s">
        <v>9</v>
      </c>
      <c r="BJ527">
        <v>0</v>
      </c>
      <c r="BK527">
        <v>1.253E-5</v>
      </c>
      <c r="BL527">
        <v>0</v>
      </c>
      <c r="BM527" s="2">
        <f t="shared" si="8"/>
        <v>1.0114686274828928E-8</v>
      </c>
    </row>
    <row r="528" spans="1:65" x14ac:dyDescent="0.35">
      <c r="A528">
        <v>0</v>
      </c>
      <c r="B528" t="s">
        <v>3</v>
      </c>
      <c r="C528" t="s">
        <v>4</v>
      </c>
      <c r="D528">
        <v>0</v>
      </c>
      <c r="E528" t="s">
        <v>3</v>
      </c>
      <c r="F528" t="s">
        <v>5</v>
      </c>
      <c r="G528">
        <v>3248.25864</v>
      </c>
      <c r="H528" t="s">
        <v>4</v>
      </c>
      <c r="I528">
        <v>990.16341899999998</v>
      </c>
      <c r="J528">
        <v>2258.095221</v>
      </c>
      <c r="K528" t="s">
        <v>6</v>
      </c>
      <c r="L528" t="s">
        <v>7</v>
      </c>
      <c r="M528" t="s">
        <v>8</v>
      </c>
      <c r="N528" t="s">
        <v>6</v>
      </c>
      <c r="O528" t="s">
        <v>3</v>
      </c>
      <c r="P528" t="s">
        <v>3</v>
      </c>
      <c r="Q528" t="s">
        <v>3</v>
      </c>
      <c r="R528" t="s">
        <v>3</v>
      </c>
      <c r="S528" t="s">
        <v>3</v>
      </c>
      <c r="T528" t="s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 t="s">
        <v>17</v>
      </c>
      <c r="AA528" t="s">
        <v>4</v>
      </c>
      <c r="AB528" t="s">
        <v>6</v>
      </c>
      <c r="AC528" t="s">
        <v>7</v>
      </c>
      <c r="AD528" t="s">
        <v>8</v>
      </c>
      <c r="AE528" t="s">
        <v>6</v>
      </c>
      <c r="AF528" t="s">
        <v>3</v>
      </c>
      <c r="AG528" t="s">
        <v>3</v>
      </c>
      <c r="AH528" t="s">
        <v>3</v>
      </c>
      <c r="AI528" t="s">
        <v>3</v>
      </c>
      <c r="AJ528" t="s">
        <v>3</v>
      </c>
      <c r="AK528" t="s">
        <v>7</v>
      </c>
      <c r="AL528">
        <v>0</v>
      </c>
      <c r="AM528">
        <v>0</v>
      </c>
      <c r="AN528">
        <v>0</v>
      </c>
      <c r="AO528">
        <v>0</v>
      </c>
      <c r="AP528">
        <v>0</v>
      </c>
      <c r="AQ528" t="s">
        <v>9</v>
      </c>
      <c r="AR528" s="1">
        <v>4.8261495400000001E-4</v>
      </c>
      <c r="AS528" s="1">
        <v>1.4130319E-24</v>
      </c>
      <c r="AT528">
        <v>25</v>
      </c>
      <c r="AU528" t="s">
        <v>10</v>
      </c>
      <c r="AV528">
        <v>0</v>
      </c>
      <c r="AW528">
        <v>0</v>
      </c>
      <c r="AX528">
        <v>0</v>
      </c>
      <c r="AY528">
        <v>0</v>
      </c>
      <c r="AZ528">
        <v>0</v>
      </c>
      <c r="BA528" t="s">
        <v>17</v>
      </c>
      <c r="BB528" t="s">
        <v>4</v>
      </c>
      <c r="BC528" t="s">
        <v>10</v>
      </c>
      <c r="BD528">
        <v>0</v>
      </c>
      <c r="BE528">
        <v>0</v>
      </c>
      <c r="BF528">
        <v>0</v>
      </c>
      <c r="BG528">
        <v>0</v>
      </c>
      <c r="BH528">
        <v>0</v>
      </c>
      <c r="BI528" t="s">
        <v>9</v>
      </c>
      <c r="BJ528">
        <v>4.3801000000000002E-4</v>
      </c>
      <c r="BK528">
        <v>0</v>
      </c>
      <c r="BL528">
        <v>-2.0264E-4</v>
      </c>
      <c r="BM528" s="2">
        <f t="shared" si="8"/>
        <v>8.5094770566915196E-6</v>
      </c>
    </row>
    <row r="529" spans="1:65" x14ac:dyDescent="0.35">
      <c r="A529">
        <v>0</v>
      </c>
      <c r="B529" t="s">
        <v>3</v>
      </c>
      <c r="C529" t="s">
        <v>4</v>
      </c>
      <c r="D529">
        <v>0</v>
      </c>
      <c r="E529" t="s">
        <v>3</v>
      </c>
      <c r="F529" t="s">
        <v>5</v>
      </c>
      <c r="G529">
        <v>1827.905722</v>
      </c>
      <c r="H529" t="s">
        <v>4</v>
      </c>
      <c r="I529">
        <v>990.16341899999998</v>
      </c>
      <c r="J529">
        <v>837.74230299999999</v>
      </c>
      <c r="K529" t="s">
        <v>6</v>
      </c>
      <c r="L529" t="s">
        <v>7</v>
      </c>
      <c r="M529" t="s">
        <v>8</v>
      </c>
      <c r="N529" t="s">
        <v>6</v>
      </c>
      <c r="O529" t="s">
        <v>3</v>
      </c>
      <c r="P529" t="s">
        <v>3</v>
      </c>
      <c r="Q529" t="s">
        <v>3</v>
      </c>
      <c r="R529" t="s">
        <v>3</v>
      </c>
      <c r="S529" t="s">
        <v>3</v>
      </c>
      <c r="T529" t="s">
        <v>7</v>
      </c>
      <c r="U529">
        <v>1</v>
      </c>
      <c r="V529">
        <v>0</v>
      </c>
      <c r="W529">
        <v>0</v>
      </c>
      <c r="X529">
        <v>0</v>
      </c>
      <c r="Y529">
        <v>0</v>
      </c>
      <c r="Z529" t="s">
        <v>9</v>
      </c>
      <c r="AA529" t="s">
        <v>4</v>
      </c>
      <c r="AB529" t="s">
        <v>6</v>
      </c>
      <c r="AC529" t="s">
        <v>7</v>
      </c>
      <c r="AD529" t="s">
        <v>8</v>
      </c>
      <c r="AE529" t="s">
        <v>6</v>
      </c>
      <c r="AF529" t="s">
        <v>3</v>
      </c>
      <c r="AG529" t="s">
        <v>3</v>
      </c>
      <c r="AH529" t="s">
        <v>3</v>
      </c>
      <c r="AI529" t="s">
        <v>3</v>
      </c>
      <c r="AJ529" t="s">
        <v>3</v>
      </c>
      <c r="AK529" t="s">
        <v>7</v>
      </c>
      <c r="AL529">
        <v>0</v>
      </c>
      <c r="AM529">
        <v>0</v>
      </c>
      <c r="AN529">
        <v>0</v>
      </c>
      <c r="AO529">
        <v>0</v>
      </c>
      <c r="AP529">
        <v>0</v>
      </c>
      <c r="AQ529" t="s">
        <v>9</v>
      </c>
      <c r="AR529" s="1">
        <v>0.113797018</v>
      </c>
      <c r="AS529" s="1">
        <v>2.86361222E-20</v>
      </c>
      <c r="AT529">
        <v>26</v>
      </c>
      <c r="AU529" t="s">
        <v>10</v>
      </c>
      <c r="AV529">
        <v>1</v>
      </c>
      <c r="AW529">
        <v>0</v>
      </c>
      <c r="AX529">
        <v>0</v>
      </c>
      <c r="AY529">
        <v>0</v>
      </c>
      <c r="AZ529">
        <v>0</v>
      </c>
      <c r="BA529" t="s">
        <v>9</v>
      </c>
      <c r="BB529" t="s">
        <v>4</v>
      </c>
      <c r="BC529" t="s">
        <v>10</v>
      </c>
      <c r="BD529">
        <v>0</v>
      </c>
      <c r="BE529">
        <v>0</v>
      </c>
      <c r="BF529">
        <v>0</v>
      </c>
      <c r="BG529">
        <v>0</v>
      </c>
      <c r="BH529">
        <v>0</v>
      </c>
      <c r="BI529" t="s">
        <v>9</v>
      </c>
      <c r="BJ529">
        <v>-5.1864300000000002E-2</v>
      </c>
      <c r="BK529">
        <v>0</v>
      </c>
      <c r="BL529">
        <v>0.10129095</v>
      </c>
      <c r="BM529" s="2">
        <f t="shared" si="8"/>
        <v>0.17245075985440575</v>
      </c>
    </row>
    <row r="530" spans="1:65" x14ac:dyDescent="0.35">
      <c r="A530">
        <v>0</v>
      </c>
      <c r="B530" t="s">
        <v>3</v>
      </c>
      <c r="C530" t="s">
        <v>4</v>
      </c>
      <c r="D530">
        <v>0</v>
      </c>
      <c r="E530" t="s">
        <v>3</v>
      </c>
      <c r="F530" t="s">
        <v>5</v>
      </c>
      <c r="G530">
        <v>4391.1442290000005</v>
      </c>
      <c r="H530" t="s">
        <v>4</v>
      </c>
      <c r="I530">
        <v>990.16341899999998</v>
      </c>
      <c r="J530">
        <v>3400.98081</v>
      </c>
      <c r="K530" t="s">
        <v>6</v>
      </c>
      <c r="L530" t="s">
        <v>7</v>
      </c>
      <c r="M530" t="s">
        <v>8</v>
      </c>
      <c r="N530" t="s">
        <v>6</v>
      </c>
      <c r="O530" t="s">
        <v>3</v>
      </c>
      <c r="P530" t="s">
        <v>3</v>
      </c>
      <c r="Q530" t="s">
        <v>3</v>
      </c>
      <c r="R530" t="s">
        <v>3</v>
      </c>
      <c r="S530" t="s">
        <v>3</v>
      </c>
      <c r="T530" t="s">
        <v>7</v>
      </c>
      <c r="U530">
        <v>4</v>
      </c>
      <c r="V530">
        <v>0</v>
      </c>
      <c r="W530">
        <v>0</v>
      </c>
      <c r="X530">
        <v>0</v>
      </c>
      <c r="Y530">
        <v>0</v>
      </c>
      <c r="Z530" t="s">
        <v>15</v>
      </c>
      <c r="AA530" t="s">
        <v>4</v>
      </c>
      <c r="AB530" t="s">
        <v>6</v>
      </c>
      <c r="AC530" t="s">
        <v>7</v>
      </c>
      <c r="AD530" t="s">
        <v>8</v>
      </c>
      <c r="AE530" t="s">
        <v>6</v>
      </c>
      <c r="AF530" t="s">
        <v>3</v>
      </c>
      <c r="AG530" t="s">
        <v>3</v>
      </c>
      <c r="AH530" t="s">
        <v>3</v>
      </c>
      <c r="AI530" t="s">
        <v>3</v>
      </c>
      <c r="AJ530" t="s">
        <v>3</v>
      </c>
      <c r="AK530" t="s">
        <v>7</v>
      </c>
      <c r="AL530">
        <v>0</v>
      </c>
      <c r="AM530">
        <v>0</v>
      </c>
      <c r="AN530">
        <v>0</v>
      </c>
      <c r="AO530">
        <v>0</v>
      </c>
      <c r="AP530">
        <v>0</v>
      </c>
      <c r="AQ530" t="s">
        <v>9</v>
      </c>
      <c r="AR530" s="1">
        <v>1.97202047E-4</v>
      </c>
      <c r="AS530" s="1">
        <v>3.5533922299999999E-25</v>
      </c>
      <c r="AT530">
        <v>22</v>
      </c>
      <c r="AU530" t="s">
        <v>10</v>
      </c>
      <c r="AV530">
        <v>4</v>
      </c>
      <c r="AW530">
        <v>0</v>
      </c>
      <c r="AX530">
        <v>0</v>
      </c>
      <c r="AY530">
        <v>0</v>
      </c>
      <c r="AZ530">
        <v>0</v>
      </c>
      <c r="BA530" t="s">
        <v>15</v>
      </c>
      <c r="BB530" t="s">
        <v>4</v>
      </c>
      <c r="BC530" t="s">
        <v>10</v>
      </c>
      <c r="BD530">
        <v>0</v>
      </c>
      <c r="BE530">
        <v>0</v>
      </c>
      <c r="BF530">
        <v>0</v>
      </c>
      <c r="BG530">
        <v>0</v>
      </c>
      <c r="BH530">
        <v>0</v>
      </c>
      <c r="BI530" t="s">
        <v>9</v>
      </c>
      <c r="BJ530">
        <v>1.9670000000000001E-4</v>
      </c>
      <c r="BK530">
        <v>0</v>
      </c>
      <c r="BL530">
        <v>-1.402E-5</v>
      </c>
      <c r="BM530" s="2">
        <f t="shared" si="8"/>
        <v>2.1399028326685984E-6</v>
      </c>
    </row>
    <row r="531" spans="1:65" x14ac:dyDescent="0.35">
      <c r="A531">
        <v>0</v>
      </c>
      <c r="B531" t="s">
        <v>3</v>
      </c>
      <c r="C531" t="s">
        <v>4</v>
      </c>
      <c r="D531">
        <v>0</v>
      </c>
      <c r="E531" t="s">
        <v>3</v>
      </c>
      <c r="F531" t="s">
        <v>5</v>
      </c>
      <c r="G531">
        <v>3558.7422029999998</v>
      </c>
      <c r="H531" t="s">
        <v>4</v>
      </c>
      <c r="I531">
        <v>990.16341899999998</v>
      </c>
      <c r="J531">
        <v>2568.5787839999998</v>
      </c>
      <c r="K531" t="s">
        <v>6</v>
      </c>
      <c r="L531" t="s">
        <v>7</v>
      </c>
      <c r="M531" t="s">
        <v>8</v>
      </c>
      <c r="N531" t="s">
        <v>6</v>
      </c>
      <c r="O531" t="s">
        <v>3</v>
      </c>
      <c r="P531" t="s">
        <v>3</v>
      </c>
      <c r="Q531" t="s">
        <v>3</v>
      </c>
      <c r="R531" t="s">
        <v>3</v>
      </c>
      <c r="S531" t="s">
        <v>3</v>
      </c>
      <c r="T531" t="s">
        <v>7</v>
      </c>
      <c r="U531">
        <v>0</v>
      </c>
      <c r="V531">
        <v>2</v>
      </c>
      <c r="W531">
        <v>0</v>
      </c>
      <c r="X531">
        <v>0</v>
      </c>
      <c r="Y531">
        <v>0</v>
      </c>
      <c r="Z531" t="s">
        <v>9</v>
      </c>
      <c r="AA531" t="s">
        <v>4</v>
      </c>
      <c r="AB531" t="s">
        <v>6</v>
      </c>
      <c r="AC531" t="s">
        <v>7</v>
      </c>
      <c r="AD531" t="s">
        <v>8</v>
      </c>
      <c r="AE531" t="s">
        <v>6</v>
      </c>
      <c r="AF531" t="s">
        <v>3</v>
      </c>
      <c r="AG531" t="s">
        <v>3</v>
      </c>
      <c r="AH531" t="s">
        <v>3</v>
      </c>
      <c r="AI531" t="s">
        <v>3</v>
      </c>
      <c r="AJ531" t="s">
        <v>3</v>
      </c>
      <c r="AK531" t="s">
        <v>7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9</v>
      </c>
      <c r="AR531" s="1">
        <v>7.3721927899999999E-3</v>
      </c>
      <c r="AS531" s="1">
        <v>3.7505990199999998E-22</v>
      </c>
      <c r="AT531">
        <v>22</v>
      </c>
      <c r="AU531" t="s">
        <v>10</v>
      </c>
      <c r="AV531">
        <v>0</v>
      </c>
      <c r="AW531">
        <v>2</v>
      </c>
      <c r="AX531">
        <v>0</v>
      </c>
      <c r="AY531">
        <v>0</v>
      </c>
      <c r="AZ531">
        <v>0</v>
      </c>
      <c r="BA531" t="s">
        <v>9</v>
      </c>
      <c r="BB531" t="s">
        <v>4</v>
      </c>
      <c r="BC531" t="s">
        <v>10</v>
      </c>
      <c r="BD531">
        <v>0</v>
      </c>
      <c r="BE531">
        <v>0</v>
      </c>
      <c r="BF531">
        <v>0</v>
      </c>
      <c r="BG531">
        <v>0</v>
      </c>
      <c r="BH531">
        <v>0</v>
      </c>
      <c r="BI531" t="s">
        <v>9</v>
      </c>
      <c r="BJ531">
        <v>-6.0929799999999996E-3</v>
      </c>
      <c r="BK531">
        <v>0</v>
      </c>
      <c r="BL531">
        <v>4.1502700000000002E-3</v>
      </c>
      <c r="BM531" s="2">
        <f t="shared" si="8"/>
        <v>2.2586635382782013E-3</v>
      </c>
    </row>
    <row r="532" spans="1:65" x14ac:dyDescent="0.35">
      <c r="A532">
        <v>0</v>
      </c>
      <c r="B532" t="s">
        <v>3</v>
      </c>
      <c r="C532" t="s">
        <v>4</v>
      </c>
      <c r="D532">
        <v>0</v>
      </c>
      <c r="E532" t="s">
        <v>3</v>
      </c>
      <c r="F532" t="s">
        <v>5</v>
      </c>
      <c r="G532">
        <v>4909.0182359999999</v>
      </c>
      <c r="H532" t="s">
        <v>4</v>
      </c>
      <c r="I532">
        <v>990.16341899999998</v>
      </c>
      <c r="J532">
        <v>3918.8548169999999</v>
      </c>
      <c r="K532" t="s">
        <v>6</v>
      </c>
      <c r="L532" t="s">
        <v>7</v>
      </c>
      <c r="M532" t="s">
        <v>8</v>
      </c>
      <c r="N532" t="s">
        <v>6</v>
      </c>
      <c r="O532" t="s">
        <v>3</v>
      </c>
      <c r="P532" t="s">
        <v>3</v>
      </c>
      <c r="Q532" t="s">
        <v>3</v>
      </c>
      <c r="R532" t="s">
        <v>3</v>
      </c>
      <c r="S532" t="s">
        <v>3</v>
      </c>
      <c r="T532" t="s">
        <v>7</v>
      </c>
      <c r="U532">
        <v>0</v>
      </c>
      <c r="V532">
        <v>0</v>
      </c>
      <c r="W532">
        <v>0</v>
      </c>
      <c r="X532">
        <v>5</v>
      </c>
      <c r="Y532">
        <v>0</v>
      </c>
      <c r="Z532" t="s">
        <v>29</v>
      </c>
      <c r="AA532" t="s">
        <v>4</v>
      </c>
      <c r="AB532" t="s">
        <v>6</v>
      </c>
      <c r="AC532" t="s">
        <v>7</v>
      </c>
      <c r="AD532" t="s">
        <v>8</v>
      </c>
      <c r="AE532" t="s">
        <v>6</v>
      </c>
      <c r="AF532" t="s">
        <v>3</v>
      </c>
      <c r="AG532" t="s">
        <v>3</v>
      </c>
      <c r="AH532" t="s">
        <v>3</v>
      </c>
      <c r="AI532" t="s">
        <v>3</v>
      </c>
      <c r="AJ532" t="s">
        <v>3</v>
      </c>
      <c r="AK532" t="s">
        <v>7</v>
      </c>
      <c r="AL532">
        <v>0</v>
      </c>
      <c r="AM532">
        <v>0</v>
      </c>
      <c r="AN532">
        <v>0</v>
      </c>
      <c r="AO532">
        <v>0</v>
      </c>
      <c r="AP532">
        <v>0</v>
      </c>
      <c r="AQ532" t="s">
        <v>9</v>
      </c>
      <c r="AR532" s="1">
        <v>3.7472578799999997E-5</v>
      </c>
      <c r="AS532" s="1">
        <v>1.4784358900000001E-26</v>
      </c>
      <c r="AT532">
        <v>23</v>
      </c>
      <c r="AU532" t="s">
        <v>10</v>
      </c>
      <c r="AV532">
        <v>0</v>
      </c>
      <c r="AW532">
        <v>0</v>
      </c>
      <c r="AX532">
        <v>0</v>
      </c>
      <c r="AY532">
        <v>5</v>
      </c>
      <c r="AZ532">
        <v>0</v>
      </c>
      <c r="BA532" t="s">
        <v>29</v>
      </c>
      <c r="BB532" t="s">
        <v>4</v>
      </c>
      <c r="BC532" t="s">
        <v>10</v>
      </c>
      <c r="BD532">
        <v>0</v>
      </c>
      <c r="BE532">
        <v>0</v>
      </c>
      <c r="BF532">
        <v>0</v>
      </c>
      <c r="BG532">
        <v>0</v>
      </c>
      <c r="BH532">
        <v>0</v>
      </c>
      <c r="BI532" t="s">
        <v>9</v>
      </c>
      <c r="BJ532">
        <v>2.107E-5</v>
      </c>
      <c r="BK532">
        <v>0</v>
      </c>
      <c r="BL532">
        <v>-3.099E-5</v>
      </c>
      <c r="BM532" s="2">
        <f t="shared" si="8"/>
        <v>8.9033490933533121E-8</v>
      </c>
    </row>
    <row r="533" spans="1:65" x14ac:dyDescent="0.35">
      <c r="A533">
        <v>0</v>
      </c>
      <c r="B533" t="s">
        <v>11</v>
      </c>
      <c r="C533" t="s">
        <v>4</v>
      </c>
      <c r="D533">
        <v>0</v>
      </c>
      <c r="E533" t="s">
        <v>3</v>
      </c>
      <c r="F533" t="s">
        <v>5</v>
      </c>
      <c r="G533">
        <v>2388.7855789999999</v>
      </c>
      <c r="H533" t="s">
        <v>4</v>
      </c>
      <c r="I533">
        <v>990.16341899999998</v>
      </c>
      <c r="J533">
        <v>1398.622159</v>
      </c>
      <c r="K533" t="s">
        <v>6</v>
      </c>
      <c r="L533" t="s">
        <v>7</v>
      </c>
      <c r="M533" t="s">
        <v>8</v>
      </c>
      <c r="N533" t="s">
        <v>6</v>
      </c>
      <c r="O533" t="s">
        <v>3</v>
      </c>
      <c r="P533" t="s">
        <v>3</v>
      </c>
      <c r="Q533" t="s">
        <v>3</v>
      </c>
      <c r="R533" t="s">
        <v>3</v>
      </c>
      <c r="S533" t="s">
        <v>11</v>
      </c>
      <c r="T533" t="s">
        <v>7</v>
      </c>
      <c r="U533">
        <v>0</v>
      </c>
      <c r="V533">
        <v>0</v>
      </c>
      <c r="W533">
        <v>0</v>
      </c>
      <c r="X533">
        <v>0</v>
      </c>
      <c r="Y533">
        <v>1</v>
      </c>
      <c r="Z533" t="s">
        <v>14</v>
      </c>
      <c r="AA533" t="s">
        <v>4</v>
      </c>
      <c r="AB533" t="s">
        <v>6</v>
      </c>
      <c r="AC533" t="s">
        <v>7</v>
      </c>
      <c r="AD533" t="s">
        <v>8</v>
      </c>
      <c r="AE533" t="s">
        <v>6</v>
      </c>
      <c r="AF533" t="s">
        <v>3</v>
      </c>
      <c r="AG533" t="s">
        <v>3</v>
      </c>
      <c r="AH533" t="s">
        <v>3</v>
      </c>
      <c r="AI533" t="s">
        <v>3</v>
      </c>
      <c r="AJ533" t="s">
        <v>3</v>
      </c>
      <c r="AK533" t="s">
        <v>7</v>
      </c>
      <c r="AL533">
        <v>0</v>
      </c>
      <c r="AM533">
        <v>0</v>
      </c>
      <c r="AN533">
        <v>0</v>
      </c>
      <c r="AO533">
        <v>0</v>
      </c>
      <c r="AP533">
        <v>0</v>
      </c>
      <c r="AQ533" t="s">
        <v>9</v>
      </c>
      <c r="AR533" s="1">
        <v>1.52150627E-2</v>
      </c>
      <c r="AS533" s="1">
        <v>8.6887361000000008E-22</v>
      </c>
      <c r="AT533">
        <v>22</v>
      </c>
      <c r="AU533" t="s">
        <v>10</v>
      </c>
      <c r="AV533">
        <v>0</v>
      </c>
      <c r="AW533">
        <v>0</v>
      </c>
      <c r="AX533">
        <v>0</v>
      </c>
      <c r="AY533">
        <v>0</v>
      </c>
      <c r="AZ533">
        <v>1</v>
      </c>
      <c r="BA533" t="s">
        <v>14</v>
      </c>
      <c r="BB533" t="s">
        <v>4</v>
      </c>
      <c r="BC533" t="s">
        <v>10</v>
      </c>
      <c r="BD533">
        <v>0</v>
      </c>
      <c r="BE533">
        <v>0</v>
      </c>
      <c r="BF533">
        <v>0</v>
      </c>
      <c r="BG533">
        <v>0</v>
      </c>
      <c r="BH533">
        <v>0</v>
      </c>
      <c r="BI533" t="s">
        <v>9</v>
      </c>
      <c r="BJ533">
        <v>0</v>
      </c>
      <c r="BK533">
        <v>1.5215060000000001E-2</v>
      </c>
      <c r="BL533">
        <v>0</v>
      </c>
      <c r="BM533" s="2">
        <f t="shared" si="8"/>
        <v>5.2324792168242885E-3</v>
      </c>
    </row>
    <row r="534" spans="1:65" x14ac:dyDescent="0.35">
      <c r="A534">
        <v>0</v>
      </c>
      <c r="B534" t="s">
        <v>3</v>
      </c>
      <c r="C534" t="s">
        <v>4</v>
      </c>
      <c r="D534">
        <v>0</v>
      </c>
      <c r="E534" t="s">
        <v>3</v>
      </c>
      <c r="F534" t="s">
        <v>5</v>
      </c>
      <c r="G534">
        <v>3839.3811089999999</v>
      </c>
      <c r="H534" t="s">
        <v>4</v>
      </c>
      <c r="I534">
        <v>990.16341899999998</v>
      </c>
      <c r="J534">
        <v>2849.2176899999999</v>
      </c>
      <c r="K534" t="s">
        <v>6</v>
      </c>
      <c r="L534" t="s">
        <v>7</v>
      </c>
      <c r="M534" t="s">
        <v>8</v>
      </c>
      <c r="N534" t="s">
        <v>6</v>
      </c>
      <c r="O534" t="s">
        <v>3</v>
      </c>
      <c r="P534" t="s">
        <v>3</v>
      </c>
      <c r="Q534" t="s">
        <v>3</v>
      </c>
      <c r="R534" t="s">
        <v>3</v>
      </c>
      <c r="S534" t="s">
        <v>3</v>
      </c>
      <c r="T534" t="s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 t="s">
        <v>29</v>
      </c>
      <c r="AA534" t="s">
        <v>4</v>
      </c>
      <c r="AB534" t="s">
        <v>6</v>
      </c>
      <c r="AC534" t="s">
        <v>7</v>
      </c>
      <c r="AD534" t="s">
        <v>8</v>
      </c>
      <c r="AE534" t="s">
        <v>6</v>
      </c>
      <c r="AF534" t="s">
        <v>3</v>
      </c>
      <c r="AG534" t="s">
        <v>3</v>
      </c>
      <c r="AH534" t="s">
        <v>3</v>
      </c>
      <c r="AI534" t="s">
        <v>3</v>
      </c>
      <c r="AJ534" t="s">
        <v>3</v>
      </c>
      <c r="AK534" t="s">
        <v>7</v>
      </c>
      <c r="AL534">
        <v>0</v>
      </c>
      <c r="AM534">
        <v>0</v>
      </c>
      <c r="AN534">
        <v>0</v>
      </c>
      <c r="AO534">
        <v>0</v>
      </c>
      <c r="AP534">
        <v>0</v>
      </c>
      <c r="AQ534" t="s">
        <v>9</v>
      </c>
      <c r="AR534" s="1">
        <v>7.0547045900000002E-5</v>
      </c>
      <c r="AS534" s="1">
        <v>3.8097721199999999E-26</v>
      </c>
      <c r="AT534">
        <v>22</v>
      </c>
      <c r="AU534" t="s">
        <v>10</v>
      </c>
      <c r="AV534">
        <v>0</v>
      </c>
      <c r="AW534">
        <v>1</v>
      </c>
      <c r="AX534">
        <v>0</v>
      </c>
      <c r="AY534">
        <v>0</v>
      </c>
      <c r="AZ534">
        <v>0</v>
      </c>
      <c r="BA534" t="s">
        <v>29</v>
      </c>
      <c r="BB534" t="s">
        <v>4</v>
      </c>
      <c r="BC534" t="s">
        <v>10</v>
      </c>
      <c r="BD534">
        <v>0</v>
      </c>
      <c r="BE534">
        <v>0</v>
      </c>
      <c r="BF534">
        <v>0</v>
      </c>
      <c r="BG534">
        <v>0</v>
      </c>
      <c r="BH534">
        <v>0</v>
      </c>
      <c r="BI534" t="s">
        <v>9</v>
      </c>
      <c r="BJ534">
        <v>6.9029999999999995E-5</v>
      </c>
      <c r="BK534">
        <v>0</v>
      </c>
      <c r="BL534">
        <v>-1.456E-5</v>
      </c>
      <c r="BM534" s="2">
        <f t="shared" si="8"/>
        <v>2.2942984122554496E-7</v>
      </c>
    </row>
    <row r="535" spans="1:65" x14ac:dyDescent="0.35">
      <c r="A535">
        <v>0</v>
      </c>
      <c r="B535" t="s">
        <v>3</v>
      </c>
      <c r="C535" t="s">
        <v>4</v>
      </c>
      <c r="D535">
        <v>0</v>
      </c>
      <c r="E535" t="s">
        <v>3</v>
      </c>
      <c r="F535" t="s">
        <v>5</v>
      </c>
      <c r="G535">
        <v>4854.2671760000003</v>
      </c>
      <c r="H535" t="s">
        <v>4</v>
      </c>
      <c r="I535">
        <v>990.16341899999998</v>
      </c>
      <c r="J535">
        <v>3864.1037569999999</v>
      </c>
      <c r="K535" t="s">
        <v>6</v>
      </c>
      <c r="L535" t="s">
        <v>7</v>
      </c>
      <c r="M535" t="s">
        <v>8</v>
      </c>
      <c r="N535" t="s">
        <v>6</v>
      </c>
      <c r="O535" t="s">
        <v>3</v>
      </c>
      <c r="P535" t="s">
        <v>3</v>
      </c>
      <c r="Q535" t="s">
        <v>3</v>
      </c>
      <c r="R535" t="s">
        <v>3</v>
      </c>
      <c r="S535" t="s">
        <v>3</v>
      </c>
      <c r="T535" t="s">
        <v>7</v>
      </c>
      <c r="U535">
        <v>0</v>
      </c>
      <c r="V535">
        <v>1</v>
      </c>
      <c r="W535">
        <v>0</v>
      </c>
      <c r="X535">
        <v>0</v>
      </c>
      <c r="Y535">
        <v>3</v>
      </c>
      <c r="Z535" t="s">
        <v>9</v>
      </c>
      <c r="AA535" t="s">
        <v>4</v>
      </c>
      <c r="AB535" t="s">
        <v>6</v>
      </c>
      <c r="AC535" t="s">
        <v>7</v>
      </c>
      <c r="AD535" t="s">
        <v>8</v>
      </c>
      <c r="AE535" t="s">
        <v>6</v>
      </c>
      <c r="AF535" t="s">
        <v>3</v>
      </c>
      <c r="AG535" t="s">
        <v>3</v>
      </c>
      <c r="AH535" t="s">
        <v>3</v>
      </c>
      <c r="AI535" t="s">
        <v>3</v>
      </c>
      <c r="AJ535" t="s">
        <v>3</v>
      </c>
      <c r="AK535" t="s">
        <v>7</v>
      </c>
      <c r="AL535">
        <v>0</v>
      </c>
      <c r="AM535">
        <v>0</v>
      </c>
      <c r="AN535">
        <v>0</v>
      </c>
      <c r="AO535">
        <v>0</v>
      </c>
      <c r="AP535">
        <v>0</v>
      </c>
      <c r="AQ535" t="s">
        <v>9</v>
      </c>
      <c r="AR535" s="1">
        <v>7.9107708300000005E-5</v>
      </c>
      <c r="AS535" s="1">
        <v>6.4968456000000005E-26</v>
      </c>
      <c r="AT535">
        <v>23</v>
      </c>
      <c r="AU535" t="s">
        <v>10</v>
      </c>
      <c r="AV535">
        <v>0</v>
      </c>
      <c r="AW535">
        <v>1</v>
      </c>
      <c r="AX535">
        <v>0</v>
      </c>
      <c r="AY535">
        <v>0</v>
      </c>
      <c r="AZ535">
        <v>3</v>
      </c>
      <c r="BA535" t="s">
        <v>9</v>
      </c>
      <c r="BB535" t="s">
        <v>4</v>
      </c>
      <c r="BC535" t="s">
        <v>10</v>
      </c>
      <c r="BD535">
        <v>0</v>
      </c>
      <c r="BE535">
        <v>0</v>
      </c>
      <c r="BF535">
        <v>0</v>
      </c>
      <c r="BG535">
        <v>0</v>
      </c>
      <c r="BH535">
        <v>0</v>
      </c>
      <c r="BI535" t="s">
        <v>9</v>
      </c>
      <c r="BJ535">
        <v>1.6010000000000001E-5</v>
      </c>
      <c r="BK535">
        <v>0</v>
      </c>
      <c r="BL535">
        <v>7.7470000000000002E-5</v>
      </c>
      <c r="BM535" s="2">
        <f t="shared" si="8"/>
        <v>3.9124918959060482E-7</v>
      </c>
    </row>
    <row r="536" spans="1:65" x14ac:dyDescent="0.35">
      <c r="A536">
        <v>0</v>
      </c>
      <c r="B536" t="s">
        <v>3</v>
      </c>
      <c r="C536" t="s">
        <v>4</v>
      </c>
      <c r="D536">
        <v>0</v>
      </c>
      <c r="E536" t="s">
        <v>3</v>
      </c>
      <c r="F536" t="s">
        <v>5</v>
      </c>
      <c r="G536">
        <v>3945.5493799999999</v>
      </c>
      <c r="H536" t="s">
        <v>4</v>
      </c>
      <c r="I536">
        <v>990.16341899999998</v>
      </c>
      <c r="J536">
        <v>2955.385961</v>
      </c>
      <c r="K536" t="s">
        <v>6</v>
      </c>
      <c r="L536" t="s">
        <v>7</v>
      </c>
      <c r="M536" t="s">
        <v>8</v>
      </c>
      <c r="N536" t="s">
        <v>6</v>
      </c>
      <c r="O536" t="s">
        <v>3</v>
      </c>
      <c r="P536" t="s">
        <v>3</v>
      </c>
      <c r="Q536" t="s">
        <v>3</v>
      </c>
      <c r="R536" t="s">
        <v>3</v>
      </c>
      <c r="S536" t="s">
        <v>3</v>
      </c>
      <c r="T536" t="s">
        <v>7</v>
      </c>
      <c r="U536">
        <v>0</v>
      </c>
      <c r="V536">
        <v>1</v>
      </c>
      <c r="W536">
        <v>0</v>
      </c>
      <c r="X536">
        <v>4</v>
      </c>
      <c r="Y536">
        <v>0</v>
      </c>
      <c r="Z536" t="s">
        <v>15</v>
      </c>
      <c r="AA536" t="s">
        <v>4</v>
      </c>
      <c r="AB536" t="s">
        <v>6</v>
      </c>
      <c r="AC536" t="s">
        <v>7</v>
      </c>
      <c r="AD536" t="s">
        <v>8</v>
      </c>
      <c r="AE536" t="s">
        <v>6</v>
      </c>
      <c r="AF536" t="s">
        <v>3</v>
      </c>
      <c r="AG536" t="s">
        <v>3</v>
      </c>
      <c r="AH536" t="s">
        <v>3</v>
      </c>
      <c r="AI536" t="s">
        <v>3</v>
      </c>
      <c r="AJ536" t="s">
        <v>3</v>
      </c>
      <c r="AK536" t="s">
        <v>7</v>
      </c>
      <c r="AL536">
        <v>0</v>
      </c>
      <c r="AM536">
        <v>0</v>
      </c>
      <c r="AN536">
        <v>0</v>
      </c>
      <c r="AO536">
        <v>0</v>
      </c>
      <c r="AP536">
        <v>0</v>
      </c>
      <c r="AQ536" t="s">
        <v>9</v>
      </c>
      <c r="AR536" s="1">
        <v>7.5476145900000002E-5</v>
      </c>
      <c r="AS536" s="1">
        <v>4.5232388799999997E-26</v>
      </c>
      <c r="AT536">
        <v>22</v>
      </c>
      <c r="AU536" t="s">
        <v>10</v>
      </c>
      <c r="AV536">
        <v>0</v>
      </c>
      <c r="AW536">
        <v>1</v>
      </c>
      <c r="AX536">
        <v>0</v>
      </c>
      <c r="AY536">
        <v>4</v>
      </c>
      <c r="AZ536">
        <v>0</v>
      </c>
      <c r="BA536" t="s">
        <v>15</v>
      </c>
      <c r="BB536" t="s">
        <v>4</v>
      </c>
      <c r="BC536" t="s">
        <v>10</v>
      </c>
      <c r="BD536">
        <v>0</v>
      </c>
      <c r="BE536">
        <v>0</v>
      </c>
      <c r="BF536">
        <v>0</v>
      </c>
      <c r="BG536">
        <v>0</v>
      </c>
      <c r="BH536">
        <v>0</v>
      </c>
      <c r="BI536" t="s">
        <v>9</v>
      </c>
      <c r="BJ536">
        <v>-5.8350000000000002E-5</v>
      </c>
      <c r="BK536">
        <v>0</v>
      </c>
      <c r="BL536">
        <v>-4.7870000000000001E-5</v>
      </c>
      <c r="BM536" s="2">
        <f t="shared" si="8"/>
        <v>2.72395814073943E-7</v>
      </c>
    </row>
    <row r="537" spans="1:65" x14ac:dyDescent="0.35">
      <c r="A537">
        <v>0</v>
      </c>
      <c r="B537" t="s">
        <v>3</v>
      </c>
      <c r="C537" t="s">
        <v>4</v>
      </c>
      <c r="D537">
        <v>0</v>
      </c>
      <c r="E537" t="s">
        <v>3</v>
      </c>
      <c r="F537" t="s">
        <v>5</v>
      </c>
      <c r="G537">
        <v>3724.6732670000001</v>
      </c>
      <c r="H537" t="s">
        <v>4</v>
      </c>
      <c r="I537">
        <v>990.16341899999998</v>
      </c>
      <c r="J537">
        <v>2734.5098480000001</v>
      </c>
      <c r="K537" t="s">
        <v>6</v>
      </c>
      <c r="L537" t="s">
        <v>7</v>
      </c>
      <c r="M537" t="s">
        <v>8</v>
      </c>
      <c r="N537" t="s">
        <v>6</v>
      </c>
      <c r="O537" t="s">
        <v>3</v>
      </c>
      <c r="P537" t="s">
        <v>3</v>
      </c>
      <c r="Q537" t="s">
        <v>3</v>
      </c>
      <c r="R537" t="s">
        <v>3</v>
      </c>
      <c r="S537" t="s">
        <v>3</v>
      </c>
      <c r="T537" t="s">
        <v>7</v>
      </c>
      <c r="U537">
        <v>0</v>
      </c>
      <c r="V537">
        <v>1</v>
      </c>
      <c r="W537">
        <v>0</v>
      </c>
      <c r="X537">
        <v>6</v>
      </c>
      <c r="Y537">
        <v>0</v>
      </c>
      <c r="Z537" t="s">
        <v>8</v>
      </c>
      <c r="AA537" t="s">
        <v>4</v>
      </c>
      <c r="AB537" t="s">
        <v>6</v>
      </c>
      <c r="AC537" t="s">
        <v>7</v>
      </c>
      <c r="AD537" t="s">
        <v>8</v>
      </c>
      <c r="AE537" t="s">
        <v>6</v>
      </c>
      <c r="AF537" t="s">
        <v>3</v>
      </c>
      <c r="AG537" t="s">
        <v>3</v>
      </c>
      <c r="AH537" t="s">
        <v>3</v>
      </c>
      <c r="AI537" t="s">
        <v>3</v>
      </c>
      <c r="AJ537" t="s">
        <v>3</v>
      </c>
      <c r="AK537" t="s">
        <v>7</v>
      </c>
      <c r="AL537">
        <v>0</v>
      </c>
      <c r="AM537">
        <v>0</v>
      </c>
      <c r="AN537">
        <v>0</v>
      </c>
      <c r="AO537">
        <v>0</v>
      </c>
      <c r="AP537">
        <v>0</v>
      </c>
      <c r="AQ537" t="s">
        <v>9</v>
      </c>
      <c r="AR537" s="1">
        <v>3.9194196599999997E-5</v>
      </c>
      <c r="AS537" s="1">
        <v>1.12859569E-26</v>
      </c>
      <c r="AT537">
        <v>26</v>
      </c>
      <c r="AU537" t="s">
        <v>10</v>
      </c>
      <c r="AV537">
        <v>0</v>
      </c>
      <c r="AW537">
        <v>1</v>
      </c>
      <c r="AX537">
        <v>0</v>
      </c>
      <c r="AY537">
        <v>6</v>
      </c>
      <c r="AZ537">
        <v>0</v>
      </c>
      <c r="BA537" t="s">
        <v>8</v>
      </c>
      <c r="BB537" t="s">
        <v>4</v>
      </c>
      <c r="BC537" t="s">
        <v>10</v>
      </c>
      <c r="BD537">
        <v>0</v>
      </c>
      <c r="BE537">
        <v>0</v>
      </c>
      <c r="BF537">
        <v>0</v>
      </c>
      <c r="BG537">
        <v>0</v>
      </c>
      <c r="BH537">
        <v>0</v>
      </c>
      <c r="BI537" t="s">
        <v>9</v>
      </c>
      <c r="BJ537">
        <v>-3.9190000000000003E-5</v>
      </c>
      <c r="BK537">
        <v>0</v>
      </c>
      <c r="BL537">
        <v>5.0999999999999999E-7</v>
      </c>
      <c r="BM537" s="2">
        <f t="shared" si="8"/>
        <v>6.7965621514531517E-8</v>
      </c>
    </row>
    <row r="538" spans="1:65" x14ac:dyDescent="0.35">
      <c r="A538">
        <v>0</v>
      </c>
      <c r="B538" t="s">
        <v>11</v>
      </c>
      <c r="C538" t="s">
        <v>4</v>
      </c>
      <c r="D538">
        <v>0</v>
      </c>
      <c r="E538" t="s">
        <v>3</v>
      </c>
      <c r="F538" t="s">
        <v>5</v>
      </c>
      <c r="G538">
        <v>4535.6332910000001</v>
      </c>
      <c r="H538" t="s">
        <v>4</v>
      </c>
      <c r="I538">
        <v>990.16341899999998</v>
      </c>
      <c r="J538">
        <v>3545.4698720000001</v>
      </c>
      <c r="K538" t="s">
        <v>6</v>
      </c>
      <c r="L538" t="s">
        <v>7</v>
      </c>
      <c r="M538" t="s">
        <v>8</v>
      </c>
      <c r="N538" t="s">
        <v>6</v>
      </c>
      <c r="O538" t="s">
        <v>3</v>
      </c>
      <c r="P538" t="s">
        <v>3</v>
      </c>
      <c r="Q538" t="s">
        <v>3</v>
      </c>
      <c r="R538" t="s">
        <v>3</v>
      </c>
      <c r="S538" t="s">
        <v>11</v>
      </c>
      <c r="T538" t="s">
        <v>7</v>
      </c>
      <c r="U538">
        <v>0</v>
      </c>
      <c r="V538">
        <v>1</v>
      </c>
      <c r="W538">
        <v>0</v>
      </c>
      <c r="X538">
        <v>1</v>
      </c>
      <c r="Y538">
        <v>0</v>
      </c>
      <c r="Z538" t="s">
        <v>23</v>
      </c>
      <c r="AA538" t="s">
        <v>4</v>
      </c>
      <c r="AB538" t="s">
        <v>6</v>
      </c>
      <c r="AC538" t="s">
        <v>7</v>
      </c>
      <c r="AD538" t="s">
        <v>8</v>
      </c>
      <c r="AE538" t="s">
        <v>6</v>
      </c>
      <c r="AF538" t="s">
        <v>3</v>
      </c>
      <c r="AG538" t="s">
        <v>3</v>
      </c>
      <c r="AH538" t="s">
        <v>3</v>
      </c>
      <c r="AI538" t="s">
        <v>3</v>
      </c>
      <c r="AJ538" t="s">
        <v>3</v>
      </c>
      <c r="AK538" t="s">
        <v>7</v>
      </c>
      <c r="AL538">
        <v>0</v>
      </c>
      <c r="AM538">
        <v>0</v>
      </c>
      <c r="AN538">
        <v>0</v>
      </c>
      <c r="AO538">
        <v>0</v>
      </c>
      <c r="AP538">
        <v>0</v>
      </c>
      <c r="AQ538" t="s">
        <v>9</v>
      </c>
      <c r="AR538" s="1">
        <v>6.5097214299999997E-6</v>
      </c>
      <c r="AS538" s="1">
        <v>4.03659107E-28</v>
      </c>
      <c r="AT538">
        <v>22</v>
      </c>
      <c r="AU538" t="s">
        <v>10</v>
      </c>
      <c r="AV538">
        <v>0</v>
      </c>
      <c r="AW538">
        <v>1</v>
      </c>
      <c r="AX538">
        <v>0</v>
      </c>
      <c r="AY538">
        <v>1</v>
      </c>
      <c r="AZ538">
        <v>0</v>
      </c>
      <c r="BA538" t="s">
        <v>23</v>
      </c>
      <c r="BB538" t="s">
        <v>4</v>
      </c>
      <c r="BC538" t="s">
        <v>10</v>
      </c>
      <c r="BD538">
        <v>0</v>
      </c>
      <c r="BE538">
        <v>0</v>
      </c>
      <c r="BF538">
        <v>0</v>
      </c>
      <c r="BG538">
        <v>0</v>
      </c>
      <c r="BH538">
        <v>0</v>
      </c>
      <c r="BI538" t="s">
        <v>9</v>
      </c>
      <c r="BJ538">
        <v>0</v>
      </c>
      <c r="BK538">
        <v>-6.5100000000000004E-6</v>
      </c>
      <c r="BL538">
        <v>0</v>
      </c>
      <c r="BM538" s="2">
        <f t="shared" si="8"/>
        <v>2.4308919775562655E-9</v>
      </c>
    </row>
    <row r="539" spans="1:65" x14ac:dyDescent="0.35">
      <c r="A539">
        <v>0</v>
      </c>
      <c r="B539" t="s">
        <v>3</v>
      </c>
      <c r="C539" t="s">
        <v>4</v>
      </c>
      <c r="D539">
        <v>0</v>
      </c>
      <c r="E539" t="s">
        <v>3</v>
      </c>
      <c r="F539" t="s">
        <v>5</v>
      </c>
      <c r="G539">
        <v>4041.6618640000002</v>
      </c>
      <c r="H539" t="s">
        <v>4</v>
      </c>
      <c r="I539">
        <v>990.16341899999998</v>
      </c>
      <c r="J539">
        <v>3051.4984450000002</v>
      </c>
      <c r="K539" t="s">
        <v>6</v>
      </c>
      <c r="L539" t="s">
        <v>7</v>
      </c>
      <c r="M539" t="s">
        <v>8</v>
      </c>
      <c r="N539" t="s">
        <v>6</v>
      </c>
      <c r="O539" t="s">
        <v>3</v>
      </c>
      <c r="P539" t="s">
        <v>3</v>
      </c>
      <c r="Q539" t="s">
        <v>3</v>
      </c>
      <c r="R539" t="s">
        <v>3</v>
      </c>
      <c r="S539" t="s">
        <v>3</v>
      </c>
      <c r="T539" t="s">
        <v>7</v>
      </c>
      <c r="U539">
        <v>1</v>
      </c>
      <c r="V539">
        <v>0</v>
      </c>
      <c r="W539">
        <v>0</v>
      </c>
      <c r="X539">
        <v>5</v>
      </c>
      <c r="Y539">
        <v>0</v>
      </c>
      <c r="Z539" t="s">
        <v>9</v>
      </c>
      <c r="AA539" t="s">
        <v>4</v>
      </c>
      <c r="AB539" t="s">
        <v>6</v>
      </c>
      <c r="AC539" t="s">
        <v>7</v>
      </c>
      <c r="AD539" t="s">
        <v>8</v>
      </c>
      <c r="AE539" t="s">
        <v>6</v>
      </c>
      <c r="AF539" t="s">
        <v>3</v>
      </c>
      <c r="AG539" t="s">
        <v>3</v>
      </c>
      <c r="AH539" t="s">
        <v>3</v>
      </c>
      <c r="AI539" t="s">
        <v>3</v>
      </c>
      <c r="AJ539" t="s">
        <v>3</v>
      </c>
      <c r="AK539" t="s">
        <v>7</v>
      </c>
      <c r="AL539">
        <v>0</v>
      </c>
      <c r="AM539">
        <v>0</v>
      </c>
      <c r="AN539">
        <v>0</v>
      </c>
      <c r="AO539">
        <v>0</v>
      </c>
      <c r="AP539">
        <v>0</v>
      </c>
      <c r="AQ539" t="s">
        <v>9</v>
      </c>
      <c r="AR539" s="1">
        <v>4.7120431800000001E-5</v>
      </c>
      <c r="AS539" s="1">
        <v>1.82031969E-26</v>
      </c>
      <c r="AT539">
        <v>23</v>
      </c>
      <c r="AU539" t="s">
        <v>10</v>
      </c>
      <c r="AV539">
        <v>1</v>
      </c>
      <c r="AW539">
        <v>0</v>
      </c>
      <c r="AX539">
        <v>0</v>
      </c>
      <c r="AY539">
        <v>5</v>
      </c>
      <c r="AZ539">
        <v>0</v>
      </c>
      <c r="BA539" t="s">
        <v>9</v>
      </c>
      <c r="BB539" t="s">
        <v>4</v>
      </c>
      <c r="BC539" t="s">
        <v>10</v>
      </c>
      <c r="BD539">
        <v>0</v>
      </c>
      <c r="BE539">
        <v>0</v>
      </c>
      <c r="BF539">
        <v>0</v>
      </c>
      <c r="BG539">
        <v>0</v>
      </c>
      <c r="BH539">
        <v>0</v>
      </c>
      <c r="BI539" t="s">
        <v>9</v>
      </c>
      <c r="BJ539">
        <v>-4.7030000000000002E-5</v>
      </c>
      <c r="BK539">
        <v>0</v>
      </c>
      <c r="BL539">
        <v>-2.9500000000000001E-6</v>
      </c>
      <c r="BM539" s="2">
        <f t="shared" si="8"/>
        <v>1.0962221474192353E-7</v>
      </c>
    </row>
    <row r="540" spans="1:65" x14ac:dyDescent="0.35">
      <c r="A540">
        <v>0</v>
      </c>
      <c r="B540" t="s">
        <v>11</v>
      </c>
      <c r="C540" t="s">
        <v>4</v>
      </c>
      <c r="D540">
        <v>0</v>
      </c>
      <c r="E540" t="s">
        <v>3</v>
      </c>
      <c r="F540" t="s">
        <v>5</v>
      </c>
      <c r="G540">
        <v>4159.0096709999998</v>
      </c>
      <c r="H540" t="s">
        <v>4</v>
      </c>
      <c r="I540">
        <v>990.16341899999998</v>
      </c>
      <c r="J540">
        <v>3168.8462519999998</v>
      </c>
      <c r="K540" t="s">
        <v>6</v>
      </c>
      <c r="L540" t="s">
        <v>7</v>
      </c>
      <c r="M540" t="s">
        <v>8</v>
      </c>
      <c r="N540" t="s">
        <v>6</v>
      </c>
      <c r="O540" t="s">
        <v>3</v>
      </c>
      <c r="P540" t="s">
        <v>3</v>
      </c>
      <c r="Q540" t="s">
        <v>3</v>
      </c>
      <c r="R540" t="s">
        <v>3</v>
      </c>
      <c r="S540" t="s">
        <v>11</v>
      </c>
      <c r="T540" t="s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 t="s">
        <v>32</v>
      </c>
      <c r="AA540" t="s">
        <v>4</v>
      </c>
      <c r="AB540" t="s">
        <v>6</v>
      </c>
      <c r="AC540" t="s">
        <v>7</v>
      </c>
      <c r="AD540" t="s">
        <v>8</v>
      </c>
      <c r="AE540" t="s">
        <v>6</v>
      </c>
      <c r="AF540" t="s">
        <v>3</v>
      </c>
      <c r="AG540" t="s">
        <v>3</v>
      </c>
      <c r="AH540" t="s">
        <v>3</v>
      </c>
      <c r="AI540" t="s">
        <v>3</v>
      </c>
      <c r="AJ540" t="s">
        <v>3</v>
      </c>
      <c r="AK540" t="s">
        <v>7</v>
      </c>
      <c r="AL540">
        <v>0</v>
      </c>
      <c r="AM540">
        <v>0</v>
      </c>
      <c r="AN540">
        <v>0</v>
      </c>
      <c r="AO540">
        <v>0</v>
      </c>
      <c r="AP540">
        <v>0</v>
      </c>
      <c r="AQ540" t="s">
        <v>9</v>
      </c>
      <c r="AR540" s="1">
        <v>1.4168415100000001E-5</v>
      </c>
      <c r="AS540" s="1">
        <v>1.70906971E-27</v>
      </c>
      <c r="AT540">
        <v>26</v>
      </c>
      <c r="AU540" t="s">
        <v>10</v>
      </c>
      <c r="AV540">
        <v>0</v>
      </c>
      <c r="AW540">
        <v>0</v>
      </c>
      <c r="AX540">
        <v>0</v>
      </c>
      <c r="AY540">
        <v>0</v>
      </c>
      <c r="AZ540">
        <v>0</v>
      </c>
      <c r="BA540" t="s">
        <v>32</v>
      </c>
      <c r="BB540" t="s">
        <v>4</v>
      </c>
      <c r="BC540" t="s">
        <v>10</v>
      </c>
      <c r="BD540">
        <v>0</v>
      </c>
      <c r="BE540">
        <v>0</v>
      </c>
      <c r="BF540">
        <v>0</v>
      </c>
      <c r="BG540">
        <v>0</v>
      </c>
      <c r="BH540">
        <v>0</v>
      </c>
      <c r="BI540" t="s">
        <v>9</v>
      </c>
      <c r="BJ540">
        <v>0</v>
      </c>
      <c r="BK540">
        <v>-1.417E-5</v>
      </c>
      <c r="BL540">
        <v>0</v>
      </c>
      <c r="BM540" s="2">
        <f t="shared" si="8"/>
        <v>1.0292258430635168E-8</v>
      </c>
    </row>
    <row r="541" spans="1:65" x14ac:dyDescent="0.35">
      <c r="A541">
        <v>0</v>
      </c>
      <c r="B541" t="s">
        <v>11</v>
      </c>
      <c r="C541" t="s">
        <v>4</v>
      </c>
      <c r="D541">
        <v>0</v>
      </c>
      <c r="E541" t="s">
        <v>3</v>
      </c>
      <c r="F541" t="s">
        <v>5</v>
      </c>
      <c r="G541">
        <v>4681.2637139999997</v>
      </c>
      <c r="H541" t="s">
        <v>4</v>
      </c>
      <c r="I541">
        <v>990.16341899999998</v>
      </c>
      <c r="J541">
        <v>3691.1002939999998</v>
      </c>
      <c r="K541" t="s">
        <v>6</v>
      </c>
      <c r="L541" t="s">
        <v>7</v>
      </c>
      <c r="M541" t="s">
        <v>8</v>
      </c>
      <c r="N541" t="s">
        <v>6</v>
      </c>
      <c r="O541" t="s">
        <v>3</v>
      </c>
      <c r="P541" t="s">
        <v>3</v>
      </c>
      <c r="Q541" t="s">
        <v>3</v>
      </c>
      <c r="R541" t="s">
        <v>3</v>
      </c>
      <c r="S541" t="s">
        <v>11</v>
      </c>
      <c r="T541" t="s">
        <v>7</v>
      </c>
      <c r="U541">
        <v>0</v>
      </c>
      <c r="V541">
        <v>0</v>
      </c>
      <c r="W541">
        <v>0</v>
      </c>
      <c r="X541">
        <v>1</v>
      </c>
      <c r="Y541">
        <v>2</v>
      </c>
      <c r="Z541" t="s">
        <v>19</v>
      </c>
      <c r="AA541" t="s">
        <v>4</v>
      </c>
      <c r="AB541" t="s">
        <v>6</v>
      </c>
      <c r="AC541" t="s">
        <v>7</v>
      </c>
      <c r="AD541" t="s">
        <v>8</v>
      </c>
      <c r="AE541" t="s">
        <v>6</v>
      </c>
      <c r="AF541" t="s">
        <v>3</v>
      </c>
      <c r="AG541" t="s">
        <v>3</v>
      </c>
      <c r="AH541" t="s">
        <v>3</v>
      </c>
      <c r="AI541" t="s">
        <v>3</v>
      </c>
      <c r="AJ541" t="s">
        <v>3</v>
      </c>
      <c r="AK541" t="s">
        <v>7</v>
      </c>
      <c r="AL541">
        <v>0</v>
      </c>
      <c r="AM541">
        <v>0</v>
      </c>
      <c r="AN541">
        <v>0</v>
      </c>
      <c r="AO541">
        <v>0</v>
      </c>
      <c r="AP541">
        <v>0</v>
      </c>
      <c r="AQ541" t="s">
        <v>9</v>
      </c>
      <c r="AR541" s="1">
        <v>4.3814747900000003E-8</v>
      </c>
      <c r="AS541" s="1">
        <v>1.9037619200000001E-32</v>
      </c>
      <c r="AT541">
        <v>23</v>
      </c>
      <c r="AU541" t="s">
        <v>10</v>
      </c>
      <c r="AV541">
        <v>0</v>
      </c>
      <c r="AW541">
        <v>0</v>
      </c>
      <c r="AX541">
        <v>0</v>
      </c>
      <c r="AY541">
        <v>1</v>
      </c>
      <c r="AZ541">
        <v>2</v>
      </c>
      <c r="BA541" t="s">
        <v>19</v>
      </c>
      <c r="BB541" t="s">
        <v>4</v>
      </c>
      <c r="BC541" t="s">
        <v>10</v>
      </c>
      <c r="BD541">
        <v>0</v>
      </c>
      <c r="BE541">
        <v>0</v>
      </c>
      <c r="BF541">
        <v>0</v>
      </c>
      <c r="BG541">
        <v>0</v>
      </c>
      <c r="BH541">
        <v>0</v>
      </c>
      <c r="BI541" t="s">
        <v>9</v>
      </c>
      <c r="BJ541">
        <v>0</v>
      </c>
      <c r="BK541">
        <v>-4.0000000000000001E-8</v>
      </c>
      <c r="BL541">
        <v>0</v>
      </c>
      <c r="BM541" s="2">
        <f t="shared" si="8"/>
        <v>1.1464722331918337E-13</v>
      </c>
    </row>
    <row r="542" spans="1:65" x14ac:dyDescent="0.35">
      <c r="A542">
        <v>0</v>
      </c>
      <c r="B542" t="s">
        <v>3</v>
      </c>
      <c r="C542" t="s">
        <v>4</v>
      </c>
      <c r="D542">
        <v>0</v>
      </c>
      <c r="E542" t="s">
        <v>3</v>
      </c>
      <c r="F542" t="s">
        <v>5</v>
      </c>
      <c r="G542">
        <v>4619.0742170000003</v>
      </c>
      <c r="H542" t="s">
        <v>4</v>
      </c>
      <c r="I542">
        <v>990.16341899999998</v>
      </c>
      <c r="J542">
        <v>3628.9107979999999</v>
      </c>
      <c r="K542" t="s">
        <v>6</v>
      </c>
      <c r="L542" t="s">
        <v>7</v>
      </c>
      <c r="M542" t="s">
        <v>8</v>
      </c>
      <c r="N542" t="s">
        <v>6</v>
      </c>
      <c r="O542" t="s">
        <v>3</v>
      </c>
      <c r="P542" t="s">
        <v>3</v>
      </c>
      <c r="Q542" t="s">
        <v>3</v>
      </c>
      <c r="R542" t="s">
        <v>3</v>
      </c>
      <c r="S542" t="s">
        <v>3</v>
      </c>
      <c r="T542" t="s">
        <v>7</v>
      </c>
      <c r="U542">
        <v>1</v>
      </c>
      <c r="V542">
        <v>3</v>
      </c>
      <c r="W542">
        <v>0</v>
      </c>
      <c r="X542">
        <v>0</v>
      </c>
      <c r="Y542">
        <v>0</v>
      </c>
      <c r="Z542" t="s">
        <v>8</v>
      </c>
      <c r="AA542" t="s">
        <v>4</v>
      </c>
      <c r="AB542" t="s">
        <v>6</v>
      </c>
      <c r="AC542" t="s">
        <v>7</v>
      </c>
      <c r="AD542" t="s">
        <v>8</v>
      </c>
      <c r="AE542" t="s">
        <v>6</v>
      </c>
      <c r="AF542" t="s">
        <v>3</v>
      </c>
      <c r="AG542" t="s">
        <v>3</v>
      </c>
      <c r="AH542" t="s">
        <v>3</v>
      </c>
      <c r="AI542" t="s">
        <v>3</v>
      </c>
      <c r="AJ542" t="s">
        <v>3</v>
      </c>
      <c r="AK542" t="s">
        <v>7</v>
      </c>
      <c r="AL542">
        <v>0</v>
      </c>
      <c r="AM542">
        <v>0</v>
      </c>
      <c r="AN542">
        <v>0</v>
      </c>
      <c r="AO542">
        <v>0</v>
      </c>
      <c r="AP542">
        <v>0</v>
      </c>
      <c r="AQ542" t="s">
        <v>9</v>
      </c>
      <c r="AR542" s="1">
        <v>6.6674072200000002E-4</v>
      </c>
      <c r="AS542" s="1">
        <v>4.3341746499999999E-24</v>
      </c>
      <c r="AT542">
        <v>26</v>
      </c>
      <c r="AU542" t="s">
        <v>10</v>
      </c>
      <c r="AV542">
        <v>1</v>
      </c>
      <c r="AW542">
        <v>3</v>
      </c>
      <c r="AX542">
        <v>0</v>
      </c>
      <c r="AY542">
        <v>0</v>
      </c>
      <c r="AZ542">
        <v>0</v>
      </c>
      <c r="BA542" t="s">
        <v>8</v>
      </c>
      <c r="BB542" t="s">
        <v>4</v>
      </c>
      <c r="BC542" t="s">
        <v>10</v>
      </c>
      <c r="BD542">
        <v>0</v>
      </c>
      <c r="BE542">
        <v>0</v>
      </c>
      <c r="BF542">
        <v>0</v>
      </c>
      <c r="BG542">
        <v>0</v>
      </c>
      <c r="BH542">
        <v>0</v>
      </c>
      <c r="BI542" t="s">
        <v>9</v>
      </c>
      <c r="BJ542">
        <v>4.8827000000000001E-4</v>
      </c>
      <c r="BK542">
        <v>0</v>
      </c>
      <c r="BL542">
        <v>-4.5402000000000002E-4</v>
      </c>
      <c r="BM542" s="2">
        <f t="shared" si="8"/>
        <v>2.6101009994090722E-5</v>
      </c>
    </row>
    <row r="543" spans="1:65" x14ac:dyDescent="0.35">
      <c r="A543">
        <v>0</v>
      </c>
      <c r="B543" t="s">
        <v>11</v>
      </c>
      <c r="C543" t="s">
        <v>4</v>
      </c>
      <c r="D543">
        <v>0</v>
      </c>
      <c r="E543" t="s">
        <v>3</v>
      </c>
      <c r="F543" t="s">
        <v>5</v>
      </c>
      <c r="G543">
        <v>2728.0591030000001</v>
      </c>
      <c r="H543" t="s">
        <v>4</v>
      </c>
      <c r="I543">
        <v>990.16341899999998</v>
      </c>
      <c r="J543">
        <v>1737.8956840000001</v>
      </c>
      <c r="K543" t="s">
        <v>6</v>
      </c>
      <c r="L543" t="s">
        <v>7</v>
      </c>
      <c r="M543" t="s">
        <v>8</v>
      </c>
      <c r="N543" t="s">
        <v>6</v>
      </c>
      <c r="O543" t="s">
        <v>3</v>
      </c>
      <c r="P543" t="s">
        <v>3</v>
      </c>
      <c r="Q543" t="s">
        <v>3</v>
      </c>
      <c r="R543" t="s">
        <v>3</v>
      </c>
      <c r="S543" t="s">
        <v>11</v>
      </c>
      <c r="T543" t="s">
        <v>7</v>
      </c>
      <c r="U543">
        <v>0</v>
      </c>
      <c r="V543">
        <v>1</v>
      </c>
      <c r="W543">
        <v>0</v>
      </c>
      <c r="X543">
        <v>0</v>
      </c>
      <c r="Y543">
        <v>0</v>
      </c>
      <c r="Z543" t="s">
        <v>14</v>
      </c>
      <c r="AA543" t="s">
        <v>4</v>
      </c>
      <c r="AB543" t="s">
        <v>6</v>
      </c>
      <c r="AC543" t="s">
        <v>7</v>
      </c>
      <c r="AD543" t="s">
        <v>8</v>
      </c>
      <c r="AE543" t="s">
        <v>6</v>
      </c>
      <c r="AF543" t="s">
        <v>3</v>
      </c>
      <c r="AG543" t="s">
        <v>3</v>
      </c>
      <c r="AH543" t="s">
        <v>3</v>
      </c>
      <c r="AI543" t="s">
        <v>3</v>
      </c>
      <c r="AJ543" t="s">
        <v>3</v>
      </c>
      <c r="AK543" t="s">
        <v>7</v>
      </c>
      <c r="AL543">
        <v>0</v>
      </c>
      <c r="AM543">
        <v>0</v>
      </c>
      <c r="AN543">
        <v>0</v>
      </c>
      <c r="AO543">
        <v>0</v>
      </c>
      <c r="AP543">
        <v>0</v>
      </c>
      <c r="AQ543" t="s">
        <v>9</v>
      </c>
      <c r="AR543" s="1">
        <v>1.07483448E-4</v>
      </c>
      <c r="AS543" s="1">
        <v>5.3929260099999998E-26</v>
      </c>
      <c r="AT543">
        <v>22</v>
      </c>
      <c r="AU543" t="s">
        <v>10</v>
      </c>
      <c r="AV543">
        <v>0</v>
      </c>
      <c r="AW543">
        <v>1</v>
      </c>
      <c r="AX543">
        <v>0</v>
      </c>
      <c r="AY543">
        <v>0</v>
      </c>
      <c r="AZ543">
        <v>0</v>
      </c>
      <c r="BA543" t="s">
        <v>14</v>
      </c>
      <c r="BB543" t="s">
        <v>4</v>
      </c>
      <c r="BC543" t="s">
        <v>10</v>
      </c>
      <c r="BD543">
        <v>0</v>
      </c>
      <c r="BE543">
        <v>0</v>
      </c>
      <c r="BF543">
        <v>0</v>
      </c>
      <c r="BG543">
        <v>0</v>
      </c>
      <c r="BH543">
        <v>0</v>
      </c>
      <c r="BI543" t="s">
        <v>9</v>
      </c>
      <c r="BJ543">
        <v>0</v>
      </c>
      <c r="BK543">
        <v>1.0747999999999999E-4</v>
      </c>
      <c r="BL543">
        <v>0</v>
      </c>
      <c r="BM543" s="2">
        <f t="shared" si="8"/>
        <v>3.2476959756202207E-7</v>
      </c>
    </row>
    <row r="544" spans="1:65" x14ac:dyDescent="0.35">
      <c r="A544">
        <v>0</v>
      </c>
      <c r="B544" t="s">
        <v>11</v>
      </c>
      <c r="C544" t="s">
        <v>4</v>
      </c>
      <c r="D544">
        <v>0</v>
      </c>
      <c r="E544" t="s">
        <v>3</v>
      </c>
      <c r="F544" t="s">
        <v>5</v>
      </c>
      <c r="G544">
        <v>3437.9553040000001</v>
      </c>
      <c r="H544" t="s">
        <v>4</v>
      </c>
      <c r="I544">
        <v>990.16341899999998</v>
      </c>
      <c r="J544">
        <v>2447.7918850000001</v>
      </c>
      <c r="K544" t="s">
        <v>6</v>
      </c>
      <c r="L544" t="s">
        <v>7</v>
      </c>
      <c r="M544" t="s">
        <v>8</v>
      </c>
      <c r="N544" t="s">
        <v>6</v>
      </c>
      <c r="O544" t="s">
        <v>3</v>
      </c>
      <c r="P544" t="s">
        <v>3</v>
      </c>
      <c r="Q544" t="s">
        <v>3</v>
      </c>
      <c r="R544" t="s">
        <v>3</v>
      </c>
      <c r="S544" t="s">
        <v>11</v>
      </c>
      <c r="T544" t="s">
        <v>7</v>
      </c>
      <c r="U544">
        <v>0</v>
      </c>
      <c r="V544">
        <v>1</v>
      </c>
      <c r="W544">
        <v>0</v>
      </c>
      <c r="X544">
        <v>2</v>
      </c>
      <c r="Y544">
        <v>1</v>
      </c>
      <c r="Z544" t="s">
        <v>18</v>
      </c>
      <c r="AA544" t="s">
        <v>4</v>
      </c>
      <c r="AB544" t="s">
        <v>6</v>
      </c>
      <c r="AC544" t="s">
        <v>7</v>
      </c>
      <c r="AD544" t="s">
        <v>8</v>
      </c>
      <c r="AE544" t="s">
        <v>6</v>
      </c>
      <c r="AF544" t="s">
        <v>3</v>
      </c>
      <c r="AG544" t="s">
        <v>3</v>
      </c>
      <c r="AH544" t="s">
        <v>3</v>
      </c>
      <c r="AI544" t="s">
        <v>3</v>
      </c>
      <c r="AJ544" t="s">
        <v>3</v>
      </c>
      <c r="AK544" t="s">
        <v>7</v>
      </c>
      <c r="AL544">
        <v>0</v>
      </c>
      <c r="AM544">
        <v>0</v>
      </c>
      <c r="AN544">
        <v>0</v>
      </c>
      <c r="AO544">
        <v>0</v>
      </c>
      <c r="AP544">
        <v>0</v>
      </c>
      <c r="AQ544" t="s">
        <v>9</v>
      </c>
      <c r="AR544" s="1">
        <v>1.0093709500000001E-6</v>
      </c>
      <c r="AS544" s="1">
        <v>6.7002199099999999E-30</v>
      </c>
      <c r="AT544">
        <v>26</v>
      </c>
      <c r="AU544" t="s">
        <v>10</v>
      </c>
      <c r="AV544">
        <v>0</v>
      </c>
      <c r="AW544">
        <v>1</v>
      </c>
      <c r="AX544">
        <v>0</v>
      </c>
      <c r="AY544">
        <v>2</v>
      </c>
      <c r="AZ544">
        <v>1</v>
      </c>
      <c r="BA544" t="s">
        <v>18</v>
      </c>
      <c r="BB544" t="s">
        <v>4</v>
      </c>
      <c r="BC544" t="s">
        <v>10</v>
      </c>
      <c r="BD544">
        <v>0</v>
      </c>
      <c r="BE544">
        <v>0</v>
      </c>
      <c r="BF544">
        <v>0</v>
      </c>
      <c r="BG544">
        <v>0</v>
      </c>
      <c r="BH544">
        <v>0</v>
      </c>
      <c r="BI544" t="s">
        <v>9</v>
      </c>
      <c r="BJ544">
        <v>0</v>
      </c>
      <c r="BK544">
        <v>1.0100000000000001E-6</v>
      </c>
      <c r="BL544">
        <v>0</v>
      </c>
      <c r="BM544" s="2">
        <f t="shared" si="8"/>
        <v>4.0349667688983325E-11</v>
      </c>
    </row>
    <row r="545" spans="1:65" x14ac:dyDescent="0.35">
      <c r="A545">
        <v>0</v>
      </c>
      <c r="B545" t="s">
        <v>11</v>
      </c>
      <c r="C545" t="s">
        <v>4</v>
      </c>
      <c r="D545">
        <v>0</v>
      </c>
      <c r="E545" t="s">
        <v>3</v>
      </c>
      <c r="F545" t="s">
        <v>5</v>
      </c>
      <c r="G545">
        <v>4802.1741529999999</v>
      </c>
      <c r="H545" t="s">
        <v>4</v>
      </c>
      <c r="I545">
        <v>990.16341899999998</v>
      </c>
      <c r="J545">
        <v>3812.010734</v>
      </c>
      <c r="K545" t="s">
        <v>6</v>
      </c>
      <c r="L545" t="s">
        <v>7</v>
      </c>
      <c r="M545" t="s">
        <v>8</v>
      </c>
      <c r="N545" t="s">
        <v>6</v>
      </c>
      <c r="O545" t="s">
        <v>3</v>
      </c>
      <c r="P545" t="s">
        <v>3</v>
      </c>
      <c r="Q545" t="s">
        <v>3</v>
      </c>
      <c r="R545" t="s">
        <v>3</v>
      </c>
      <c r="S545" t="s">
        <v>11</v>
      </c>
      <c r="T545" t="s">
        <v>7</v>
      </c>
      <c r="U545">
        <v>2</v>
      </c>
      <c r="V545">
        <v>1</v>
      </c>
      <c r="W545">
        <v>0</v>
      </c>
      <c r="X545">
        <v>1</v>
      </c>
      <c r="Y545">
        <v>0</v>
      </c>
      <c r="Z545" t="s">
        <v>14</v>
      </c>
      <c r="AA545" t="s">
        <v>4</v>
      </c>
      <c r="AB545" t="s">
        <v>6</v>
      </c>
      <c r="AC545" t="s">
        <v>7</v>
      </c>
      <c r="AD545" t="s">
        <v>8</v>
      </c>
      <c r="AE545" t="s">
        <v>6</v>
      </c>
      <c r="AF545" t="s">
        <v>3</v>
      </c>
      <c r="AG545" t="s">
        <v>3</v>
      </c>
      <c r="AH545" t="s">
        <v>3</v>
      </c>
      <c r="AI545" t="s">
        <v>3</v>
      </c>
      <c r="AJ545" t="s">
        <v>3</v>
      </c>
      <c r="AK545" t="s">
        <v>7</v>
      </c>
      <c r="AL545">
        <v>0</v>
      </c>
      <c r="AM545">
        <v>0</v>
      </c>
      <c r="AN545">
        <v>0</v>
      </c>
      <c r="AO545">
        <v>0</v>
      </c>
      <c r="AP545">
        <v>0</v>
      </c>
      <c r="AQ545" t="s">
        <v>9</v>
      </c>
      <c r="AR545" s="1">
        <v>3.8484102599999998E-6</v>
      </c>
      <c r="AS545" s="1">
        <v>1.51681635E-28</v>
      </c>
      <c r="AT545">
        <v>24</v>
      </c>
      <c r="AU545" t="s">
        <v>10</v>
      </c>
      <c r="AV545">
        <v>2</v>
      </c>
      <c r="AW545">
        <v>1</v>
      </c>
      <c r="AX545">
        <v>0</v>
      </c>
      <c r="AY545">
        <v>1</v>
      </c>
      <c r="AZ545">
        <v>0</v>
      </c>
      <c r="BA545" t="s">
        <v>14</v>
      </c>
      <c r="BB545" t="s">
        <v>4</v>
      </c>
      <c r="BC545" t="s">
        <v>10</v>
      </c>
      <c r="BD545">
        <v>0</v>
      </c>
      <c r="BE545">
        <v>0</v>
      </c>
      <c r="BF545">
        <v>0</v>
      </c>
      <c r="BG545">
        <v>0</v>
      </c>
      <c r="BH545">
        <v>0</v>
      </c>
      <c r="BI545" t="s">
        <v>9</v>
      </c>
      <c r="BJ545">
        <v>0</v>
      </c>
      <c r="BK545">
        <v>-3.8500000000000004E-6</v>
      </c>
      <c r="BL545">
        <v>0</v>
      </c>
      <c r="BM545" s="2">
        <f t="shared" si="8"/>
        <v>9.1344816274420783E-10</v>
      </c>
    </row>
    <row r="546" spans="1:65" x14ac:dyDescent="0.35">
      <c r="A546">
        <v>0</v>
      </c>
      <c r="B546" t="s">
        <v>11</v>
      </c>
      <c r="C546" t="s">
        <v>4</v>
      </c>
      <c r="D546">
        <v>0</v>
      </c>
      <c r="E546" t="s">
        <v>3</v>
      </c>
      <c r="F546" t="s">
        <v>5</v>
      </c>
      <c r="G546">
        <v>4437.0775169999997</v>
      </c>
      <c r="H546" t="s">
        <v>4</v>
      </c>
      <c r="I546">
        <v>990.16341899999998</v>
      </c>
      <c r="J546">
        <v>3446.9140980000002</v>
      </c>
      <c r="K546" t="s">
        <v>6</v>
      </c>
      <c r="L546" t="s">
        <v>7</v>
      </c>
      <c r="M546" t="s">
        <v>8</v>
      </c>
      <c r="N546" t="s">
        <v>6</v>
      </c>
      <c r="O546" t="s">
        <v>3</v>
      </c>
      <c r="P546" t="s">
        <v>3</v>
      </c>
      <c r="Q546" t="s">
        <v>3</v>
      </c>
      <c r="R546" t="s">
        <v>3</v>
      </c>
      <c r="S546" t="s">
        <v>11</v>
      </c>
      <c r="T546" t="s">
        <v>7</v>
      </c>
      <c r="U546">
        <v>0</v>
      </c>
      <c r="V546">
        <v>1</v>
      </c>
      <c r="W546">
        <v>0</v>
      </c>
      <c r="X546">
        <v>4</v>
      </c>
      <c r="Y546">
        <v>0</v>
      </c>
      <c r="Z546" t="s">
        <v>13</v>
      </c>
      <c r="AA546" t="s">
        <v>4</v>
      </c>
      <c r="AB546" t="s">
        <v>6</v>
      </c>
      <c r="AC546" t="s">
        <v>7</v>
      </c>
      <c r="AD546" t="s">
        <v>8</v>
      </c>
      <c r="AE546" t="s">
        <v>6</v>
      </c>
      <c r="AF546" t="s">
        <v>3</v>
      </c>
      <c r="AG546" t="s">
        <v>3</v>
      </c>
      <c r="AH546" t="s">
        <v>3</v>
      </c>
      <c r="AI546" t="s">
        <v>3</v>
      </c>
      <c r="AJ546" t="s">
        <v>3</v>
      </c>
      <c r="AK546" t="s">
        <v>7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9</v>
      </c>
      <c r="AR546" s="1">
        <v>1.4103096499999999E-5</v>
      </c>
      <c r="AS546" s="1">
        <v>1.84194032E-27</v>
      </c>
      <c r="AT546">
        <v>9</v>
      </c>
      <c r="AU546" t="s">
        <v>10</v>
      </c>
      <c r="AV546">
        <v>0</v>
      </c>
      <c r="AW546">
        <v>1</v>
      </c>
      <c r="AX546">
        <v>0</v>
      </c>
      <c r="AY546">
        <v>4</v>
      </c>
      <c r="AZ546">
        <v>0</v>
      </c>
      <c r="BA546" t="s">
        <v>13</v>
      </c>
      <c r="BB546" t="s">
        <v>4</v>
      </c>
      <c r="BC546" t="s">
        <v>10</v>
      </c>
      <c r="BD546">
        <v>0</v>
      </c>
      <c r="BE546">
        <v>0</v>
      </c>
      <c r="BF546">
        <v>0</v>
      </c>
      <c r="BG546">
        <v>0</v>
      </c>
      <c r="BH546">
        <v>0</v>
      </c>
      <c r="BI546" t="s">
        <v>9</v>
      </c>
      <c r="BJ546">
        <v>0</v>
      </c>
      <c r="BK546">
        <v>1.4100000000000001E-5</v>
      </c>
      <c r="BL546">
        <v>0</v>
      </c>
      <c r="BM546" s="2">
        <f t="shared" si="8"/>
        <v>1.1092423952237057E-8</v>
      </c>
    </row>
    <row r="547" spans="1:65" x14ac:dyDescent="0.35">
      <c r="A547">
        <v>0</v>
      </c>
      <c r="B547" t="s">
        <v>3</v>
      </c>
      <c r="C547" t="s">
        <v>4</v>
      </c>
      <c r="D547">
        <v>0</v>
      </c>
      <c r="E547" t="s">
        <v>3</v>
      </c>
      <c r="F547" t="s">
        <v>5</v>
      </c>
      <c r="G547">
        <v>4323.640386</v>
      </c>
      <c r="H547" t="s">
        <v>4</v>
      </c>
      <c r="I547">
        <v>990.16341899999998</v>
      </c>
      <c r="J547">
        <v>3333.4769670000001</v>
      </c>
      <c r="K547" t="s">
        <v>6</v>
      </c>
      <c r="L547" t="s">
        <v>7</v>
      </c>
      <c r="M547" t="s">
        <v>8</v>
      </c>
      <c r="N547" t="s">
        <v>6</v>
      </c>
      <c r="O547" t="s">
        <v>3</v>
      </c>
      <c r="P547" t="s">
        <v>3</v>
      </c>
      <c r="Q547" t="s">
        <v>3</v>
      </c>
      <c r="R547" t="s">
        <v>3</v>
      </c>
      <c r="S547" t="s">
        <v>3</v>
      </c>
      <c r="T547" t="s">
        <v>7</v>
      </c>
      <c r="U547">
        <v>2</v>
      </c>
      <c r="V547">
        <v>0</v>
      </c>
      <c r="W547">
        <v>0</v>
      </c>
      <c r="X547">
        <v>4</v>
      </c>
      <c r="Y547">
        <v>0</v>
      </c>
      <c r="Z547" t="s">
        <v>15</v>
      </c>
      <c r="AA547" t="s">
        <v>4</v>
      </c>
      <c r="AB547" t="s">
        <v>6</v>
      </c>
      <c r="AC547" t="s">
        <v>7</v>
      </c>
      <c r="AD547" t="s">
        <v>8</v>
      </c>
      <c r="AE547" t="s">
        <v>6</v>
      </c>
      <c r="AF547" t="s">
        <v>3</v>
      </c>
      <c r="AG547" t="s">
        <v>3</v>
      </c>
      <c r="AH547" t="s">
        <v>3</v>
      </c>
      <c r="AI547" t="s">
        <v>3</v>
      </c>
      <c r="AJ547" t="s">
        <v>3</v>
      </c>
      <c r="AK547" t="s">
        <v>7</v>
      </c>
      <c r="AL547">
        <v>0</v>
      </c>
      <c r="AM547">
        <v>0</v>
      </c>
      <c r="AN547">
        <v>0</v>
      </c>
      <c r="AO547">
        <v>0</v>
      </c>
      <c r="AP547">
        <v>0</v>
      </c>
      <c r="AQ547" t="s">
        <v>9</v>
      </c>
      <c r="AR547" s="1">
        <v>4.51857029E-5</v>
      </c>
      <c r="AS547" s="1">
        <v>1.8285871399999999E-26</v>
      </c>
      <c r="AT547">
        <v>23</v>
      </c>
      <c r="AU547" t="s">
        <v>10</v>
      </c>
      <c r="AV547">
        <v>2</v>
      </c>
      <c r="AW547">
        <v>0</v>
      </c>
      <c r="AX547">
        <v>0</v>
      </c>
      <c r="AY547">
        <v>4</v>
      </c>
      <c r="AZ547">
        <v>0</v>
      </c>
      <c r="BA547" t="s">
        <v>15</v>
      </c>
      <c r="BB547" t="s">
        <v>4</v>
      </c>
      <c r="BC547" t="s">
        <v>10</v>
      </c>
      <c r="BD547">
        <v>0</v>
      </c>
      <c r="BE547">
        <v>0</v>
      </c>
      <c r="BF547">
        <v>0</v>
      </c>
      <c r="BG547">
        <v>0</v>
      </c>
      <c r="BH547">
        <v>0</v>
      </c>
      <c r="BI547" t="s">
        <v>9</v>
      </c>
      <c r="BJ547">
        <v>3.2070000000000003E-5</v>
      </c>
      <c r="BK547">
        <v>0</v>
      </c>
      <c r="BL547">
        <v>-3.184E-5</v>
      </c>
      <c r="BM547" s="2">
        <f t="shared" si="8"/>
        <v>1.1012009222149313E-7</v>
      </c>
    </row>
    <row r="548" spans="1:65" x14ac:dyDescent="0.35">
      <c r="A548">
        <v>0</v>
      </c>
      <c r="B548" t="s">
        <v>11</v>
      </c>
      <c r="C548" t="s">
        <v>4</v>
      </c>
      <c r="D548">
        <v>0</v>
      </c>
      <c r="E548" t="s">
        <v>3</v>
      </c>
      <c r="F548" t="s">
        <v>5</v>
      </c>
      <c r="G548">
        <v>3263.6759219999999</v>
      </c>
      <c r="H548" t="s">
        <v>4</v>
      </c>
      <c r="I548">
        <v>990.16341899999998</v>
      </c>
      <c r="J548">
        <v>2273.5125029999999</v>
      </c>
      <c r="K548" t="s">
        <v>6</v>
      </c>
      <c r="L548" t="s">
        <v>7</v>
      </c>
      <c r="M548" t="s">
        <v>8</v>
      </c>
      <c r="N548" t="s">
        <v>6</v>
      </c>
      <c r="O548" t="s">
        <v>3</v>
      </c>
      <c r="P548" t="s">
        <v>3</v>
      </c>
      <c r="Q548" t="s">
        <v>3</v>
      </c>
      <c r="R548" t="s">
        <v>3</v>
      </c>
      <c r="S548" t="s">
        <v>11</v>
      </c>
      <c r="T548" t="s">
        <v>7</v>
      </c>
      <c r="U548">
        <v>0</v>
      </c>
      <c r="V548">
        <v>0</v>
      </c>
      <c r="W548">
        <v>0</v>
      </c>
      <c r="X548">
        <v>1</v>
      </c>
      <c r="Y548">
        <v>0</v>
      </c>
      <c r="Z548" t="s">
        <v>23</v>
      </c>
      <c r="AA548" t="s">
        <v>4</v>
      </c>
      <c r="AB548" t="s">
        <v>6</v>
      </c>
      <c r="AC548" t="s">
        <v>7</v>
      </c>
      <c r="AD548" t="s">
        <v>8</v>
      </c>
      <c r="AE548" t="s">
        <v>6</v>
      </c>
      <c r="AF548" t="s">
        <v>3</v>
      </c>
      <c r="AG548" t="s">
        <v>3</v>
      </c>
      <c r="AH548" t="s">
        <v>3</v>
      </c>
      <c r="AI548" t="s">
        <v>3</v>
      </c>
      <c r="AJ548" t="s">
        <v>3</v>
      </c>
      <c r="AK548" t="s">
        <v>7</v>
      </c>
      <c r="AL548">
        <v>0</v>
      </c>
      <c r="AM548">
        <v>0</v>
      </c>
      <c r="AN548">
        <v>0</v>
      </c>
      <c r="AO548">
        <v>0</v>
      </c>
      <c r="AP548">
        <v>0</v>
      </c>
      <c r="AQ548" t="s">
        <v>9</v>
      </c>
      <c r="AR548" s="1">
        <v>3.5690851099999998E-4</v>
      </c>
      <c r="AS548" s="1">
        <v>7.7807219400000003E-25</v>
      </c>
      <c r="AT548">
        <v>26</v>
      </c>
      <c r="AU548" t="s">
        <v>10</v>
      </c>
      <c r="AV548">
        <v>0</v>
      </c>
      <c r="AW548">
        <v>0</v>
      </c>
      <c r="AX548">
        <v>0</v>
      </c>
      <c r="AY548">
        <v>1</v>
      </c>
      <c r="AZ548">
        <v>0</v>
      </c>
      <c r="BA548" t="s">
        <v>23</v>
      </c>
      <c r="BB548" t="s">
        <v>4</v>
      </c>
      <c r="BC548" t="s">
        <v>10</v>
      </c>
      <c r="BD548">
        <v>0</v>
      </c>
      <c r="BE548">
        <v>0</v>
      </c>
      <c r="BF548">
        <v>0</v>
      </c>
      <c r="BG548">
        <v>0</v>
      </c>
      <c r="BH548">
        <v>0</v>
      </c>
      <c r="BI548" t="s">
        <v>9</v>
      </c>
      <c r="BJ548">
        <v>0</v>
      </c>
      <c r="BK548">
        <v>-3.5691E-4</v>
      </c>
      <c r="BL548">
        <v>0</v>
      </c>
      <c r="BM548" s="2">
        <f t="shared" si="8"/>
        <v>4.6856603048329153E-6</v>
      </c>
    </row>
    <row r="549" spans="1:65" x14ac:dyDescent="0.35">
      <c r="A549">
        <v>0</v>
      </c>
      <c r="B549" t="s">
        <v>3</v>
      </c>
      <c r="C549" t="s">
        <v>4</v>
      </c>
      <c r="D549">
        <v>0</v>
      </c>
      <c r="E549" t="s">
        <v>3</v>
      </c>
      <c r="F549" t="s">
        <v>5</v>
      </c>
      <c r="G549">
        <v>4747.9438689999997</v>
      </c>
      <c r="H549" t="s">
        <v>4</v>
      </c>
      <c r="I549">
        <v>990.16341899999998</v>
      </c>
      <c r="J549">
        <v>3757.7804500000002</v>
      </c>
      <c r="K549" t="s">
        <v>6</v>
      </c>
      <c r="L549" t="s">
        <v>7</v>
      </c>
      <c r="M549" t="s">
        <v>8</v>
      </c>
      <c r="N549" t="s">
        <v>6</v>
      </c>
      <c r="O549" t="s">
        <v>3</v>
      </c>
      <c r="P549" t="s">
        <v>3</v>
      </c>
      <c r="Q549" t="s">
        <v>3</v>
      </c>
      <c r="R549" t="s">
        <v>3</v>
      </c>
      <c r="S549" t="s">
        <v>3</v>
      </c>
      <c r="T549" t="s">
        <v>7</v>
      </c>
      <c r="U549">
        <v>0</v>
      </c>
      <c r="V549">
        <v>1</v>
      </c>
      <c r="W549">
        <v>0</v>
      </c>
      <c r="X549">
        <v>1</v>
      </c>
      <c r="Y549">
        <v>1</v>
      </c>
      <c r="Z549" t="s">
        <v>24</v>
      </c>
      <c r="AA549" t="s">
        <v>4</v>
      </c>
      <c r="AB549" t="s">
        <v>6</v>
      </c>
      <c r="AC549" t="s">
        <v>7</v>
      </c>
      <c r="AD549" t="s">
        <v>8</v>
      </c>
      <c r="AE549" t="s">
        <v>6</v>
      </c>
      <c r="AF549" t="s">
        <v>3</v>
      </c>
      <c r="AG549" t="s">
        <v>3</v>
      </c>
      <c r="AH549" t="s">
        <v>3</v>
      </c>
      <c r="AI549" t="s">
        <v>3</v>
      </c>
      <c r="AJ549" t="s">
        <v>3</v>
      </c>
      <c r="AK549" t="s">
        <v>7</v>
      </c>
      <c r="AL549">
        <v>0</v>
      </c>
      <c r="AM549">
        <v>0</v>
      </c>
      <c r="AN549">
        <v>0</v>
      </c>
      <c r="AO549">
        <v>0</v>
      </c>
      <c r="AP549">
        <v>0</v>
      </c>
      <c r="AQ549" t="s">
        <v>9</v>
      </c>
      <c r="AR549" s="1">
        <v>6.7325736400000003E-5</v>
      </c>
      <c r="AS549" s="1">
        <v>4.5762504599999999E-26</v>
      </c>
      <c r="AT549">
        <v>23</v>
      </c>
      <c r="AU549" t="s">
        <v>10</v>
      </c>
      <c r="AV549">
        <v>0</v>
      </c>
      <c r="AW549">
        <v>1</v>
      </c>
      <c r="AX549">
        <v>0</v>
      </c>
      <c r="AY549">
        <v>1</v>
      </c>
      <c r="AZ549">
        <v>1</v>
      </c>
      <c r="BA549" t="s">
        <v>24</v>
      </c>
      <c r="BB549" t="s">
        <v>4</v>
      </c>
      <c r="BC549" t="s">
        <v>10</v>
      </c>
      <c r="BD549">
        <v>0</v>
      </c>
      <c r="BE549">
        <v>0</v>
      </c>
      <c r="BF549">
        <v>0</v>
      </c>
      <c r="BG549">
        <v>0</v>
      </c>
      <c r="BH549">
        <v>0</v>
      </c>
      <c r="BI549" t="s">
        <v>9</v>
      </c>
      <c r="BJ549">
        <v>5.2070000000000001E-5</v>
      </c>
      <c r="BK549">
        <v>0</v>
      </c>
      <c r="BL549">
        <v>-4.2670000000000003E-5</v>
      </c>
      <c r="BM549" s="2">
        <f t="shared" si="8"/>
        <v>2.7558824606184763E-7</v>
      </c>
    </row>
    <row r="550" spans="1:65" x14ac:dyDescent="0.35">
      <c r="A550">
        <v>0</v>
      </c>
      <c r="B550" t="s">
        <v>3</v>
      </c>
      <c r="C550" t="s">
        <v>4</v>
      </c>
      <c r="D550">
        <v>0</v>
      </c>
      <c r="E550" t="s">
        <v>3</v>
      </c>
      <c r="F550" t="s">
        <v>5</v>
      </c>
      <c r="G550">
        <v>3051.7800430000002</v>
      </c>
      <c r="H550" t="s">
        <v>4</v>
      </c>
      <c r="I550">
        <v>990.16341899999998</v>
      </c>
      <c r="J550">
        <v>2061.6166239999998</v>
      </c>
      <c r="K550" t="s">
        <v>6</v>
      </c>
      <c r="L550" t="s">
        <v>7</v>
      </c>
      <c r="M550" t="s">
        <v>8</v>
      </c>
      <c r="N550" t="s">
        <v>6</v>
      </c>
      <c r="O550" t="s">
        <v>3</v>
      </c>
      <c r="P550" t="s">
        <v>3</v>
      </c>
      <c r="Q550" t="s">
        <v>3</v>
      </c>
      <c r="R550" t="s">
        <v>3</v>
      </c>
      <c r="S550" t="s">
        <v>3</v>
      </c>
      <c r="T550" t="s">
        <v>7</v>
      </c>
      <c r="U550">
        <v>0</v>
      </c>
      <c r="V550">
        <v>0</v>
      </c>
      <c r="W550">
        <v>0</v>
      </c>
      <c r="X550">
        <v>5</v>
      </c>
      <c r="Y550">
        <v>0</v>
      </c>
      <c r="Z550" t="s">
        <v>15</v>
      </c>
      <c r="AA550" t="s">
        <v>4</v>
      </c>
      <c r="AB550" t="s">
        <v>6</v>
      </c>
      <c r="AC550" t="s">
        <v>7</v>
      </c>
      <c r="AD550" t="s">
        <v>8</v>
      </c>
      <c r="AE550" t="s">
        <v>6</v>
      </c>
      <c r="AF550" t="s">
        <v>3</v>
      </c>
      <c r="AG550" t="s">
        <v>3</v>
      </c>
      <c r="AH550" t="s">
        <v>3</v>
      </c>
      <c r="AI550" t="s">
        <v>3</v>
      </c>
      <c r="AJ550" t="s">
        <v>3</v>
      </c>
      <c r="AK550" t="s">
        <v>7</v>
      </c>
      <c r="AL550">
        <v>0</v>
      </c>
      <c r="AM550">
        <v>0</v>
      </c>
      <c r="AN550">
        <v>0</v>
      </c>
      <c r="AO550">
        <v>0</v>
      </c>
      <c r="AP550">
        <v>0</v>
      </c>
      <c r="AQ550" t="s">
        <v>9</v>
      </c>
      <c r="AR550" s="1">
        <v>1.9502224E-5</v>
      </c>
      <c r="AS550" s="1">
        <v>2.10654963E-27</v>
      </c>
      <c r="AT550">
        <v>24</v>
      </c>
      <c r="AU550" t="s">
        <v>10</v>
      </c>
      <c r="AV550">
        <v>0</v>
      </c>
      <c r="AW550">
        <v>0</v>
      </c>
      <c r="AX550">
        <v>0</v>
      </c>
      <c r="AY550">
        <v>5</v>
      </c>
      <c r="AZ550">
        <v>0</v>
      </c>
      <c r="BA550" t="s">
        <v>15</v>
      </c>
      <c r="BB550" t="s">
        <v>4</v>
      </c>
      <c r="BC550" t="s">
        <v>10</v>
      </c>
      <c r="BD550">
        <v>0</v>
      </c>
      <c r="BE550">
        <v>0</v>
      </c>
      <c r="BF550">
        <v>0</v>
      </c>
      <c r="BG550">
        <v>0</v>
      </c>
      <c r="BH550">
        <v>0</v>
      </c>
      <c r="BI550" t="s">
        <v>9</v>
      </c>
      <c r="BJ550">
        <v>6.4000000000000001E-7</v>
      </c>
      <c r="BK550">
        <v>0</v>
      </c>
      <c r="BL550">
        <v>-1.9490000000000001E-5</v>
      </c>
      <c r="BM550" s="2">
        <f t="shared" si="8"/>
        <v>1.2685938474047904E-8</v>
      </c>
    </row>
    <row r="551" spans="1:65" x14ac:dyDescent="0.35">
      <c r="A551">
        <v>0</v>
      </c>
      <c r="B551" t="s">
        <v>11</v>
      </c>
      <c r="C551" t="s">
        <v>4</v>
      </c>
      <c r="D551">
        <v>0</v>
      </c>
      <c r="E551" t="s">
        <v>3</v>
      </c>
      <c r="F551" t="s">
        <v>5</v>
      </c>
      <c r="G551">
        <v>4978.0943740000002</v>
      </c>
      <c r="H551" t="s">
        <v>4</v>
      </c>
      <c r="I551">
        <v>990.16341899999998</v>
      </c>
      <c r="J551">
        <v>3987.9309549999998</v>
      </c>
      <c r="K551" t="s">
        <v>6</v>
      </c>
      <c r="L551" t="s">
        <v>7</v>
      </c>
      <c r="M551" t="s">
        <v>8</v>
      </c>
      <c r="N551" t="s">
        <v>6</v>
      </c>
      <c r="O551" t="s">
        <v>3</v>
      </c>
      <c r="P551" t="s">
        <v>3</v>
      </c>
      <c r="Q551" t="s">
        <v>3</v>
      </c>
      <c r="R551" t="s">
        <v>3</v>
      </c>
      <c r="S551" t="s">
        <v>11</v>
      </c>
      <c r="T551" t="s">
        <v>7</v>
      </c>
      <c r="U551">
        <v>1</v>
      </c>
      <c r="V551">
        <v>0</v>
      </c>
      <c r="W551">
        <v>0</v>
      </c>
      <c r="X551">
        <v>8</v>
      </c>
      <c r="Y551">
        <v>0</v>
      </c>
      <c r="Z551" t="s">
        <v>18</v>
      </c>
      <c r="AA551" t="s">
        <v>4</v>
      </c>
      <c r="AB551" t="s">
        <v>6</v>
      </c>
      <c r="AC551" t="s">
        <v>7</v>
      </c>
      <c r="AD551" t="s">
        <v>8</v>
      </c>
      <c r="AE551" t="s">
        <v>6</v>
      </c>
      <c r="AF551" t="s">
        <v>3</v>
      </c>
      <c r="AG551" t="s">
        <v>3</v>
      </c>
      <c r="AH551" t="s">
        <v>3</v>
      </c>
      <c r="AI551" t="s">
        <v>3</v>
      </c>
      <c r="AJ551" t="s">
        <v>3</v>
      </c>
      <c r="AK551" t="s">
        <v>7</v>
      </c>
      <c r="AL551">
        <v>0</v>
      </c>
      <c r="AM551">
        <v>0</v>
      </c>
      <c r="AN551">
        <v>0</v>
      </c>
      <c r="AO551">
        <v>0</v>
      </c>
      <c r="AP551">
        <v>0</v>
      </c>
      <c r="AQ551" t="s">
        <v>9</v>
      </c>
      <c r="AR551" s="1">
        <v>4.1512140999999997E-5</v>
      </c>
      <c r="AS551" s="1">
        <v>1.8463501099999999E-26</v>
      </c>
      <c r="AT551">
        <v>24</v>
      </c>
      <c r="AU551" t="s">
        <v>10</v>
      </c>
      <c r="AV551">
        <v>1</v>
      </c>
      <c r="AW551">
        <v>0</v>
      </c>
      <c r="AX551">
        <v>0</v>
      </c>
      <c r="AY551">
        <v>8</v>
      </c>
      <c r="AZ551">
        <v>0</v>
      </c>
      <c r="BA551" t="s">
        <v>18</v>
      </c>
      <c r="BB551" t="s">
        <v>4</v>
      </c>
      <c r="BC551" t="s">
        <v>10</v>
      </c>
      <c r="BD551">
        <v>0</v>
      </c>
      <c r="BE551">
        <v>0</v>
      </c>
      <c r="BF551">
        <v>0</v>
      </c>
      <c r="BG551">
        <v>0</v>
      </c>
      <c r="BH551">
        <v>0</v>
      </c>
      <c r="BI551" t="s">
        <v>9</v>
      </c>
      <c r="BJ551">
        <v>0</v>
      </c>
      <c r="BK551">
        <v>4.1510000000000001E-5</v>
      </c>
      <c r="BL551">
        <v>0</v>
      </c>
      <c r="BM551" s="2">
        <f t="shared" si="8"/>
        <v>1.1118980328515486E-7</v>
      </c>
    </row>
    <row r="552" spans="1:65" x14ac:dyDescent="0.35">
      <c r="A552">
        <v>0</v>
      </c>
      <c r="B552" t="s">
        <v>3</v>
      </c>
      <c r="C552" t="s">
        <v>4</v>
      </c>
      <c r="D552">
        <v>0</v>
      </c>
      <c r="E552" t="s">
        <v>3</v>
      </c>
      <c r="F552" t="s">
        <v>5</v>
      </c>
      <c r="G552">
        <v>1847.8210349999999</v>
      </c>
      <c r="H552" t="s">
        <v>4</v>
      </c>
      <c r="I552">
        <v>990.16341899999998</v>
      </c>
      <c r="J552">
        <v>857.65761599999996</v>
      </c>
      <c r="K552" t="s">
        <v>6</v>
      </c>
      <c r="L552" t="s">
        <v>7</v>
      </c>
      <c r="M552" t="s">
        <v>8</v>
      </c>
      <c r="N552" t="s">
        <v>6</v>
      </c>
      <c r="O552" t="s">
        <v>3</v>
      </c>
      <c r="P552" t="s">
        <v>3</v>
      </c>
      <c r="Q552" t="s">
        <v>3</v>
      </c>
      <c r="R552" t="s">
        <v>3</v>
      </c>
      <c r="S552" t="s">
        <v>3</v>
      </c>
      <c r="T552" t="s">
        <v>7</v>
      </c>
      <c r="U552">
        <v>0</v>
      </c>
      <c r="V552">
        <v>0</v>
      </c>
      <c r="W552">
        <v>0</v>
      </c>
      <c r="X552">
        <v>2</v>
      </c>
      <c r="Y552">
        <v>0</v>
      </c>
      <c r="Z552" t="s">
        <v>15</v>
      </c>
      <c r="AA552" t="s">
        <v>4</v>
      </c>
      <c r="AB552" t="s">
        <v>6</v>
      </c>
      <c r="AC552" t="s">
        <v>7</v>
      </c>
      <c r="AD552" t="s">
        <v>8</v>
      </c>
      <c r="AE552" t="s">
        <v>6</v>
      </c>
      <c r="AF552" t="s">
        <v>3</v>
      </c>
      <c r="AG552" t="s">
        <v>3</v>
      </c>
      <c r="AH552" t="s">
        <v>3</v>
      </c>
      <c r="AI552" t="s">
        <v>3</v>
      </c>
      <c r="AJ552" t="s">
        <v>3</v>
      </c>
      <c r="AK552" t="s">
        <v>7</v>
      </c>
      <c r="AL552">
        <v>0</v>
      </c>
      <c r="AM552">
        <v>0</v>
      </c>
      <c r="AN552">
        <v>0</v>
      </c>
      <c r="AO552">
        <v>0</v>
      </c>
      <c r="AP552">
        <v>0</v>
      </c>
      <c r="AQ552" t="s">
        <v>9</v>
      </c>
      <c r="AR552" s="1">
        <v>6.4894883400000002E-3</v>
      </c>
      <c r="AS552" s="1">
        <v>9.5496192500000001E-23</v>
      </c>
      <c r="AT552">
        <v>27</v>
      </c>
      <c r="AU552" t="s">
        <v>10</v>
      </c>
      <c r="AV552">
        <v>0</v>
      </c>
      <c r="AW552">
        <v>0</v>
      </c>
      <c r="AX552">
        <v>0</v>
      </c>
      <c r="AY552">
        <v>2</v>
      </c>
      <c r="AZ552">
        <v>0</v>
      </c>
      <c r="BA552" t="s">
        <v>15</v>
      </c>
      <c r="BB552" t="s">
        <v>4</v>
      </c>
      <c r="BC552" t="s">
        <v>10</v>
      </c>
      <c r="BD552">
        <v>0</v>
      </c>
      <c r="BE552">
        <v>0</v>
      </c>
      <c r="BF552">
        <v>0</v>
      </c>
      <c r="BG552">
        <v>0</v>
      </c>
      <c r="BH552">
        <v>0</v>
      </c>
      <c r="BI552" t="s">
        <v>9</v>
      </c>
      <c r="BJ552">
        <v>-8.9207999999999996E-4</v>
      </c>
      <c r="BK552">
        <v>0</v>
      </c>
      <c r="BL552">
        <v>-6.4278800000000004E-3</v>
      </c>
      <c r="BM552" s="2">
        <f t="shared" si="8"/>
        <v>5.7509151709890397E-4</v>
      </c>
    </row>
    <row r="553" spans="1:65" x14ac:dyDescent="0.35">
      <c r="A553">
        <v>0</v>
      </c>
      <c r="B553" t="s">
        <v>3</v>
      </c>
      <c r="C553" t="s">
        <v>4</v>
      </c>
      <c r="D553">
        <v>0</v>
      </c>
      <c r="E553" t="s">
        <v>3</v>
      </c>
      <c r="F553" t="s">
        <v>5</v>
      </c>
      <c r="G553">
        <v>4243.4551520000005</v>
      </c>
      <c r="H553" t="s">
        <v>4</v>
      </c>
      <c r="I553">
        <v>990.16341899999998</v>
      </c>
      <c r="J553">
        <v>3253.291733</v>
      </c>
      <c r="K553" t="s">
        <v>6</v>
      </c>
      <c r="L553" t="s">
        <v>7</v>
      </c>
      <c r="M553" t="s">
        <v>8</v>
      </c>
      <c r="N553" t="s">
        <v>6</v>
      </c>
      <c r="O553" t="s">
        <v>3</v>
      </c>
      <c r="P553" t="s">
        <v>3</v>
      </c>
      <c r="Q553" t="s">
        <v>3</v>
      </c>
      <c r="R553" t="s">
        <v>3</v>
      </c>
      <c r="S553" t="s">
        <v>3</v>
      </c>
      <c r="T553" t="s">
        <v>7</v>
      </c>
      <c r="U553">
        <v>2</v>
      </c>
      <c r="V553">
        <v>0</v>
      </c>
      <c r="W553">
        <v>0</v>
      </c>
      <c r="X553">
        <v>6</v>
      </c>
      <c r="Y553">
        <v>0</v>
      </c>
      <c r="Z553" t="s">
        <v>8</v>
      </c>
      <c r="AA553" t="s">
        <v>4</v>
      </c>
      <c r="AB553" t="s">
        <v>6</v>
      </c>
      <c r="AC553" t="s">
        <v>7</v>
      </c>
      <c r="AD553" t="s">
        <v>8</v>
      </c>
      <c r="AE553" t="s">
        <v>6</v>
      </c>
      <c r="AF553" t="s">
        <v>3</v>
      </c>
      <c r="AG553" t="s">
        <v>3</v>
      </c>
      <c r="AH553" t="s">
        <v>3</v>
      </c>
      <c r="AI553" t="s">
        <v>3</v>
      </c>
      <c r="AJ553" t="s">
        <v>3</v>
      </c>
      <c r="AK553" t="s">
        <v>7</v>
      </c>
      <c r="AL553">
        <v>0</v>
      </c>
      <c r="AM553">
        <v>0</v>
      </c>
      <c r="AN553">
        <v>0</v>
      </c>
      <c r="AO553">
        <v>0</v>
      </c>
      <c r="AP553">
        <v>0</v>
      </c>
      <c r="AQ553" t="s">
        <v>9</v>
      </c>
      <c r="AR553" s="1">
        <v>4.0109329399999998E-5</v>
      </c>
      <c r="AS553" s="1">
        <v>1.4061443600000001E-26</v>
      </c>
      <c r="AT553">
        <v>23</v>
      </c>
      <c r="AU553" t="s">
        <v>10</v>
      </c>
      <c r="AV553">
        <v>2</v>
      </c>
      <c r="AW553">
        <v>0</v>
      </c>
      <c r="AX553">
        <v>0</v>
      </c>
      <c r="AY553">
        <v>6</v>
      </c>
      <c r="AZ553">
        <v>0</v>
      </c>
      <c r="BA553" t="s">
        <v>8</v>
      </c>
      <c r="BB553" t="s">
        <v>4</v>
      </c>
      <c r="BC553" t="s">
        <v>10</v>
      </c>
      <c r="BD553">
        <v>0</v>
      </c>
      <c r="BE553">
        <v>0</v>
      </c>
      <c r="BF553">
        <v>0</v>
      </c>
      <c r="BG553">
        <v>0</v>
      </c>
      <c r="BH553">
        <v>0</v>
      </c>
      <c r="BI553" t="s">
        <v>9</v>
      </c>
      <c r="BJ553">
        <v>3.9069999999999997E-5</v>
      </c>
      <c r="BK553">
        <v>0</v>
      </c>
      <c r="BL553">
        <v>9.0599999999999997E-6</v>
      </c>
      <c r="BM553" s="2">
        <f t="shared" si="8"/>
        <v>8.4679993210458877E-8</v>
      </c>
    </row>
    <row r="554" spans="1:65" x14ac:dyDescent="0.35">
      <c r="A554">
        <v>0</v>
      </c>
      <c r="B554" t="s">
        <v>3</v>
      </c>
      <c r="C554" t="s">
        <v>4</v>
      </c>
      <c r="D554">
        <v>0</v>
      </c>
      <c r="E554" t="s">
        <v>3</v>
      </c>
      <c r="F554" t="s">
        <v>5</v>
      </c>
      <c r="G554">
        <v>4391.5987699999996</v>
      </c>
      <c r="H554" t="s">
        <v>4</v>
      </c>
      <c r="I554">
        <v>990.16341899999998</v>
      </c>
      <c r="J554">
        <v>3401.4353510000001</v>
      </c>
      <c r="K554" t="s">
        <v>6</v>
      </c>
      <c r="L554" t="s">
        <v>7</v>
      </c>
      <c r="M554" t="s">
        <v>8</v>
      </c>
      <c r="N554" t="s">
        <v>6</v>
      </c>
      <c r="O554" t="s">
        <v>3</v>
      </c>
      <c r="P554" t="s">
        <v>3</v>
      </c>
      <c r="Q554" t="s">
        <v>3</v>
      </c>
      <c r="R554" t="s">
        <v>3</v>
      </c>
      <c r="S554" t="s">
        <v>3</v>
      </c>
      <c r="T554" t="s">
        <v>7</v>
      </c>
      <c r="U554">
        <v>4</v>
      </c>
      <c r="V554">
        <v>0</v>
      </c>
      <c r="W554">
        <v>0</v>
      </c>
      <c r="X554">
        <v>0</v>
      </c>
      <c r="Y554">
        <v>0</v>
      </c>
      <c r="Z554" t="s">
        <v>15</v>
      </c>
      <c r="AA554" t="s">
        <v>4</v>
      </c>
      <c r="AB554" t="s">
        <v>6</v>
      </c>
      <c r="AC554" t="s">
        <v>7</v>
      </c>
      <c r="AD554" t="s">
        <v>8</v>
      </c>
      <c r="AE554" t="s">
        <v>6</v>
      </c>
      <c r="AF554" t="s">
        <v>3</v>
      </c>
      <c r="AG554" t="s">
        <v>3</v>
      </c>
      <c r="AH554" t="s">
        <v>3</v>
      </c>
      <c r="AI554" t="s">
        <v>3</v>
      </c>
      <c r="AJ554" t="s">
        <v>3</v>
      </c>
      <c r="AK554" t="s">
        <v>7</v>
      </c>
      <c r="AL554">
        <v>0</v>
      </c>
      <c r="AM554">
        <v>0</v>
      </c>
      <c r="AN554">
        <v>0</v>
      </c>
      <c r="AO554">
        <v>0</v>
      </c>
      <c r="AP554">
        <v>0</v>
      </c>
      <c r="AQ554" t="s">
        <v>9</v>
      </c>
      <c r="AR554" s="1">
        <v>1.0094995800000001E-4</v>
      </c>
      <c r="AS554" s="1">
        <v>9.3130222200000002E-26</v>
      </c>
      <c r="AT554">
        <v>23</v>
      </c>
      <c r="AU554" t="s">
        <v>10</v>
      </c>
      <c r="AV554">
        <v>4</v>
      </c>
      <c r="AW554">
        <v>0</v>
      </c>
      <c r="AX554">
        <v>0</v>
      </c>
      <c r="AY554">
        <v>0</v>
      </c>
      <c r="AZ554">
        <v>0</v>
      </c>
      <c r="BA554" t="s">
        <v>15</v>
      </c>
      <c r="BB554" t="s">
        <v>4</v>
      </c>
      <c r="BC554" t="s">
        <v>10</v>
      </c>
      <c r="BD554">
        <v>0</v>
      </c>
      <c r="BE554">
        <v>0</v>
      </c>
      <c r="BF554">
        <v>0</v>
      </c>
      <c r="BG554">
        <v>0</v>
      </c>
      <c r="BH554">
        <v>0</v>
      </c>
      <c r="BI554" t="s">
        <v>9</v>
      </c>
      <c r="BJ554">
        <v>-9.8380000000000003E-5</v>
      </c>
      <c r="BK554">
        <v>0</v>
      </c>
      <c r="BL554">
        <v>-2.264E-5</v>
      </c>
      <c r="BM554" s="2">
        <f t="shared" si="8"/>
        <v>5.6084331082368573E-7</v>
      </c>
    </row>
    <row r="555" spans="1:65" x14ac:dyDescent="0.35">
      <c r="A555">
        <v>0</v>
      </c>
      <c r="B555" t="s">
        <v>3</v>
      </c>
      <c r="C555" t="s">
        <v>4</v>
      </c>
      <c r="D555">
        <v>0</v>
      </c>
      <c r="E555" t="s">
        <v>3</v>
      </c>
      <c r="F555" t="s">
        <v>5</v>
      </c>
      <c r="G555">
        <v>4911.3928139999998</v>
      </c>
      <c r="H555" t="s">
        <v>4</v>
      </c>
      <c r="I555">
        <v>990.16341899999998</v>
      </c>
      <c r="J555">
        <v>3921.2293949999998</v>
      </c>
      <c r="K555" t="s">
        <v>6</v>
      </c>
      <c r="L555" t="s">
        <v>7</v>
      </c>
      <c r="M555" t="s">
        <v>8</v>
      </c>
      <c r="N555" t="s">
        <v>6</v>
      </c>
      <c r="O555" t="s">
        <v>3</v>
      </c>
      <c r="P555" t="s">
        <v>3</v>
      </c>
      <c r="Q555" t="s">
        <v>3</v>
      </c>
      <c r="R555" t="s">
        <v>3</v>
      </c>
      <c r="S555" t="s">
        <v>3</v>
      </c>
      <c r="T555" t="s">
        <v>7</v>
      </c>
      <c r="U555">
        <v>2</v>
      </c>
      <c r="V555">
        <v>0</v>
      </c>
      <c r="W555">
        <v>0</v>
      </c>
      <c r="X555">
        <v>1</v>
      </c>
      <c r="Y555">
        <v>0</v>
      </c>
      <c r="Z555" t="s">
        <v>22</v>
      </c>
      <c r="AA555" t="s">
        <v>4</v>
      </c>
      <c r="AB555" t="s">
        <v>6</v>
      </c>
      <c r="AC555" t="s">
        <v>7</v>
      </c>
      <c r="AD555" t="s">
        <v>8</v>
      </c>
      <c r="AE555" t="s">
        <v>6</v>
      </c>
      <c r="AF555" t="s">
        <v>3</v>
      </c>
      <c r="AG555" t="s">
        <v>3</v>
      </c>
      <c r="AH555" t="s">
        <v>3</v>
      </c>
      <c r="AI555" t="s">
        <v>3</v>
      </c>
      <c r="AJ555" t="s">
        <v>3</v>
      </c>
      <c r="AK555" t="s">
        <v>7</v>
      </c>
      <c r="AL555">
        <v>0</v>
      </c>
      <c r="AM555">
        <v>0</v>
      </c>
      <c r="AN555">
        <v>0</v>
      </c>
      <c r="AO555">
        <v>0</v>
      </c>
      <c r="AP555">
        <v>0</v>
      </c>
      <c r="AQ555" t="s">
        <v>9</v>
      </c>
      <c r="AR555" s="1">
        <v>1.0712681599999999E-5</v>
      </c>
      <c r="AS555" s="1">
        <v>1.20902368E-27</v>
      </c>
      <c r="AT555">
        <v>24</v>
      </c>
      <c r="AU555" t="s">
        <v>10</v>
      </c>
      <c r="AV555">
        <v>2</v>
      </c>
      <c r="AW555">
        <v>0</v>
      </c>
      <c r="AX555">
        <v>0</v>
      </c>
      <c r="AY555">
        <v>1</v>
      </c>
      <c r="AZ555">
        <v>0</v>
      </c>
      <c r="BA555" t="s">
        <v>22</v>
      </c>
      <c r="BB555" t="s">
        <v>4</v>
      </c>
      <c r="BC555" t="s">
        <v>10</v>
      </c>
      <c r="BD555">
        <v>0</v>
      </c>
      <c r="BE555">
        <v>0</v>
      </c>
      <c r="BF555">
        <v>0</v>
      </c>
      <c r="BG555">
        <v>0</v>
      </c>
      <c r="BH555">
        <v>0</v>
      </c>
      <c r="BI555" t="s">
        <v>9</v>
      </c>
      <c r="BJ555">
        <v>9.2999999999999999E-7</v>
      </c>
      <c r="BK555">
        <v>0</v>
      </c>
      <c r="BL555">
        <v>-1.0669999999999999E-5</v>
      </c>
      <c r="BM555" s="2">
        <f t="shared" si="8"/>
        <v>7.2809108314941438E-9</v>
      </c>
    </row>
    <row r="556" spans="1:65" x14ac:dyDescent="0.35">
      <c r="A556">
        <v>0</v>
      </c>
      <c r="B556" t="s">
        <v>3</v>
      </c>
      <c r="C556" t="s">
        <v>4</v>
      </c>
      <c r="D556">
        <v>0</v>
      </c>
      <c r="E556" t="s">
        <v>3</v>
      </c>
      <c r="F556" t="s">
        <v>5</v>
      </c>
      <c r="G556">
        <v>3562.0266240000001</v>
      </c>
      <c r="H556" t="s">
        <v>4</v>
      </c>
      <c r="I556">
        <v>990.16341899999998</v>
      </c>
      <c r="J556">
        <v>2571.8632050000001</v>
      </c>
      <c r="K556" t="s">
        <v>6</v>
      </c>
      <c r="L556" t="s">
        <v>7</v>
      </c>
      <c r="M556" t="s">
        <v>8</v>
      </c>
      <c r="N556" t="s">
        <v>6</v>
      </c>
      <c r="O556" t="s">
        <v>3</v>
      </c>
      <c r="P556" t="s">
        <v>3</v>
      </c>
      <c r="Q556" t="s">
        <v>3</v>
      </c>
      <c r="R556" t="s">
        <v>3</v>
      </c>
      <c r="S556" t="s">
        <v>3</v>
      </c>
      <c r="T556" t="s">
        <v>7</v>
      </c>
      <c r="U556">
        <v>0</v>
      </c>
      <c r="V556">
        <v>2</v>
      </c>
      <c r="W556">
        <v>0</v>
      </c>
      <c r="X556">
        <v>0</v>
      </c>
      <c r="Y556">
        <v>0</v>
      </c>
      <c r="Z556" t="s">
        <v>15</v>
      </c>
      <c r="AA556" t="s">
        <v>4</v>
      </c>
      <c r="AB556" t="s">
        <v>6</v>
      </c>
      <c r="AC556" t="s">
        <v>7</v>
      </c>
      <c r="AD556" t="s">
        <v>8</v>
      </c>
      <c r="AE556" t="s">
        <v>6</v>
      </c>
      <c r="AF556" t="s">
        <v>3</v>
      </c>
      <c r="AG556" t="s">
        <v>3</v>
      </c>
      <c r="AH556" t="s">
        <v>3</v>
      </c>
      <c r="AI556" t="s">
        <v>3</v>
      </c>
      <c r="AJ556" t="s">
        <v>3</v>
      </c>
      <c r="AK556" t="s">
        <v>7</v>
      </c>
      <c r="AL556">
        <v>0</v>
      </c>
      <c r="AM556">
        <v>0</v>
      </c>
      <c r="AN556">
        <v>0</v>
      </c>
      <c r="AO556">
        <v>0</v>
      </c>
      <c r="AP556">
        <v>0</v>
      </c>
      <c r="AQ556" t="s">
        <v>9</v>
      </c>
      <c r="AR556" s="1">
        <v>2.2040061900000001E-4</v>
      </c>
      <c r="AS556" s="1">
        <v>3.3565095599999998E-25</v>
      </c>
      <c r="AT556">
        <v>23</v>
      </c>
      <c r="AU556" t="s">
        <v>10</v>
      </c>
      <c r="AV556">
        <v>0</v>
      </c>
      <c r="AW556">
        <v>2</v>
      </c>
      <c r="AX556">
        <v>0</v>
      </c>
      <c r="AY556">
        <v>0</v>
      </c>
      <c r="AZ556">
        <v>0</v>
      </c>
      <c r="BA556" t="s">
        <v>15</v>
      </c>
      <c r="BB556" t="s">
        <v>4</v>
      </c>
      <c r="BC556" t="s">
        <v>10</v>
      </c>
      <c r="BD556">
        <v>0</v>
      </c>
      <c r="BE556">
        <v>0</v>
      </c>
      <c r="BF556">
        <v>0</v>
      </c>
      <c r="BG556">
        <v>0</v>
      </c>
      <c r="BH556">
        <v>0</v>
      </c>
      <c r="BI556" t="s">
        <v>9</v>
      </c>
      <c r="BJ556">
        <v>-2.1662E-4</v>
      </c>
      <c r="BK556">
        <v>0</v>
      </c>
      <c r="BL556">
        <v>-4.0630000000000002E-5</v>
      </c>
      <c r="BM556" s="2">
        <f t="shared" si="8"/>
        <v>2.0213373166866048E-6</v>
      </c>
    </row>
    <row r="557" spans="1:65" x14ac:dyDescent="0.35">
      <c r="A557">
        <v>0</v>
      </c>
      <c r="B557" t="s">
        <v>11</v>
      </c>
      <c r="C557" t="s">
        <v>4</v>
      </c>
      <c r="D557">
        <v>0</v>
      </c>
      <c r="E557" t="s">
        <v>3</v>
      </c>
      <c r="F557" t="s">
        <v>5</v>
      </c>
      <c r="G557">
        <v>4855.5310479999998</v>
      </c>
      <c r="H557" t="s">
        <v>4</v>
      </c>
      <c r="I557">
        <v>990.16341899999998</v>
      </c>
      <c r="J557">
        <v>3865.3676289999999</v>
      </c>
      <c r="K557" t="s">
        <v>6</v>
      </c>
      <c r="L557" t="s">
        <v>7</v>
      </c>
      <c r="M557" t="s">
        <v>8</v>
      </c>
      <c r="N557" t="s">
        <v>6</v>
      </c>
      <c r="O557" t="s">
        <v>3</v>
      </c>
      <c r="P557" t="s">
        <v>3</v>
      </c>
      <c r="Q557" t="s">
        <v>3</v>
      </c>
      <c r="R557" t="s">
        <v>3</v>
      </c>
      <c r="S557" t="s">
        <v>11</v>
      </c>
      <c r="T557" t="s">
        <v>7</v>
      </c>
      <c r="U557">
        <v>1</v>
      </c>
      <c r="V557">
        <v>0</v>
      </c>
      <c r="W557">
        <v>0</v>
      </c>
      <c r="X557">
        <v>1</v>
      </c>
      <c r="Y557">
        <v>3</v>
      </c>
      <c r="Z557" t="s">
        <v>18</v>
      </c>
      <c r="AA557" t="s">
        <v>4</v>
      </c>
      <c r="AB557" t="s">
        <v>6</v>
      </c>
      <c r="AC557" t="s">
        <v>7</v>
      </c>
      <c r="AD557" t="s">
        <v>8</v>
      </c>
      <c r="AE557" t="s">
        <v>6</v>
      </c>
      <c r="AF557" t="s">
        <v>3</v>
      </c>
      <c r="AG557" t="s">
        <v>3</v>
      </c>
      <c r="AH557" t="s">
        <v>3</v>
      </c>
      <c r="AI557" t="s">
        <v>3</v>
      </c>
      <c r="AJ557" t="s">
        <v>3</v>
      </c>
      <c r="AK557" t="s">
        <v>7</v>
      </c>
      <c r="AL557">
        <v>0</v>
      </c>
      <c r="AM557">
        <v>0</v>
      </c>
      <c r="AN557">
        <v>0</v>
      </c>
      <c r="AO557">
        <v>0</v>
      </c>
      <c r="AP557">
        <v>0</v>
      </c>
      <c r="AQ557" t="s">
        <v>9</v>
      </c>
      <c r="AR557" s="1">
        <v>1.4666832000000001E-5</v>
      </c>
      <c r="AS557" s="1">
        <v>2.23398164E-27</v>
      </c>
      <c r="AT557">
        <v>24</v>
      </c>
      <c r="AU557" t="s">
        <v>10</v>
      </c>
      <c r="AV557">
        <v>1</v>
      </c>
      <c r="AW557">
        <v>0</v>
      </c>
      <c r="AX557">
        <v>0</v>
      </c>
      <c r="AY557">
        <v>1</v>
      </c>
      <c r="AZ557">
        <v>3</v>
      </c>
      <c r="BA557" t="s">
        <v>18</v>
      </c>
      <c r="BB557" t="s">
        <v>4</v>
      </c>
      <c r="BC557" t="s">
        <v>10</v>
      </c>
      <c r="BD557">
        <v>0</v>
      </c>
      <c r="BE557">
        <v>0</v>
      </c>
      <c r="BF557">
        <v>0</v>
      </c>
      <c r="BG557">
        <v>0</v>
      </c>
      <c r="BH557">
        <v>0</v>
      </c>
      <c r="BI557" t="s">
        <v>9</v>
      </c>
      <c r="BJ557">
        <v>0</v>
      </c>
      <c r="BK557">
        <v>-1.467E-5</v>
      </c>
      <c r="BL557">
        <v>0</v>
      </c>
      <c r="BM557" s="2">
        <f t="shared" si="8"/>
        <v>1.3453351980694911E-8</v>
      </c>
    </row>
    <row r="558" spans="1:65" x14ac:dyDescent="0.35">
      <c r="A558">
        <v>0</v>
      </c>
      <c r="B558" t="s">
        <v>3</v>
      </c>
      <c r="C558" t="s">
        <v>4</v>
      </c>
      <c r="D558">
        <v>0</v>
      </c>
      <c r="E558" t="s">
        <v>3</v>
      </c>
      <c r="F558" t="s">
        <v>5</v>
      </c>
      <c r="G558">
        <v>2390.320291</v>
      </c>
      <c r="H558" t="s">
        <v>4</v>
      </c>
      <c r="I558">
        <v>990.16341899999998</v>
      </c>
      <c r="J558">
        <v>1400.156872</v>
      </c>
      <c r="K558" t="s">
        <v>6</v>
      </c>
      <c r="L558" t="s">
        <v>7</v>
      </c>
      <c r="M558" t="s">
        <v>8</v>
      </c>
      <c r="N558" t="s">
        <v>6</v>
      </c>
      <c r="O558" t="s">
        <v>3</v>
      </c>
      <c r="P558" t="s">
        <v>3</v>
      </c>
      <c r="Q558" t="s">
        <v>3</v>
      </c>
      <c r="R558" t="s">
        <v>3</v>
      </c>
      <c r="S558" t="s">
        <v>3</v>
      </c>
      <c r="T558" t="s">
        <v>7</v>
      </c>
      <c r="U558">
        <v>0</v>
      </c>
      <c r="V558">
        <v>0</v>
      </c>
      <c r="W558">
        <v>0</v>
      </c>
      <c r="X558">
        <v>6</v>
      </c>
      <c r="Y558">
        <v>0</v>
      </c>
      <c r="Z558" t="s">
        <v>8</v>
      </c>
      <c r="AA558" t="s">
        <v>4</v>
      </c>
      <c r="AB558" t="s">
        <v>6</v>
      </c>
      <c r="AC558" t="s">
        <v>7</v>
      </c>
      <c r="AD558" t="s">
        <v>8</v>
      </c>
      <c r="AE558" t="s">
        <v>6</v>
      </c>
      <c r="AF558" t="s">
        <v>3</v>
      </c>
      <c r="AG558" t="s">
        <v>3</v>
      </c>
      <c r="AH558" t="s">
        <v>3</v>
      </c>
      <c r="AI558" t="s">
        <v>3</v>
      </c>
      <c r="AJ558" t="s">
        <v>3</v>
      </c>
      <c r="AK558" t="s">
        <v>7</v>
      </c>
      <c r="AL558">
        <v>0</v>
      </c>
      <c r="AM558">
        <v>0</v>
      </c>
      <c r="AN558">
        <v>0</v>
      </c>
      <c r="AO558">
        <v>0</v>
      </c>
      <c r="AP558">
        <v>0</v>
      </c>
      <c r="AQ558" t="s">
        <v>9</v>
      </c>
      <c r="AR558" s="1">
        <v>3.3069332900000001E-7</v>
      </c>
      <c r="AS558" s="1">
        <v>4.1090367100000003E-31</v>
      </c>
      <c r="AT558">
        <v>23</v>
      </c>
      <c r="AU558" t="s">
        <v>10</v>
      </c>
      <c r="AV558">
        <v>0</v>
      </c>
      <c r="AW558">
        <v>0</v>
      </c>
      <c r="AX558">
        <v>0</v>
      </c>
      <c r="AY558">
        <v>6</v>
      </c>
      <c r="AZ558">
        <v>0</v>
      </c>
      <c r="BA558" t="s">
        <v>8</v>
      </c>
      <c r="BB558" t="s">
        <v>4</v>
      </c>
      <c r="BC558" t="s">
        <v>10</v>
      </c>
      <c r="BD558">
        <v>0</v>
      </c>
      <c r="BE558">
        <v>0</v>
      </c>
      <c r="BF558">
        <v>0</v>
      </c>
      <c r="BG558">
        <v>0</v>
      </c>
      <c r="BH558">
        <v>0</v>
      </c>
      <c r="BI558" t="s">
        <v>9</v>
      </c>
      <c r="BJ558">
        <v>-7.0000000000000005E-8</v>
      </c>
      <c r="BK558">
        <v>0</v>
      </c>
      <c r="BL558">
        <v>3.2000000000000001E-7</v>
      </c>
      <c r="BM558" s="2">
        <f t="shared" si="8"/>
        <v>2.4745197619988769E-12</v>
      </c>
    </row>
    <row r="559" spans="1:65" x14ac:dyDescent="0.35">
      <c r="A559">
        <v>0</v>
      </c>
      <c r="B559" t="s">
        <v>3</v>
      </c>
      <c r="C559" t="s">
        <v>4</v>
      </c>
      <c r="D559">
        <v>0</v>
      </c>
      <c r="E559" t="s">
        <v>3</v>
      </c>
      <c r="F559" t="s">
        <v>5</v>
      </c>
      <c r="G559">
        <v>3732.3254080000002</v>
      </c>
      <c r="H559" t="s">
        <v>4</v>
      </c>
      <c r="I559">
        <v>990.16341899999998</v>
      </c>
      <c r="J559">
        <v>2742.1619890000002</v>
      </c>
      <c r="K559" t="s">
        <v>6</v>
      </c>
      <c r="L559" t="s">
        <v>7</v>
      </c>
      <c r="M559" t="s">
        <v>8</v>
      </c>
      <c r="N559" t="s">
        <v>6</v>
      </c>
      <c r="O559" t="s">
        <v>3</v>
      </c>
      <c r="P559" t="s">
        <v>3</v>
      </c>
      <c r="Q559" t="s">
        <v>3</v>
      </c>
      <c r="R559" t="s">
        <v>3</v>
      </c>
      <c r="S559" t="s">
        <v>3</v>
      </c>
      <c r="T559" t="s">
        <v>7</v>
      </c>
      <c r="U559">
        <v>0</v>
      </c>
      <c r="V559">
        <v>0</v>
      </c>
      <c r="W559">
        <v>0</v>
      </c>
      <c r="X559">
        <v>1</v>
      </c>
      <c r="Y559">
        <v>0</v>
      </c>
      <c r="Z559" t="s">
        <v>17</v>
      </c>
      <c r="AA559" t="s">
        <v>4</v>
      </c>
      <c r="AB559" t="s">
        <v>6</v>
      </c>
      <c r="AC559" t="s">
        <v>7</v>
      </c>
      <c r="AD559" t="s">
        <v>8</v>
      </c>
      <c r="AE559" t="s">
        <v>6</v>
      </c>
      <c r="AF559" t="s">
        <v>3</v>
      </c>
      <c r="AG559" t="s">
        <v>3</v>
      </c>
      <c r="AH559" t="s">
        <v>3</v>
      </c>
      <c r="AI559" t="s">
        <v>3</v>
      </c>
      <c r="AJ559" t="s">
        <v>3</v>
      </c>
      <c r="AK559" t="s">
        <v>7</v>
      </c>
      <c r="AL559">
        <v>0</v>
      </c>
      <c r="AM559">
        <v>0</v>
      </c>
      <c r="AN559">
        <v>0</v>
      </c>
      <c r="AO559">
        <v>0</v>
      </c>
      <c r="AP559">
        <v>0</v>
      </c>
      <c r="AQ559" t="s">
        <v>9</v>
      </c>
      <c r="AR559" s="1">
        <v>9.6375051700000006E-5</v>
      </c>
      <c r="AS559" s="1">
        <v>6.8428614199999995E-26</v>
      </c>
      <c r="AT559">
        <v>27</v>
      </c>
      <c r="AU559" t="s">
        <v>10</v>
      </c>
      <c r="AV559">
        <v>0</v>
      </c>
      <c r="AW559">
        <v>0</v>
      </c>
      <c r="AX559">
        <v>0</v>
      </c>
      <c r="AY559">
        <v>1</v>
      </c>
      <c r="AZ559">
        <v>0</v>
      </c>
      <c r="BA559" t="s">
        <v>17</v>
      </c>
      <c r="BB559" t="s">
        <v>4</v>
      </c>
      <c r="BC559" t="s">
        <v>10</v>
      </c>
      <c r="BD559">
        <v>0</v>
      </c>
      <c r="BE559">
        <v>0</v>
      </c>
      <c r="BF559">
        <v>0</v>
      </c>
      <c r="BG559">
        <v>0</v>
      </c>
      <c r="BH559">
        <v>0</v>
      </c>
      <c r="BI559" t="s">
        <v>9</v>
      </c>
      <c r="BJ559">
        <v>9.624E-5</v>
      </c>
      <c r="BK559">
        <v>0</v>
      </c>
      <c r="BL559">
        <v>5.0599999999999998E-6</v>
      </c>
      <c r="BM559" s="2">
        <f t="shared" si="8"/>
        <v>4.1208674946127931E-7</v>
      </c>
    </row>
    <row r="560" spans="1:65" x14ac:dyDescent="0.35">
      <c r="A560">
        <v>0</v>
      </c>
      <c r="B560" t="s">
        <v>3</v>
      </c>
      <c r="C560" t="s">
        <v>4</v>
      </c>
      <c r="D560">
        <v>0</v>
      </c>
      <c r="E560" t="s">
        <v>3</v>
      </c>
      <c r="F560" t="s">
        <v>5</v>
      </c>
      <c r="G560">
        <v>3842.1109419999998</v>
      </c>
      <c r="H560" t="s">
        <v>4</v>
      </c>
      <c r="I560">
        <v>990.16341899999998</v>
      </c>
      <c r="J560">
        <v>2851.9475229999998</v>
      </c>
      <c r="K560" t="s">
        <v>6</v>
      </c>
      <c r="L560" t="s">
        <v>7</v>
      </c>
      <c r="M560" t="s">
        <v>8</v>
      </c>
      <c r="N560" t="s">
        <v>6</v>
      </c>
      <c r="O560" t="s">
        <v>3</v>
      </c>
      <c r="P560" t="s">
        <v>3</v>
      </c>
      <c r="Q560" t="s">
        <v>3</v>
      </c>
      <c r="R560" t="s">
        <v>3</v>
      </c>
      <c r="S560" t="s">
        <v>3</v>
      </c>
      <c r="T560" t="s">
        <v>7</v>
      </c>
      <c r="U560">
        <v>0</v>
      </c>
      <c r="V560">
        <v>1</v>
      </c>
      <c r="W560">
        <v>0</v>
      </c>
      <c r="X560">
        <v>0</v>
      </c>
      <c r="Y560">
        <v>0</v>
      </c>
      <c r="Z560" t="s">
        <v>29</v>
      </c>
      <c r="AA560" t="s">
        <v>4</v>
      </c>
      <c r="AB560" t="s">
        <v>6</v>
      </c>
      <c r="AC560" t="s">
        <v>7</v>
      </c>
      <c r="AD560" t="s">
        <v>8</v>
      </c>
      <c r="AE560" t="s">
        <v>6</v>
      </c>
      <c r="AF560" t="s">
        <v>3</v>
      </c>
      <c r="AG560" t="s">
        <v>3</v>
      </c>
      <c r="AH560" t="s">
        <v>3</v>
      </c>
      <c r="AI560" t="s">
        <v>3</v>
      </c>
      <c r="AJ560" t="s">
        <v>3</v>
      </c>
      <c r="AK560" t="s">
        <v>7</v>
      </c>
      <c r="AL560">
        <v>0</v>
      </c>
      <c r="AM560">
        <v>0</v>
      </c>
      <c r="AN560">
        <v>0</v>
      </c>
      <c r="AO560">
        <v>0</v>
      </c>
      <c r="AP560">
        <v>0</v>
      </c>
      <c r="AQ560" t="s">
        <v>9</v>
      </c>
      <c r="AR560" s="1">
        <v>1.74059625E-4</v>
      </c>
      <c r="AS560" s="1">
        <v>2.32141787E-25</v>
      </c>
      <c r="AT560">
        <v>23</v>
      </c>
      <c r="AU560" t="s">
        <v>10</v>
      </c>
      <c r="AV560">
        <v>0</v>
      </c>
      <c r="AW560">
        <v>1</v>
      </c>
      <c r="AX560">
        <v>0</v>
      </c>
      <c r="AY560">
        <v>0</v>
      </c>
      <c r="AZ560">
        <v>0</v>
      </c>
      <c r="BA560" t="s">
        <v>29</v>
      </c>
      <c r="BB560" t="s">
        <v>4</v>
      </c>
      <c r="BC560" t="s">
        <v>10</v>
      </c>
      <c r="BD560">
        <v>0</v>
      </c>
      <c r="BE560">
        <v>0</v>
      </c>
      <c r="BF560">
        <v>0</v>
      </c>
      <c r="BG560">
        <v>0</v>
      </c>
      <c r="BH560">
        <v>0</v>
      </c>
      <c r="BI560" t="s">
        <v>9</v>
      </c>
      <c r="BJ560">
        <v>-1.7311E-4</v>
      </c>
      <c r="BK560">
        <v>0</v>
      </c>
      <c r="BL560">
        <v>1.8119999999999999E-5</v>
      </c>
      <c r="BM560" s="2">
        <f t="shared" si="8"/>
        <v>1.3979905268776095E-6</v>
      </c>
    </row>
    <row r="561" spans="1:65" x14ac:dyDescent="0.35">
      <c r="A561">
        <v>0</v>
      </c>
      <c r="B561" t="s">
        <v>11</v>
      </c>
      <c r="C561" t="s">
        <v>4</v>
      </c>
      <c r="D561">
        <v>0</v>
      </c>
      <c r="E561" t="s">
        <v>3</v>
      </c>
      <c r="F561" t="s">
        <v>5</v>
      </c>
      <c r="G561">
        <v>3947.53316</v>
      </c>
      <c r="H561" t="s">
        <v>4</v>
      </c>
      <c r="I561">
        <v>990.16341899999998</v>
      </c>
      <c r="J561">
        <v>2957.3697400000001</v>
      </c>
      <c r="K561" t="s">
        <v>6</v>
      </c>
      <c r="L561" t="s">
        <v>7</v>
      </c>
      <c r="M561" t="s">
        <v>8</v>
      </c>
      <c r="N561" t="s">
        <v>6</v>
      </c>
      <c r="O561" t="s">
        <v>3</v>
      </c>
      <c r="P561" t="s">
        <v>3</v>
      </c>
      <c r="Q561" t="s">
        <v>3</v>
      </c>
      <c r="R561" t="s">
        <v>3</v>
      </c>
      <c r="S561" t="s">
        <v>11</v>
      </c>
      <c r="T561" t="s">
        <v>7</v>
      </c>
      <c r="U561">
        <v>1</v>
      </c>
      <c r="V561">
        <v>2</v>
      </c>
      <c r="W561">
        <v>0</v>
      </c>
      <c r="X561">
        <v>0</v>
      </c>
      <c r="Y561">
        <v>0</v>
      </c>
      <c r="Z561" t="s">
        <v>18</v>
      </c>
      <c r="AA561" t="s">
        <v>4</v>
      </c>
      <c r="AB561" t="s">
        <v>6</v>
      </c>
      <c r="AC561" t="s">
        <v>7</v>
      </c>
      <c r="AD561" t="s">
        <v>8</v>
      </c>
      <c r="AE561" t="s">
        <v>6</v>
      </c>
      <c r="AF561" t="s">
        <v>3</v>
      </c>
      <c r="AG561" t="s">
        <v>3</v>
      </c>
      <c r="AH561" t="s">
        <v>3</v>
      </c>
      <c r="AI561" t="s">
        <v>3</v>
      </c>
      <c r="AJ561" t="s">
        <v>3</v>
      </c>
      <c r="AK561" t="s">
        <v>7</v>
      </c>
      <c r="AL561">
        <v>0</v>
      </c>
      <c r="AM561">
        <v>0</v>
      </c>
      <c r="AN561">
        <v>0</v>
      </c>
      <c r="AO561">
        <v>0</v>
      </c>
      <c r="AP561">
        <v>0</v>
      </c>
      <c r="AQ561" t="s">
        <v>9</v>
      </c>
      <c r="AR561" s="1">
        <v>3.4111557400000003E-5</v>
      </c>
      <c r="AS561" s="1">
        <v>9.2453766699999998E-27</v>
      </c>
      <c r="AT561">
        <v>23</v>
      </c>
      <c r="AU561" t="s">
        <v>10</v>
      </c>
      <c r="AV561">
        <v>1</v>
      </c>
      <c r="AW561">
        <v>2</v>
      </c>
      <c r="AX561">
        <v>0</v>
      </c>
      <c r="AY561">
        <v>0</v>
      </c>
      <c r="AZ561">
        <v>0</v>
      </c>
      <c r="BA561" t="s">
        <v>18</v>
      </c>
      <c r="BB561" t="s">
        <v>4</v>
      </c>
      <c r="BC561" t="s">
        <v>10</v>
      </c>
      <c r="BD561">
        <v>0</v>
      </c>
      <c r="BE561">
        <v>0</v>
      </c>
      <c r="BF561">
        <v>0</v>
      </c>
      <c r="BG561">
        <v>0</v>
      </c>
      <c r="BH561">
        <v>0</v>
      </c>
      <c r="BI561" t="s">
        <v>9</v>
      </c>
      <c r="BJ561">
        <v>0</v>
      </c>
      <c r="BK561">
        <v>3.4109999999999997E-5</v>
      </c>
      <c r="BL561">
        <v>0</v>
      </c>
      <c r="BM561" s="2">
        <f t="shared" si="8"/>
        <v>5.5676960055775131E-8</v>
      </c>
    </row>
    <row r="562" spans="1:65" x14ac:dyDescent="0.35">
      <c r="A562">
        <v>0</v>
      </c>
      <c r="B562" t="s">
        <v>11</v>
      </c>
      <c r="C562" t="s">
        <v>4</v>
      </c>
      <c r="D562">
        <v>0</v>
      </c>
      <c r="E562" t="s">
        <v>3</v>
      </c>
      <c r="F562" t="s">
        <v>5</v>
      </c>
      <c r="G562">
        <v>4159.6026389999997</v>
      </c>
      <c r="H562" t="s">
        <v>4</v>
      </c>
      <c r="I562">
        <v>990.16341899999998</v>
      </c>
      <c r="J562">
        <v>3169.4392200000002</v>
      </c>
      <c r="K562" t="s">
        <v>6</v>
      </c>
      <c r="L562" t="s">
        <v>7</v>
      </c>
      <c r="M562" t="s">
        <v>8</v>
      </c>
      <c r="N562" t="s">
        <v>6</v>
      </c>
      <c r="O562" t="s">
        <v>3</v>
      </c>
      <c r="P562" t="s">
        <v>3</v>
      </c>
      <c r="Q562" t="s">
        <v>3</v>
      </c>
      <c r="R562" t="s">
        <v>3</v>
      </c>
      <c r="S562" t="s">
        <v>11</v>
      </c>
      <c r="T562" t="s">
        <v>7</v>
      </c>
      <c r="U562">
        <v>1</v>
      </c>
      <c r="V562">
        <v>0</v>
      </c>
      <c r="W562">
        <v>0</v>
      </c>
      <c r="X562">
        <v>0</v>
      </c>
      <c r="Y562">
        <v>2</v>
      </c>
      <c r="Z562" t="s">
        <v>14</v>
      </c>
      <c r="AA562" t="s">
        <v>4</v>
      </c>
      <c r="AB562" t="s">
        <v>6</v>
      </c>
      <c r="AC562" t="s">
        <v>7</v>
      </c>
      <c r="AD562" t="s">
        <v>8</v>
      </c>
      <c r="AE562" t="s">
        <v>6</v>
      </c>
      <c r="AF562" t="s">
        <v>3</v>
      </c>
      <c r="AG562" t="s">
        <v>3</v>
      </c>
      <c r="AH562" t="s">
        <v>3</v>
      </c>
      <c r="AI562" t="s">
        <v>3</v>
      </c>
      <c r="AJ562" t="s">
        <v>3</v>
      </c>
      <c r="AK562" t="s">
        <v>7</v>
      </c>
      <c r="AL562">
        <v>0</v>
      </c>
      <c r="AM562">
        <v>0</v>
      </c>
      <c r="AN562">
        <v>0</v>
      </c>
      <c r="AO562">
        <v>0</v>
      </c>
      <c r="AP562">
        <v>0</v>
      </c>
      <c r="AQ562" t="s">
        <v>9</v>
      </c>
      <c r="AR562" s="1">
        <v>8.7684905600000001E-5</v>
      </c>
      <c r="AS562" s="1">
        <v>6.5470878799999998E-26</v>
      </c>
      <c r="AT562">
        <v>27</v>
      </c>
      <c r="AU562" t="s">
        <v>10</v>
      </c>
      <c r="AV562">
        <v>1</v>
      </c>
      <c r="AW562">
        <v>0</v>
      </c>
      <c r="AX562">
        <v>0</v>
      </c>
      <c r="AY562">
        <v>0</v>
      </c>
      <c r="AZ562">
        <v>2</v>
      </c>
      <c r="BA562" t="s">
        <v>14</v>
      </c>
      <c r="BB562" t="s">
        <v>4</v>
      </c>
      <c r="BC562" t="s">
        <v>10</v>
      </c>
      <c r="BD562">
        <v>0</v>
      </c>
      <c r="BE562">
        <v>0</v>
      </c>
      <c r="BF562">
        <v>0</v>
      </c>
      <c r="BG562">
        <v>0</v>
      </c>
      <c r="BH562">
        <v>0</v>
      </c>
      <c r="BI562" t="s">
        <v>9</v>
      </c>
      <c r="BJ562">
        <v>0</v>
      </c>
      <c r="BK562">
        <v>-8.7680000000000001E-5</v>
      </c>
      <c r="BL562">
        <v>0</v>
      </c>
      <c r="BM562" s="2">
        <f t="shared" si="8"/>
        <v>3.9427485043333503E-7</v>
      </c>
    </row>
    <row r="563" spans="1:65" x14ac:dyDescent="0.35">
      <c r="A563">
        <v>0</v>
      </c>
      <c r="B563" t="s">
        <v>11</v>
      </c>
      <c r="C563" t="s">
        <v>4</v>
      </c>
      <c r="D563">
        <v>0</v>
      </c>
      <c r="E563" t="s">
        <v>3</v>
      </c>
      <c r="F563" t="s">
        <v>5</v>
      </c>
      <c r="G563">
        <v>4623.5286450000003</v>
      </c>
      <c r="H563" t="s">
        <v>4</v>
      </c>
      <c r="I563">
        <v>990.16341899999998</v>
      </c>
      <c r="J563">
        <v>3633.3652259999999</v>
      </c>
      <c r="K563" t="s">
        <v>6</v>
      </c>
      <c r="L563" t="s">
        <v>7</v>
      </c>
      <c r="M563" t="s">
        <v>8</v>
      </c>
      <c r="N563" t="s">
        <v>6</v>
      </c>
      <c r="O563" t="s">
        <v>3</v>
      </c>
      <c r="P563" t="s">
        <v>3</v>
      </c>
      <c r="Q563" t="s">
        <v>3</v>
      </c>
      <c r="R563" t="s">
        <v>3</v>
      </c>
      <c r="S563" t="s">
        <v>11</v>
      </c>
      <c r="T563" t="s">
        <v>7</v>
      </c>
      <c r="U563">
        <v>0</v>
      </c>
      <c r="V563">
        <v>0</v>
      </c>
      <c r="W563">
        <v>0</v>
      </c>
      <c r="X563">
        <v>4</v>
      </c>
      <c r="Y563">
        <v>0</v>
      </c>
      <c r="Z563" t="s">
        <v>23</v>
      </c>
      <c r="AA563" t="s">
        <v>4</v>
      </c>
      <c r="AB563" t="s">
        <v>6</v>
      </c>
      <c r="AC563" t="s">
        <v>7</v>
      </c>
      <c r="AD563" t="s">
        <v>8</v>
      </c>
      <c r="AE563" t="s">
        <v>6</v>
      </c>
      <c r="AF563" t="s">
        <v>3</v>
      </c>
      <c r="AG563" t="s">
        <v>3</v>
      </c>
      <c r="AH563" t="s">
        <v>3</v>
      </c>
      <c r="AI563" t="s">
        <v>3</v>
      </c>
      <c r="AJ563" t="s">
        <v>3</v>
      </c>
      <c r="AK563" t="s">
        <v>7</v>
      </c>
      <c r="AL563">
        <v>0</v>
      </c>
      <c r="AM563">
        <v>0</v>
      </c>
      <c r="AN563">
        <v>0</v>
      </c>
      <c r="AO563">
        <v>0</v>
      </c>
      <c r="AP563">
        <v>0</v>
      </c>
      <c r="AQ563" t="s">
        <v>9</v>
      </c>
      <c r="AR563" s="1">
        <v>9.4904242599999993E-6</v>
      </c>
      <c r="AS563" s="1">
        <v>8.7921778199999999E-28</v>
      </c>
      <c r="AT563">
        <v>27</v>
      </c>
      <c r="AU563" t="s">
        <v>10</v>
      </c>
      <c r="AV563">
        <v>0</v>
      </c>
      <c r="AW563">
        <v>0</v>
      </c>
      <c r="AX563">
        <v>0</v>
      </c>
      <c r="AY563">
        <v>4</v>
      </c>
      <c r="AZ563">
        <v>0</v>
      </c>
      <c r="BA563" t="s">
        <v>23</v>
      </c>
      <c r="BB563" t="s">
        <v>4</v>
      </c>
      <c r="BC563" t="s">
        <v>10</v>
      </c>
      <c r="BD563">
        <v>0</v>
      </c>
      <c r="BE563">
        <v>0</v>
      </c>
      <c r="BF563">
        <v>0</v>
      </c>
      <c r="BG563">
        <v>0</v>
      </c>
      <c r="BH563">
        <v>0</v>
      </c>
      <c r="BI563" t="s">
        <v>9</v>
      </c>
      <c r="BJ563">
        <v>0</v>
      </c>
      <c r="BK563">
        <v>9.4900000000000006E-6</v>
      </c>
      <c r="BL563">
        <v>0</v>
      </c>
      <c r="BM563" s="2">
        <f t="shared" si="8"/>
        <v>5.2947732770677056E-9</v>
      </c>
    </row>
    <row r="564" spans="1:65" x14ac:dyDescent="0.35">
      <c r="A564">
        <v>0</v>
      </c>
      <c r="B564" t="s">
        <v>3</v>
      </c>
      <c r="C564" t="s">
        <v>4</v>
      </c>
      <c r="D564">
        <v>0</v>
      </c>
      <c r="E564" t="s">
        <v>3</v>
      </c>
      <c r="F564" t="s">
        <v>5</v>
      </c>
      <c r="G564">
        <v>4042.0809720000002</v>
      </c>
      <c r="H564" t="s">
        <v>4</v>
      </c>
      <c r="I564">
        <v>990.16341899999998</v>
      </c>
      <c r="J564">
        <v>3051.9175530000002</v>
      </c>
      <c r="K564" t="s">
        <v>6</v>
      </c>
      <c r="L564" t="s">
        <v>7</v>
      </c>
      <c r="M564" t="s">
        <v>8</v>
      </c>
      <c r="N564" t="s">
        <v>6</v>
      </c>
      <c r="O564" t="s">
        <v>3</v>
      </c>
      <c r="P564" t="s">
        <v>3</v>
      </c>
      <c r="Q564" t="s">
        <v>3</v>
      </c>
      <c r="R564" t="s">
        <v>3</v>
      </c>
      <c r="S564" t="s">
        <v>3</v>
      </c>
      <c r="T564" t="s">
        <v>7</v>
      </c>
      <c r="U564">
        <v>0</v>
      </c>
      <c r="V564">
        <v>0</v>
      </c>
      <c r="W564">
        <v>0</v>
      </c>
      <c r="X564">
        <v>3</v>
      </c>
      <c r="Y564">
        <v>0</v>
      </c>
      <c r="Z564" t="s">
        <v>22</v>
      </c>
      <c r="AA564" t="s">
        <v>4</v>
      </c>
      <c r="AB564" t="s">
        <v>6</v>
      </c>
      <c r="AC564" t="s">
        <v>7</v>
      </c>
      <c r="AD564" t="s">
        <v>8</v>
      </c>
      <c r="AE564" t="s">
        <v>6</v>
      </c>
      <c r="AF564" t="s">
        <v>3</v>
      </c>
      <c r="AG564" t="s">
        <v>3</v>
      </c>
      <c r="AH564" t="s">
        <v>3</v>
      </c>
      <c r="AI564" t="s">
        <v>3</v>
      </c>
      <c r="AJ564" t="s">
        <v>3</v>
      </c>
      <c r="AK564" t="s">
        <v>7</v>
      </c>
      <c r="AL564">
        <v>0</v>
      </c>
      <c r="AM564">
        <v>0</v>
      </c>
      <c r="AN564">
        <v>0</v>
      </c>
      <c r="AO564">
        <v>0</v>
      </c>
      <c r="AP564">
        <v>0</v>
      </c>
      <c r="AQ564" t="s">
        <v>9</v>
      </c>
      <c r="AR564" s="1">
        <v>4.8119932300000002E-5</v>
      </c>
      <c r="AS564" s="1">
        <v>1.89862328E-26</v>
      </c>
      <c r="AT564">
        <v>24</v>
      </c>
      <c r="AU564" t="s">
        <v>10</v>
      </c>
      <c r="AV564">
        <v>0</v>
      </c>
      <c r="AW564">
        <v>0</v>
      </c>
      <c r="AX564">
        <v>0</v>
      </c>
      <c r="AY564">
        <v>3</v>
      </c>
      <c r="AZ564">
        <v>0</v>
      </c>
      <c r="BA564" t="s">
        <v>22</v>
      </c>
      <c r="BB564" t="s">
        <v>4</v>
      </c>
      <c r="BC564" t="s">
        <v>10</v>
      </c>
      <c r="BD564">
        <v>0</v>
      </c>
      <c r="BE564">
        <v>0</v>
      </c>
      <c r="BF564">
        <v>0</v>
      </c>
      <c r="BG564">
        <v>0</v>
      </c>
      <c r="BH564">
        <v>0</v>
      </c>
      <c r="BI564" t="s">
        <v>9</v>
      </c>
      <c r="BJ564">
        <v>-4.8069999999999999E-5</v>
      </c>
      <c r="BK564">
        <v>0</v>
      </c>
      <c r="BL564">
        <v>-2.0999999999999998E-6</v>
      </c>
      <c r="BM564" s="2">
        <f t="shared" si="8"/>
        <v>1.1433776718317824E-7</v>
      </c>
    </row>
    <row r="565" spans="1:65" x14ac:dyDescent="0.35">
      <c r="A565">
        <v>0</v>
      </c>
      <c r="B565" t="s">
        <v>3</v>
      </c>
      <c r="C565" t="s">
        <v>4</v>
      </c>
      <c r="D565">
        <v>0</v>
      </c>
      <c r="E565" t="s">
        <v>3</v>
      </c>
      <c r="F565" t="s">
        <v>5</v>
      </c>
      <c r="G565">
        <v>4536.2099040000003</v>
      </c>
      <c r="H565" t="s">
        <v>4</v>
      </c>
      <c r="I565">
        <v>990.16341899999998</v>
      </c>
      <c r="J565">
        <v>3546.0464849999998</v>
      </c>
      <c r="K565" t="s">
        <v>6</v>
      </c>
      <c r="L565" t="s">
        <v>7</v>
      </c>
      <c r="M565" t="s">
        <v>8</v>
      </c>
      <c r="N565" t="s">
        <v>6</v>
      </c>
      <c r="O565" t="s">
        <v>3</v>
      </c>
      <c r="P565" t="s">
        <v>3</v>
      </c>
      <c r="Q565" t="s">
        <v>3</v>
      </c>
      <c r="R565" t="s">
        <v>3</v>
      </c>
      <c r="S565" t="s">
        <v>3</v>
      </c>
      <c r="T565" t="s">
        <v>7</v>
      </c>
      <c r="U565">
        <v>1</v>
      </c>
      <c r="V565">
        <v>0</v>
      </c>
      <c r="W565">
        <v>0</v>
      </c>
      <c r="X565">
        <v>2</v>
      </c>
      <c r="Y565">
        <v>1</v>
      </c>
      <c r="Z565" t="s">
        <v>21</v>
      </c>
      <c r="AA565" t="s">
        <v>4</v>
      </c>
      <c r="AB565" t="s">
        <v>6</v>
      </c>
      <c r="AC565" t="s">
        <v>7</v>
      </c>
      <c r="AD565" t="s">
        <v>8</v>
      </c>
      <c r="AE565" t="s">
        <v>6</v>
      </c>
      <c r="AF565" t="s">
        <v>3</v>
      </c>
      <c r="AG565" t="s">
        <v>3</v>
      </c>
      <c r="AH565" t="s">
        <v>3</v>
      </c>
      <c r="AI565" t="s">
        <v>3</v>
      </c>
      <c r="AJ565" t="s">
        <v>3</v>
      </c>
      <c r="AK565" t="s">
        <v>7</v>
      </c>
      <c r="AL565">
        <v>0</v>
      </c>
      <c r="AM565">
        <v>0</v>
      </c>
      <c r="AN565">
        <v>0</v>
      </c>
      <c r="AO565">
        <v>0</v>
      </c>
      <c r="AP565">
        <v>0</v>
      </c>
      <c r="AQ565" t="s">
        <v>9</v>
      </c>
      <c r="AR565" s="1">
        <v>2.4973890200000001E-5</v>
      </c>
      <c r="AS565" s="1">
        <v>5.9420043799999998E-27</v>
      </c>
      <c r="AT565">
        <v>23</v>
      </c>
      <c r="AU565" t="s">
        <v>10</v>
      </c>
      <c r="AV565">
        <v>1</v>
      </c>
      <c r="AW565">
        <v>0</v>
      </c>
      <c r="AX565">
        <v>0</v>
      </c>
      <c r="AY565">
        <v>2</v>
      </c>
      <c r="AZ565">
        <v>1</v>
      </c>
      <c r="BA565" t="s">
        <v>21</v>
      </c>
      <c r="BB565" t="s">
        <v>4</v>
      </c>
      <c r="BC565" t="s">
        <v>10</v>
      </c>
      <c r="BD565">
        <v>0</v>
      </c>
      <c r="BE565">
        <v>0</v>
      </c>
      <c r="BF565">
        <v>0</v>
      </c>
      <c r="BG565">
        <v>0</v>
      </c>
      <c r="BH565">
        <v>0</v>
      </c>
      <c r="BI565" t="s">
        <v>9</v>
      </c>
      <c r="BJ565">
        <v>1.206E-5</v>
      </c>
      <c r="BK565">
        <v>0</v>
      </c>
      <c r="BL565">
        <v>-2.1869999999999999E-5</v>
      </c>
      <c r="BM565" s="2">
        <f t="shared" si="8"/>
        <v>3.5783587010576697E-8</v>
      </c>
    </row>
    <row r="566" spans="1:65" x14ac:dyDescent="0.35">
      <c r="A566">
        <v>0</v>
      </c>
      <c r="B566" t="s">
        <v>3</v>
      </c>
      <c r="C566" t="s">
        <v>4</v>
      </c>
      <c r="D566">
        <v>0</v>
      </c>
      <c r="E566" t="s">
        <v>3</v>
      </c>
      <c r="F566" t="s">
        <v>5</v>
      </c>
      <c r="G566">
        <v>3443.5165860000002</v>
      </c>
      <c r="H566" t="s">
        <v>4</v>
      </c>
      <c r="I566">
        <v>990.16341899999998</v>
      </c>
      <c r="J566">
        <v>2453.3531670000002</v>
      </c>
      <c r="K566" t="s">
        <v>6</v>
      </c>
      <c r="L566" t="s">
        <v>7</v>
      </c>
      <c r="M566" t="s">
        <v>8</v>
      </c>
      <c r="N566" t="s">
        <v>6</v>
      </c>
      <c r="O566" t="s">
        <v>3</v>
      </c>
      <c r="P566" t="s">
        <v>3</v>
      </c>
      <c r="Q566" t="s">
        <v>3</v>
      </c>
      <c r="R566" t="s">
        <v>3</v>
      </c>
      <c r="S566" t="s">
        <v>3</v>
      </c>
      <c r="T566" t="s">
        <v>7</v>
      </c>
      <c r="U566">
        <v>0</v>
      </c>
      <c r="V566">
        <v>2</v>
      </c>
      <c r="W566">
        <v>0</v>
      </c>
      <c r="X566">
        <v>0</v>
      </c>
      <c r="Y566">
        <v>1</v>
      </c>
      <c r="Z566" t="s">
        <v>8</v>
      </c>
      <c r="AA566" t="s">
        <v>4</v>
      </c>
      <c r="AB566" t="s">
        <v>6</v>
      </c>
      <c r="AC566" t="s">
        <v>7</v>
      </c>
      <c r="AD566" t="s">
        <v>8</v>
      </c>
      <c r="AE566" t="s">
        <v>6</v>
      </c>
      <c r="AF566" t="s">
        <v>3</v>
      </c>
      <c r="AG566" t="s">
        <v>3</v>
      </c>
      <c r="AH566" t="s">
        <v>3</v>
      </c>
      <c r="AI566" t="s">
        <v>3</v>
      </c>
      <c r="AJ566" t="s">
        <v>3</v>
      </c>
      <c r="AK566" t="s">
        <v>7</v>
      </c>
      <c r="AL566">
        <v>0</v>
      </c>
      <c r="AM566">
        <v>0</v>
      </c>
      <c r="AN566">
        <v>0</v>
      </c>
      <c r="AO566">
        <v>0</v>
      </c>
      <c r="AP566">
        <v>0</v>
      </c>
      <c r="AQ566" t="s">
        <v>9</v>
      </c>
      <c r="AR566" s="1">
        <v>3.2576895500000002E-4</v>
      </c>
      <c r="AS566" s="1">
        <v>6.9950771300000004E-25</v>
      </c>
      <c r="AT566">
        <v>27</v>
      </c>
      <c r="AU566" t="s">
        <v>10</v>
      </c>
      <c r="AV566">
        <v>0</v>
      </c>
      <c r="AW566">
        <v>2</v>
      </c>
      <c r="AX566">
        <v>0</v>
      </c>
      <c r="AY566">
        <v>0</v>
      </c>
      <c r="AZ566">
        <v>1</v>
      </c>
      <c r="BA566" t="s">
        <v>8</v>
      </c>
      <c r="BB566" t="s">
        <v>4</v>
      </c>
      <c r="BC566" t="s">
        <v>10</v>
      </c>
      <c r="BD566">
        <v>0</v>
      </c>
      <c r="BE566">
        <v>0</v>
      </c>
      <c r="BF566">
        <v>0</v>
      </c>
      <c r="BG566">
        <v>0</v>
      </c>
      <c r="BH566">
        <v>0</v>
      </c>
      <c r="BI566" t="s">
        <v>9</v>
      </c>
      <c r="BJ566">
        <v>-3.2411000000000001E-4</v>
      </c>
      <c r="BK566">
        <v>0</v>
      </c>
      <c r="BL566">
        <v>3.2870000000000002E-5</v>
      </c>
      <c r="BM566" s="2">
        <f t="shared" si="8"/>
        <v>4.2125339383719906E-6</v>
      </c>
    </row>
    <row r="567" spans="1:65" x14ac:dyDescent="0.35">
      <c r="A567">
        <v>0</v>
      </c>
      <c r="B567" t="s">
        <v>3</v>
      </c>
      <c r="C567" t="s">
        <v>4</v>
      </c>
      <c r="D567">
        <v>0</v>
      </c>
      <c r="E567" t="s">
        <v>3</v>
      </c>
      <c r="F567" t="s">
        <v>5</v>
      </c>
      <c r="G567">
        <v>4683.8935270000002</v>
      </c>
      <c r="H567" t="s">
        <v>4</v>
      </c>
      <c r="I567">
        <v>990.16341899999998</v>
      </c>
      <c r="J567">
        <v>3693.7301080000002</v>
      </c>
      <c r="K567" t="s">
        <v>6</v>
      </c>
      <c r="L567" t="s">
        <v>7</v>
      </c>
      <c r="M567" t="s">
        <v>8</v>
      </c>
      <c r="N567" t="s">
        <v>6</v>
      </c>
      <c r="O567" t="s">
        <v>3</v>
      </c>
      <c r="P567" t="s">
        <v>3</v>
      </c>
      <c r="Q567" t="s">
        <v>3</v>
      </c>
      <c r="R567" t="s">
        <v>3</v>
      </c>
      <c r="S567" t="s">
        <v>3</v>
      </c>
      <c r="T567" t="s">
        <v>7</v>
      </c>
      <c r="U567">
        <v>0</v>
      </c>
      <c r="V567">
        <v>1</v>
      </c>
      <c r="W567">
        <v>0</v>
      </c>
      <c r="X567">
        <v>2</v>
      </c>
      <c r="Y567">
        <v>0</v>
      </c>
      <c r="Z567" t="s">
        <v>29</v>
      </c>
      <c r="AA567" t="s">
        <v>4</v>
      </c>
      <c r="AB567" t="s">
        <v>6</v>
      </c>
      <c r="AC567" t="s">
        <v>7</v>
      </c>
      <c r="AD567" t="s">
        <v>8</v>
      </c>
      <c r="AE567" t="s">
        <v>6</v>
      </c>
      <c r="AF567" t="s">
        <v>3</v>
      </c>
      <c r="AG567" t="s">
        <v>3</v>
      </c>
      <c r="AH567" t="s">
        <v>3</v>
      </c>
      <c r="AI567" t="s">
        <v>3</v>
      </c>
      <c r="AJ567" t="s">
        <v>3</v>
      </c>
      <c r="AK567" t="s">
        <v>7</v>
      </c>
      <c r="AL567">
        <v>0</v>
      </c>
      <c r="AM567">
        <v>0</v>
      </c>
      <c r="AN567">
        <v>0</v>
      </c>
      <c r="AO567">
        <v>0</v>
      </c>
      <c r="AP567">
        <v>0</v>
      </c>
      <c r="AQ567" t="s">
        <v>9</v>
      </c>
      <c r="AR567" s="1">
        <v>6.7083526299999995E-5</v>
      </c>
      <c r="AS567" s="1">
        <v>4.46594203E-26</v>
      </c>
      <c r="AT567">
        <v>24</v>
      </c>
      <c r="AU567" t="s">
        <v>10</v>
      </c>
      <c r="AV567">
        <v>0</v>
      </c>
      <c r="AW567">
        <v>1</v>
      </c>
      <c r="AX567">
        <v>0</v>
      </c>
      <c r="AY567">
        <v>2</v>
      </c>
      <c r="AZ567">
        <v>0</v>
      </c>
      <c r="BA567" t="s">
        <v>29</v>
      </c>
      <c r="BB567" t="s">
        <v>4</v>
      </c>
      <c r="BC567" t="s">
        <v>10</v>
      </c>
      <c r="BD567">
        <v>0</v>
      </c>
      <c r="BE567">
        <v>0</v>
      </c>
      <c r="BF567">
        <v>0</v>
      </c>
      <c r="BG567">
        <v>0</v>
      </c>
      <c r="BH567">
        <v>0</v>
      </c>
      <c r="BI567" t="s">
        <v>9</v>
      </c>
      <c r="BJ567">
        <v>5.9799999999999997E-5</v>
      </c>
      <c r="BK567">
        <v>0</v>
      </c>
      <c r="BL567">
        <v>-3.04E-5</v>
      </c>
      <c r="BM567" s="2">
        <f t="shared" si="8"/>
        <v>2.6894531709297821E-7</v>
      </c>
    </row>
    <row r="568" spans="1:65" x14ac:dyDescent="0.35">
      <c r="A568">
        <v>0</v>
      </c>
      <c r="B568" t="s">
        <v>3</v>
      </c>
      <c r="C568" t="s">
        <v>4</v>
      </c>
      <c r="D568">
        <v>0</v>
      </c>
      <c r="E568" t="s">
        <v>3</v>
      </c>
      <c r="F568" t="s">
        <v>5</v>
      </c>
      <c r="G568">
        <v>2729.4507410000001</v>
      </c>
      <c r="H568" t="s">
        <v>4</v>
      </c>
      <c r="I568">
        <v>990.16341899999998</v>
      </c>
      <c r="J568">
        <v>1739.2873219999999</v>
      </c>
      <c r="K568" t="s">
        <v>6</v>
      </c>
      <c r="L568" t="s">
        <v>7</v>
      </c>
      <c r="M568" t="s">
        <v>8</v>
      </c>
      <c r="N568" t="s">
        <v>6</v>
      </c>
      <c r="O568" t="s">
        <v>3</v>
      </c>
      <c r="P568" t="s">
        <v>3</v>
      </c>
      <c r="Q568" t="s">
        <v>3</v>
      </c>
      <c r="R568" t="s">
        <v>3</v>
      </c>
      <c r="S568" t="s">
        <v>3</v>
      </c>
      <c r="T568" t="s">
        <v>7</v>
      </c>
      <c r="U568">
        <v>0</v>
      </c>
      <c r="V568">
        <v>0</v>
      </c>
      <c r="W568">
        <v>0</v>
      </c>
      <c r="X568">
        <v>0</v>
      </c>
      <c r="Y568">
        <v>2</v>
      </c>
      <c r="Z568" t="s">
        <v>9</v>
      </c>
      <c r="AA568" t="s">
        <v>4</v>
      </c>
      <c r="AB568" t="s">
        <v>6</v>
      </c>
      <c r="AC568" t="s">
        <v>7</v>
      </c>
      <c r="AD568" t="s">
        <v>8</v>
      </c>
      <c r="AE568" t="s">
        <v>6</v>
      </c>
      <c r="AF568" t="s">
        <v>3</v>
      </c>
      <c r="AG568" t="s">
        <v>3</v>
      </c>
      <c r="AH568" t="s">
        <v>3</v>
      </c>
      <c r="AI568" t="s">
        <v>3</v>
      </c>
      <c r="AJ568" t="s">
        <v>3</v>
      </c>
      <c r="AK568" t="s">
        <v>7</v>
      </c>
      <c r="AL568">
        <v>0</v>
      </c>
      <c r="AM568">
        <v>0</v>
      </c>
      <c r="AN568">
        <v>0</v>
      </c>
      <c r="AO568">
        <v>0</v>
      </c>
      <c r="AP568">
        <v>0</v>
      </c>
      <c r="AQ568" t="s">
        <v>9</v>
      </c>
      <c r="AR568" s="1">
        <v>3.1821670099999998E-2</v>
      </c>
      <c r="AS568" s="1">
        <v>4.7308100600000003E-21</v>
      </c>
      <c r="AT568">
        <v>23</v>
      </c>
      <c r="AU568" t="s">
        <v>10</v>
      </c>
      <c r="AV568">
        <v>0</v>
      </c>
      <c r="AW568">
        <v>0</v>
      </c>
      <c r="AX568">
        <v>0</v>
      </c>
      <c r="AY568">
        <v>0</v>
      </c>
      <c r="AZ568">
        <v>2</v>
      </c>
      <c r="BA568" t="s">
        <v>9</v>
      </c>
      <c r="BB568" t="s">
        <v>4</v>
      </c>
      <c r="BC568" t="s">
        <v>10</v>
      </c>
      <c r="BD568">
        <v>0</v>
      </c>
      <c r="BE568">
        <v>0</v>
      </c>
      <c r="BF568">
        <v>0</v>
      </c>
      <c r="BG568">
        <v>0</v>
      </c>
      <c r="BH568">
        <v>0</v>
      </c>
      <c r="BI568" t="s">
        <v>9</v>
      </c>
      <c r="BJ568">
        <v>2.0729319999999999E-2</v>
      </c>
      <c r="BK568">
        <v>0</v>
      </c>
      <c r="BL568">
        <v>-2.4143609999999999E-2</v>
      </c>
      <c r="BM568" s="2">
        <f t="shared" si="8"/>
        <v>2.8489604279376447E-2</v>
      </c>
    </row>
    <row r="569" spans="1:65" x14ac:dyDescent="0.35">
      <c r="A569">
        <v>0</v>
      </c>
      <c r="B569" t="s">
        <v>3</v>
      </c>
      <c r="C569" t="s">
        <v>4</v>
      </c>
      <c r="D569">
        <v>0</v>
      </c>
      <c r="E569" t="s">
        <v>3</v>
      </c>
      <c r="F569" t="s">
        <v>5</v>
      </c>
      <c r="G569">
        <v>4804.3474340000002</v>
      </c>
      <c r="H569" t="s">
        <v>4</v>
      </c>
      <c r="I569">
        <v>990.16341899999998</v>
      </c>
      <c r="J569">
        <v>3814.1840149999998</v>
      </c>
      <c r="K569" t="s">
        <v>6</v>
      </c>
      <c r="L569" t="s">
        <v>7</v>
      </c>
      <c r="M569" t="s">
        <v>8</v>
      </c>
      <c r="N569" t="s">
        <v>6</v>
      </c>
      <c r="O569" t="s">
        <v>3</v>
      </c>
      <c r="P569" t="s">
        <v>3</v>
      </c>
      <c r="Q569" t="s">
        <v>3</v>
      </c>
      <c r="R569" t="s">
        <v>3</v>
      </c>
      <c r="S569" t="s">
        <v>3</v>
      </c>
      <c r="T569" t="s">
        <v>7</v>
      </c>
      <c r="U569">
        <v>0</v>
      </c>
      <c r="V569">
        <v>0</v>
      </c>
      <c r="W569">
        <v>0</v>
      </c>
      <c r="X569">
        <v>8</v>
      </c>
      <c r="Y569">
        <v>0</v>
      </c>
      <c r="Z569" t="s">
        <v>9</v>
      </c>
      <c r="AA569" t="s">
        <v>4</v>
      </c>
      <c r="AB569" t="s">
        <v>6</v>
      </c>
      <c r="AC569" t="s">
        <v>7</v>
      </c>
      <c r="AD569" t="s">
        <v>8</v>
      </c>
      <c r="AE569" t="s">
        <v>6</v>
      </c>
      <c r="AF569" t="s">
        <v>3</v>
      </c>
      <c r="AG569" t="s">
        <v>3</v>
      </c>
      <c r="AH569" t="s">
        <v>3</v>
      </c>
      <c r="AI569" t="s">
        <v>3</v>
      </c>
      <c r="AJ569" t="s">
        <v>3</v>
      </c>
      <c r="AK569" t="s">
        <v>7</v>
      </c>
      <c r="AL569">
        <v>0</v>
      </c>
      <c r="AM569">
        <v>0</v>
      </c>
      <c r="AN569">
        <v>0</v>
      </c>
      <c r="AO569">
        <v>0</v>
      </c>
      <c r="AP569">
        <v>0</v>
      </c>
      <c r="AQ569" t="s">
        <v>9</v>
      </c>
      <c r="AR569" s="1">
        <v>6.9973944400000005E-5</v>
      </c>
      <c r="AS569" s="1">
        <v>5.0175361700000001E-26</v>
      </c>
      <c r="AT569">
        <v>25</v>
      </c>
      <c r="AU569" t="s">
        <v>10</v>
      </c>
      <c r="AV569">
        <v>0</v>
      </c>
      <c r="AW569">
        <v>0</v>
      </c>
      <c r="AX569">
        <v>0</v>
      </c>
      <c r="AY569">
        <v>8</v>
      </c>
      <c r="AZ569">
        <v>0</v>
      </c>
      <c r="BA569" t="s">
        <v>9</v>
      </c>
      <c r="BB569" t="s">
        <v>4</v>
      </c>
      <c r="BC569" t="s">
        <v>10</v>
      </c>
      <c r="BD569">
        <v>0</v>
      </c>
      <c r="BE569">
        <v>0</v>
      </c>
      <c r="BF569">
        <v>0</v>
      </c>
      <c r="BG569">
        <v>0</v>
      </c>
      <c r="BH569">
        <v>0</v>
      </c>
      <c r="BI569" t="s">
        <v>9</v>
      </c>
      <c r="BJ569">
        <v>-4.3439999999999997E-5</v>
      </c>
      <c r="BK569">
        <v>0</v>
      </c>
      <c r="BL569">
        <v>5.486E-5</v>
      </c>
      <c r="BM569" s="2">
        <f t="shared" si="8"/>
        <v>3.0216309284832737E-7</v>
      </c>
    </row>
    <row r="570" spans="1:65" x14ac:dyDescent="0.35">
      <c r="A570">
        <v>0</v>
      </c>
      <c r="B570" t="s">
        <v>3</v>
      </c>
      <c r="C570" t="s">
        <v>4</v>
      </c>
      <c r="D570">
        <v>0</v>
      </c>
      <c r="E570" t="s">
        <v>3</v>
      </c>
      <c r="F570" t="s">
        <v>5</v>
      </c>
      <c r="G570">
        <v>3264.048237</v>
      </c>
      <c r="H570" t="s">
        <v>4</v>
      </c>
      <c r="I570">
        <v>990.16341899999998</v>
      </c>
      <c r="J570">
        <v>2273.884818</v>
      </c>
      <c r="K570" t="s">
        <v>6</v>
      </c>
      <c r="L570" t="s">
        <v>7</v>
      </c>
      <c r="M570" t="s">
        <v>8</v>
      </c>
      <c r="N570" t="s">
        <v>6</v>
      </c>
      <c r="O570" t="s">
        <v>3</v>
      </c>
      <c r="P570" t="s">
        <v>3</v>
      </c>
      <c r="Q570" t="s">
        <v>3</v>
      </c>
      <c r="R570" t="s">
        <v>3</v>
      </c>
      <c r="S570" t="s">
        <v>3</v>
      </c>
      <c r="T570" t="s">
        <v>7</v>
      </c>
      <c r="U570">
        <v>1</v>
      </c>
      <c r="V570">
        <v>0</v>
      </c>
      <c r="W570">
        <v>0</v>
      </c>
      <c r="X570">
        <v>6</v>
      </c>
      <c r="Y570">
        <v>0</v>
      </c>
      <c r="Z570" t="s">
        <v>8</v>
      </c>
      <c r="AA570" t="s">
        <v>4</v>
      </c>
      <c r="AB570" t="s">
        <v>6</v>
      </c>
      <c r="AC570" t="s">
        <v>7</v>
      </c>
      <c r="AD570" t="s">
        <v>8</v>
      </c>
      <c r="AE570" t="s">
        <v>6</v>
      </c>
      <c r="AF570" t="s">
        <v>3</v>
      </c>
      <c r="AG570" t="s">
        <v>3</v>
      </c>
      <c r="AH570" t="s">
        <v>3</v>
      </c>
      <c r="AI570" t="s">
        <v>3</v>
      </c>
      <c r="AJ570" t="s">
        <v>3</v>
      </c>
      <c r="AK570" t="s">
        <v>7</v>
      </c>
      <c r="AL570">
        <v>0</v>
      </c>
      <c r="AM570">
        <v>0</v>
      </c>
      <c r="AN570">
        <v>0</v>
      </c>
      <c r="AO570">
        <v>0</v>
      </c>
      <c r="AP570">
        <v>0</v>
      </c>
      <c r="AQ570" t="s">
        <v>9</v>
      </c>
      <c r="AR570" s="1">
        <v>2.9518514299999998E-6</v>
      </c>
      <c r="AS570" s="1">
        <v>5.3231193699999997E-29</v>
      </c>
      <c r="AT570">
        <v>27</v>
      </c>
      <c r="AU570" t="s">
        <v>10</v>
      </c>
      <c r="AV570">
        <v>1</v>
      </c>
      <c r="AW570">
        <v>0</v>
      </c>
      <c r="AX570">
        <v>0</v>
      </c>
      <c r="AY570">
        <v>6</v>
      </c>
      <c r="AZ570">
        <v>0</v>
      </c>
      <c r="BA570" t="s">
        <v>8</v>
      </c>
      <c r="BB570" t="s">
        <v>4</v>
      </c>
      <c r="BC570" t="s">
        <v>10</v>
      </c>
      <c r="BD570">
        <v>0</v>
      </c>
      <c r="BE570">
        <v>0</v>
      </c>
      <c r="BF570">
        <v>0</v>
      </c>
      <c r="BG570">
        <v>0</v>
      </c>
      <c r="BH570">
        <v>0</v>
      </c>
      <c r="BI570" t="s">
        <v>9</v>
      </c>
      <c r="BJ570">
        <v>2.9399999999999998E-6</v>
      </c>
      <c r="BK570">
        <v>0</v>
      </c>
      <c r="BL570">
        <v>-2.2999999999999999E-7</v>
      </c>
      <c r="BM570" s="2">
        <f t="shared" si="8"/>
        <v>3.2056574341347299E-10</v>
      </c>
    </row>
    <row r="571" spans="1:65" x14ac:dyDescent="0.35">
      <c r="A571">
        <v>0</v>
      </c>
      <c r="B571" t="s">
        <v>11</v>
      </c>
      <c r="C571" t="s">
        <v>4</v>
      </c>
      <c r="D571">
        <v>0</v>
      </c>
      <c r="E571" t="s">
        <v>3</v>
      </c>
      <c r="F571" t="s">
        <v>5</v>
      </c>
      <c r="G571">
        <v>4438.5949030000002</v>
      </c>
      <c r="H571" t="s">
        <v>4</v>
      </c>
      <c r="I571">
        <v>990.16341899999998</v>
      </c>
      <c r="J571">
        <v>3448.4314840000002</v>
      </c>
      <c r="K571" t="s">
        <v>6</v>
      </c>
      <c r="L571" t="s">
        <v>7</v>
      </c>
      <c r="M571" t="s">
        <v>8</v>
      </c>
      <c r="N571" t="s">
        <v>6</v>
      </c>
      <c r="O571" t="s">
        <v>3</v>
      </c>
      <c r="P571" t="s">
        <v>3</v>
      </c>
      <c r="Q571" t="s">
        <v>3</v>
      </c>
      <c r="R571" t="s">
        <v>3</v>
      </c>
      <c r="S571" t="s">
        <v>11</v>
      </c>
      <c r="T571" t="s">
        <v>7</v>
      </c>
      <c r="U571">
        <v>0</v>
      </c>
      <c r="V571">
        <v>0</v>
      </c>
      <c r="W571">
        <v>0</v>
      </c>
      <c r="X571">
        <v>9</v>
      </c>
      <c r="Y571">
        <v>0</v>
      </c>
      <c r="Z571" t="s">
        <v>18</v>
      </c>
      <c r="AA571" t="s">
        <v>4</v>
      </c>
      <c r="AB571" t="s">
        <v>6</v>
      </c>
      <c r="AC571" t="s">
        <v>7</v>
      </c>
      <c r="AD571" t="s">
        <v>8</v>
      </c>
      <c r="AE571" t="s">
        <v>6</v>
      </c>
      <c r="AF571" t="s">
        <v>3</v>
      </c>
      <c r="AG571" t="s">
        <v>3</v>
      </c>
      <c r="AH571" t="s">
        <v>3</v>
      </c>
      <c r="AI571" t="s">
        <v>3</v>
      </c>
      <c r="AJ571" t="s">
        <v>3</v>
      </c>
      <c r="AK571" t="s">
        <v>7</v>
      </c>
      <c r="AL571">
        <v>0</v>
      </c>
      <c r="AM571">
        <v>0</v>
      </c>
      <c r="AN571">
        <v>0</v>
      </c>
      <c r="AO571">
        <v>0</v>
      </c>
      <c r="AP571">
        <v>0</v>
      </c>
      <c r="AQ571" t="s">
        <v>9</v>
      </c>
      <c r="AR571" s="1">
        <v>1.84617162E-6</v>
      </c>
      <c r="AS571" s="1">
        <v>3.1577800800000001E-29</v>
      </c>
      <c r="AT571">
        <v>10</v>
      </c>
      <c r="AU571" t="s">
        <v>10</v>
      </c>
      <c r="AV571">
        <v>0</v>
      </c>
      <c r="AW571">
        <v>0</v>
      </c>
      <c r="AX571">
        <v>0</v>
      </c>
      <c r="AY571">
        <v>9</v>
      </c>
      <c r="AZ571">
        <v>0</v>
      </c>
      <c r="BA571" t="s">
        <v>18</v>
      </c>
      <c r="BB571" t="s">
        <v>4</v>
      </c>
      <c r="BC571" t="s">
        <v>10</v>
      </c>
      <c r="BD571">
        <v>0</v>
      </c>
      <c r="BE571">
        <v>0</v>
      </c>
      <c r="BF571">
        <v>0</v>
      </c>
      <c r="BG571">
        <v>0</v>
      </c>
      <c r="BH571">
        <v>0</v>
      </c>
      <c r="BI571" t="s">
        <v>9</v>
      </c>
      <c r="BJ571">
        <v>0</v>
      </c>
      <c r="BK571">
        <v>1.8500000000000001E-6</v>
      </c>
      <c r="BL571">
        <v>0</v>
      </c>
      <c r="BM571" s="2">
        <f t="shared" si="8"/>
        <v>1.9016596257195262E-10</v>
      </c>
    </row>
    <row r="572" spans="1:65" x14ac:dyDescent="0.35">
      <c r="A572">
        <v>0</v>
      </c>
      <c r="B572" t="s">
        <v>11</v>
      </c>
      <c r="C572" t="s">
        <v>4</v>
      </c>
      <c r="D572">
        <v>0</v>
      </c>
      <c r="E572" t="s">
        <v>3</v>
      </c>
      <c r="F572" t="s">
        <v>5</v>
      </c>
      <c r="G572">
        <v>4330.3866289999996</v>
      </c>
      <c r="H572" t="s">
        <v>4</v>
      </c>
      <c r="I572">
        <v>990.16341899999998</v>
      </c>
      <c r="J572">
        <v>3340.2232100000001</v>
      </c>
      <c r="K572" t="s">
        <v>6</v>
      </c>
      <c r="L572" t="s">
        <v>7</v>
      </c>
      <c r="M572" t="s">
        <v>8</v>
      </c>
      <c r="N572" t="s">
        <v>6</v>
      </c>
      <c r="O572" t="s">
        <v>3</v>
      </c>
      <c r="P572" t="s">
        <v>3</v>
      </c>
      <c r="Q572" t="s">
        <v>3</v>
      </c>
      <c r="R572" t="s">
        <v>3</v>
      </c>
      <c r="S572" t="s">
        <v>11</v>
      </c>
      <c r="T572" t="s">
        <v>7</v>
      </c>
      <c r="U572">
        <v>0</v>
      </c>
      <c r="V572">
        <v>1</v>
      </c>
      <c r="W572">
        <v>0</v>
      </c>
      <c r="X572">
        <v>2</v>
      </c>
      <c r="Y572">
        <v>0</v>
      </c>
      <c r="Z572" t="s">
        <v>19</v>
      </c>
      <c r="AA572" t="s">
        <v>4</v>
      </c>
      <c r="AB572" t="s">
        <v>6</v>
      </c>
      <c r="AC572" t="s">
        <v>7</v>
      </c>
      <c r="AD572" t="s">
        <v>8</v>
      </c>
      <c r="AE572" t="s">
        <v>6</v>
      </c>
      <c r="AF572" t="s">
        <v>3</v>
      </c>
      <c r="AG572" t="s">
        <v>3</v>
      </c>
      <c r="AH572" t="s">
        <v>3</v>
      </c>
      <c r="AI572" t="s">
        <v>3</v>
      </c>
      <c r="AJ572" t="s">
        <v>3</v>
      </c>
      <c r="AK572" t="s">
        <v>7</v>
      </c>
      <c r="AL572">
        <v>0</v>
      </c>
      <c r="AM572">
        <v>0</v>
      </c>
      <c r="AN572">
        <v>0</v>
      </c>
      <c r="AO572">
        <v>0</v>
      </c>
      <c r="AP572">
        <v>0</v>
      </c>
      <c r="AQ572" t="s">
        <v>9</v>
      </c>
      <c r="AR572" s="1">
        <v>2.4268027199999999E-6</v>
      </c>
      <c r="AS572" s="1">
        <v>5.2851894000000002E-29</v>
      </c>
      <c r="AT572">
        <v>24</v>
      </c>
      <c r="AU572" t="s">
        <v>10</v>
      </c>
      <c r="AV572">
        <v>0</v>
      </c>
      <c r="AW572">
        <v>1</v>
      </c>
      <c r="AX572">
        <v>0</v>
      </c>
      <c r="AY572">
        <v>2</v>
      </c>
      <c r="AZ572">
        <v>0</v>
      </c>
      <c r="BA572" t="s">
        <v>19</v>
      </c>
      <c r="BB572" t="s">
        <v>4</v>
      </c>
      <c r="BC572" t="s">
        <v>10</v>
      </c>
      <c r="BD572">
        <v>0</v>
      </c>
      <c r="BE572">
        <v>0</v>
      </c>
      <c r="BF572">
        <v>0</v>
      </c>
      <c r="BG572">
        <v>0</v>
      </c>
      <c r="BH572">
        <v>0</v>
      </c>
      <c r="BI572" t="s">
        <v>9</v>
      </c>
      <c r="BJ572">
        <v>0</v>
      </c>
      <c r="BK572">
        <v>2.43E-6</v>
      </c>
      <c r="BL572">
        <v>0</v>
      </c>
      <c r="BM572" s="2">
        <f t="shared" si="8"/>
        <v>3.1828154721467524E-10</v>
      </c>
    </row>
    <row r="573" spans="1:65" x14ac:dyDescent="0.35">
      <c r="A573">
        <v>0</v>
      </c>
      <c r="B573" t="s">
        <v>11</v>
      </c>
      <c r="C573" t="s">
        <v>4</v>
      </c>
      <c r="D573">
        <v>0</v>
      </c>
      <c r="E573" t="s">
        <v>3</v>
      </c>
      <c r="F573" t="s">
        <v>5</v>
      </c>
      <c r="G573">
        <v>3057.0060239999998</v>
      </c>
      <c r="H573" t="s">
        <v>4</v>
      </c>
      <c r="I573">
        <v>990.16341899999998</v>
      </c>
      <c r="J573">
        <v>2066.8426049999998</v>
      </c>
      <c r="K573" t="s">
        <v>6</v>
      </c>
      <c r="L573" t="s">
        <v>7</v>
      </c>
      <c r="M573" t="s">
        <v>8</v>
      </c>
      <c r="N573" t="s">
        <v>6</v>
      </c>
      <c r="O573" t="s">
        <v>3</v>
      </c>
      <c r="P573" t="s">
        <v>3</v>
      </c>
      <c r="Q573" t="s">
        <v>3</v>
      </c>
      <c r="R573" t="s">
        <v>3</v>
      </c>
      <c r="S573" t="s">
        <v>11</v>
      </c>
      <c r="T573" t="s">
        <v>7</v>
      </c>
      <c r="U573">
        <v>0</v>
      </c>
      <c r="V573">
        <v>0</v>
      </c>
      <c r="W573">
        <v>0</v>
      </c>
      <c r="X573">
        <v>2</v>
      </c>
      <c r="Y573">
        <v>0</v>
      </c>
      <c r="Z573" t="s">
        <v>19</v>
      </c>
      <c r="AA573" t="s">
        <v>4</v>
      </c>
      <c r="AB573" t="s">
        <v>6</v>
      </c>
      <c r="AC573" t="s">
        <v>7</v>
      </c>
      <c r="AD573" t="s">
        <v>8</v>
      </c>
      <c r="AE573" t="s">
        <v>6</v>
      </c>
      <c r="AF573" t="s">
        <v>3</v>
      </c>
      <c r="AG573" t="s">
        <v>3</v>
      </c>
      <c r="AH573" t="s">
        <v>3</v>
      </c>
      <c r="AI573" t="s">
        <v>3</v>
      </c>
      <c r="AJ573" t="s">
        <v>3</v>
      </c>
      <c r="AK573" t="s">
        <v>7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9</v>
      </c>
      <c r="AR573" s="1">
        <v>9.4488432699999997E-5</v>
      </c>
      <c r="AS573" s="1">
        <v>4.9574771500000002E-26</v>
      </c>
      <c r="AT573">
        <v>25</v>
      </c>
      <c r="AU573" t="s">
        <v>10</v>
      </c>
      <c r="AV573">
        <v>0</v>
      </c>
      <c r="AW573">
        <v>0</v>
      </c>
      <c r="AX573">
        <v>0</v>
      </c>
      <c r="AY573">
        <v>2</v>
      </c>
      <c r="AZ573">
        <v>0</v>
      </c>
      <c r="BA573" t="s">
        <v>19</v>
      </c>
      <c r="BB573" t="s">
        <v>4</v>
      </c>
      <c r="BC573" t="s">
        <v>10</v>
      </c>
      <c r="BD573">
        <v>0</v>
      </c>
      <c r="BE573">
        <v>0</v>
      </c>
      <c r="BF573">
        <v>0</v>
      </c>
      <c r="BG573">
        <v>0</v>
      </c>
      <c r="BH573">
        <v>0</v>
      </c>
      <c r="BI573" t="s">
        <v>9</v>
      </c>
      <c r="BJ573">
        <v>0</v>
      </c>
      <c r="BK573">
        <v>9.4489999999999998E-5</v>
      </c>
      <c r="BL573">
        <v>0</v>
      </c>
      <c r="BM573" s="2">
        <f t="shared" si="8"/>
        <v>2.985462541008272E-7</v>
      </c>
    </row>
    <row r="574" spans="1:65" x14ac:dyDescent="0.35">
      <c r="A574">
        <v>0</v>
      </c>
      <c r="B574" t="s">
        <v>11</v>
      </c>
      <c r="C574" t="s">
        <v>4</v>
      </c>
      <c r="D574">
        <v>0</v>
      </c>
      <c r="E574" t="s">
        <v>3</v>
      </c>
      <c r="F574" t="s">
        <v>5</v>
      </c>
      <c r="G574">
        <v>4749.8404019999998</v>
      </c>
      <c r="H574" t="s">
        <v>4</v>
      </c>
      <c r="I574">
        <v>990.16341899999998</v>
      </c>
      <c r="J574">
        <v>3759.6769829999998</v>
      </c>
      <c r="K574" t="s">
        <v>6</v>
      </c>
      <c r="L574" t="s">
        <v>7</v>
      </c>
      <c r="M574" t="s">
        <v>8</v>
      </c>
      <c r="N574" t="s">
        <v>6</v>
      </c>
      <c r="O574" t="s">
        <v>3</v>
      </c>
      <c r="P574" t="s">
        <v>3</v>
      </c>
      <c r="Q574" t="s">
        <v>3</v>
      </c>
      <c r="R574" t="s">
        <v>3</v>
      </c>
      <c r="S574" t="s">
        <v>11</v>
      </c>
      <c r="T574" t="s">
        <v>7</v>
      </c>
      <c r="U574">
        <v>2</v>
      </c>
      <c r="V574">
        <v>2</v>
      </c>
      <c r="W574">
        <v>0</v>
      </c>
      <c r="X574">
        <v>0</v>
      </c>
      <c r="Y574">
        <v>0</v>
      </c>
      <c r="Z574" t="s">
        <v>18</v>
      </c>
      <c r="AA574" t="s">
        <v>4</v>
      </c>
      <c r="AB574" t="s">
        <v>6</v>
      </c>
      <c r="AC574" t="s">
        <v>7</v>
      </c>
      <c r="AD574" t="s">
        <v>8</v>
      </c>
      <c r="AE574" t="s">
        <v>6</v>
      </c>
      <c r="AF574" t="s">
        <v>3</v>
      </c>
      <c r="AG574" t="s">
        <v>3</v>
      </c>
      <c r="AH574" t="s">
        <v>3</v>
      </c>
      <c r="AI574" t="s">
        <v>3</v>
      </c>
      <c r="AJ574" t="s">
        <v>3</v>
      </c>
      <c r="AK574" t="s">
        <v>7</v>
      </c>
      <c r="AL574">
        <v>0</v>
      </c>
      <c r="AM574">
        <v>0</v>
      </c>
      <c r="AN574">
        <v>0</v>
      </c>
      <c r="AO574">
        <v>0</v>
      </c>
      <c r="AP574">
        <v>0</v>
      </c>
      <c r="AQ574" t="s">
        <v>9</v>
      </c>
      <c r="AR574" s="1">
        <v>2.1858059899999998E-6</v>
      </c>
      <c r="AS574" s="1">
        <v>4.8260288599999998E-29</v>
      </c>
      <c r="AT574">
        <v>24</v>
      </c>
      <c r="AU574" t="s">
        <v>10</v>
      </c>
      <c r="AV574">
        <v>2</v>
      </c>
      <c r="AW574">
        <v>2</v>
      </c>
      <c r="AX574">
        <v>0</v>
      </c>
      <c r="AY574">
        <v>0</v>
      </c>
      <c r="AZ574">
        <v>0</v>
      </c>
      <c r="BA574" t="s">
        <v>18</v>
      </c>
      <c r="BB574" t="s">
        <v>4</v>
      </c>
      <c r="BC574" t="s">
        <v>10</v>
      </c>
      <c r="BD574">
        <v>0</v>
      </c>
      <c r="BE574">
        <v>0</v>
      </c>
      <c r="BF574">
        <v>0</v>
      </c>
      <c r="BG574">
        <v>0</v>
      </c>
      <c r="BH574">
        <v>0</v>
      </c>
      <c r="BI574" t="s">
        <v>9</v>
      </c>
      <c r="BJ574">
        <v>0</v>
      </c>
      <c r="BK574">
        <v>-2.1900000000000002E-6</v>
      </c>
      <c r="BL574">
        <v>0</v>
      </c>
      <c r="BM574" s="2">
        <f t="shared" si="8"/>
        <v>2.9063025299783487E-10</v>
      </c>
    </row>
    <row r="575" spans="1:65" x14ac:dyDescent="0.35">
      <c r="A575">
        <v>0</v>
      </c>
      <c r="B575" t="s">
        <v>3</v>
      </c>
      <c r="C575" t="s">
        <v>4</v>
      </c>
      <c r="D575">
        <v>0</v>
      </c>
      <c r="E575" t="s">
        <v>3</v>
      </c>
      <c r="F575" t="s">
        <v>5</v>
      </c>
      <c r="G575">
        <v>1849.0365059999999</v>
      </c>
      <c r="H575" t="s">
        <v>4</v>
      </c>
      <c r="I575">
        <v>990.16341899999998</v>
      </c>
      <c r="J575">
        <v>858.87308700000006</v>
      </c>
      <c r="K575" t="s">
        <v>6</v>
      </c>
      <c r="L575" t="s">
        <v>7</v>
      </c>
      <c r="M575" t="s">
        <v>8</v>
      </c>
      <c r="N575" t="s">
        <v>6</v>
      </c>
      <c r="O575" t="s">
        <v>3</v>
      </c>
      <c r="P575" t="s">
        <v>3</v>
      </c>
      <c r="Q575" t="s">
        <v>3</v>
      </c>
      <c r="R575" t="s">
        <v>3</v>
      </c>
      <c r="S575" t="s">
        <v>3</v>
      </c>
      <c r="T575" t="s">
        <v>7</v>
      </c>
      <c r="U575">
        <v>0</v>
      </c>
      <c r="V575">
        <v>0</v>
      </c>
      <c r="W575">
        <v>0</v>
      </c>
      <c r="X575">
        <v>0</v>
      </c>
      <c r="Y575">
        <v>0</v>
      </c>
      <c r="Z575" t="s">
        <v>21</v>
      </c>
      <c r="AA575" t="s">
        <v>4</v>
      </c>
      <c r="AB575" t="s">
        <v>6</v>
      </c>
      <c r="AC575" t="s">
        <v>7</v>
      </c>
      <c r="AD575" t="s">
        <v>8</v>
      </c>
      <c r="AE575" t="s">
        <v>6</v>
      </c>
      <c r="AF575" t="s">
        <v>3</v>
      </c>
      <c r="AG575" t="s">
        <v>3</v>
      </c>
      <c r="AH575" t="s">
        <v>3</v>
      </c>
      <c r="AI575" t="s">
        <v>3</v>
      </c>
      <c r="AJ575" t="s">
        <v>3</v>
      </c>
      <c r="AK575" t="s">
        <v>7</v>
      </c>
      <c r="AL575">
        <v>0</v>
      </c>
      <c r="AM575">
        <v>0</v>
      </c>
      <c r="AN575">
        <v>0</v>
      </c>
      <c r="AO575">
        <v>0</v>
      </c>
      <c r="AP575">
        <v>0</v>
      </c>
      <c r="AQ575" t="s">
        <v>9</v>
      </c>
      <c r="AR575" s="1">
        <v>0.289821577</v>
      </c>
      <c r="AS575" s="1">
        <v>1.9075797300000001E-19</v>
      </c>
      <c r="AT575">
        <v>28</v>
      </c>
      <c r="AU575" t="s">
        <v>10</v>
      </c>
      <c r="AV575">
        <v>0</v>
      </c>
      <c r="AW575">
        <v>0</v>
      </c>
      <c r="AX575">
        <v>0</v>
      </c>
      <c r="AY575">
        <v>0</v>
      </c>
      <c r="AZ575">
        <v>0</v>
      </c>
      <c r="BA575" t="s">
        <v>21</v>
      </c>
      <c r="BB575" t="s">
        <v>4</v>
      </c>
      <c r="BC575" t="s">
        <v>10</v>
      </c>
      <c r="BD575">
        <v>0</v>
      </c>
      <c r="BE575">
        <v>0</v>
      </c>
      <c r="BF575">
        <v>0</v>
      </c>
      <c r="BG575">
        <v>0</v>
      </c>
      <c r="BH575">
        <v>0</v>
      </c>
      <c r="BI575" t="s">
        <v>9</v>
      </c>
      <c r="BJ575">
        <v>-4.2395719999999998E-2</v>
      </c>
      <c r="BK575">
        <v>0</v>
      </c>
      <c r="BL575">
        <v>-0.28670393999999999</v>
      </c>
      <c r="BM575" s="2">
        <f t="shared" si="8"/>
        <v>1.1487713721285984</v>
      </c>
    </row>
    <row r="576" spans="1:65" x14ac:dyDescent="0.35">
      <c r="A576">
        <v>0</v>
      </c>
      <c r="B576" t="s">
        <v>3</v>
      </c>
      <c r="C576" t="s">
        <v>4</v>
      </c>
      <c r="D576">
        <v>0</v>
      </c>
      <c r="E576" t="s">
        <v>3</v>
      </c>
      <c r="F576" t="s">
        <v>5</v>
      </c>
      <c r="G576">
        <v>4979.0851469999998</v>
      </c>
      <c r="H576" t="s">
        <v>4</v>
      </c>
      <c r="I576">
        <v>990.16341899999998</v>
      </c>
      <c r="J576">
        <v>3988.9217279999998</v>
      </c>
      <c r="K576" t="s">
        <v>6</v>
      </c>
      <c r="L576" t="s">
        <v>7</v>
      </c>
      <c r="M576" t="s">
        <v>8</v>
      </c>
      <c r="N576" t="s">
        <v>6</v>
      </c>
      <c r="O576" t="s">
        <v>3</v>
      </c>
      <c r="P576" t="s">
        <v>3</v>
      </c>
      <c r="Q576" t="s">
        <v>3</v>
      </c>
      <c r="R576" t="s">
        <v>3</v>
      </c>
      <c r="S576" t="s">
        <v>3</v>
      </c>
      <c r="T576" t="s">
        <v>7</v>
      </c>
      <c r="U576">
        <v>1</v>
      </c>
      <c r="V576">
        <v>0</v>
      </c>
      <c r="W576">
        <v>0</v>
      </c>
      <c r="X576">
        <v>7</v>
      </c>
      <c r="Y576">
        <v>0</v>
      </c>
      <c r="Z576" t="s">
        <v>15</v>
      </c>
      <c r="AA576" t="s">
        <v>4</v>
      </c>
      <c r="AB576" t="s">
        <v>6</v>
      </c>
      <c r="AC576" t="s">
        <v>7</v>
      </c>
      <c r="AD576" t="s">
        <v>8</v>
      </c>
      <c r="AE576" t="s">
        <v>6</v>
      </c>
      <c r="AF576" t="s">
        <v>3</v>
      </c>
      <c r="AG576" t="s">
        <v>3</v>
      </c>
      <c r="AH576" t="s">
        <v>3</v>
      </c>
      <c r="AI576" t="s">
        <v>3</v>
      </c>
      <c r="AJ576" t="s">
        <v>3</v>
      </c>
      <c r="AK576" t="s">
        <v>7</v>
      </c>
      <c r="AL576">
        <v>0</v>
      </c>
      <c r="AM576">
        <v>0</v>
      </c>
      <c r="AN576">
        <v>0</v>
      </c>
      <c r="AO576">
        <v>0</v>
      </c>
      <c r="AP576">
        <v>0</v>
      </c>
      <c r="AQ576" t="s">
        <v>9</v>
      </c>
      <c r="AR576" s="1">
        <v>3.2687047599999999E-5</v>
      </c>
      <c r="AS576" s="1">
        <v>1.1450463500000001E-26</v>
      </c>
      <c r="AT576">
        <v>25</v>
      </c>
      <c r="AU576" t="s">
        <v>10</v>
      </c>
      <c r="AV576">
        <v>1</v>
      </c>
      <c r="AW576">
        <v>0</v>
      </c>
      <c r="AX576">
        <v>0</v>
      </c>
      <c r="AY576">
        <v>7</v>
      </c>
      <c r="AZ576">
        <v>0</v>
      </c>
      <c r="BA576" t="s">
        <v>15</v>
      </c>
      <c r="BB576" t="s">
        <v>4</v>
      </c>
      <c r="BC576" t="s">
        <v>10</v>
      </c>
      <c r="BD576">
        <v>0</v>
      </c>
      <c r="BE576">
        <v>0</v>
      </c>
      <c r="BF576">
        <v>0</v>
      </c>
      <c r="BG576">
        <v>0</v>
      </c>
      <c r="BH576">
        <v>0</v>
      </c>
      <c r="BI576" t="s">
        <v>9</v>
      </c>
      <c r="BJ576">
        <v>-2.069E-5</v>
      </c>
      <c r="BK576">
        <v>0</v>
      </c>
      <c r="BL576">
        <v>2.5299999999999998E-5</v>
      </c>
      <c r="BM576" s="2">
        <f t="shared" si="8"/>
        <v>6.89563034222608E-8</v>
      </c>
    </row>
    <row r="577" spans="1:65" x14ac:dyDescent="0.35">
      <c r="A577">
        <v>0</v>
      </c>
      <c r="B577" t="s">
        <v>11</v>
      </c>
      <c r="C577" t="s">
        <v>4</v>
      </c>
      <c r="D577">
        <v>0</v>
      </c>
      <c r="E577" t="s">
        <v>3</v>
      </c>
      <c r="F577" t="s">
        <v>5</v>
      </c>
      <c r="G577">
        <v>4912.8141930000002</v>
      </c>
      <c r="H577" t="s">
        <v>4</v>
      </c>
      <c r="I577">
        <v>990.16341899999998</v>
      </c>
      <c r="J577">
        <v>3922.6507740000002</v>
      </c>
      <c r="K577" t="s">
        <v>6</v>
      </c>
      <c r="L577" t="s">
        <v>7</v>
      </c>
      <c r="M577" t="s">
        <v>8</v>
      </c>
      <c r="N577" t="s">
        <v>6</v>
      </c>
      <c r="O577" t="s">
        <v>3</v>
      </c>
      <c r="P577" t="s">
        <v>3</v>
      </c>
      <c r="Q577" t="s">
        <v>3</v>
      </c>
      <c r="R577" t="s">
        <v>3</v>
      </c>
      <c r="S577" t="s">
        <v>11</v>
      </c>
      <c r="T577" t="s">
        <v>7</v>
      </c>
      <c r="U577">
        <v>0</v>
      </c>
      <c r="V577">
        <v>1</v>
      </c>
      <c r="W577">
        <v>0</v>
      </c>
      <c r="X577">
        <v>5</v>
      </c>
      <c r="Y577">
        <v>0</v>
      </c>
      <c r="Z577" t="s">
        <v>13</v>
      </c>
      <c r="AA577" t="s">
        <v>4</v>
      </c>
      <c r="AB577" t="s">
        <v>6</v>
      </c>
      <c r="AC577" t="s">
        <v>7</v>
      </c>
      <c r="AD577" t="s">
        <v>8</v>
      </c>
      <c r="AE577" t="s">
        <v>6</v>
      </c>
      <c r="AF577" t="s">
        <v>3</v>
      </c>
      <c r="AG577" t="s">
        <v>3</v>
      </c>
      <c r="AH577" t="s">
        <v>3</v>
      </c>
      <c r="AI577" t="s">
        <v>3</v>
      </c>
      <c r="AJ577" t="s">
        <v>3</v>
      </c>
      <c r="AK577" t="s">
        <v>7</v>
      </c>
      <c r="AL577">
        <v>0</v>
      </c>
      <c r="AM577">
        <v>0</v>
      </c>
      <c r="AN577">
        <v>0</v>
      </c>
      <c r="AO577">
        <v>0</v>
      </c>
      <c r="AP577">
        <v>0</v>
      </c>
      <c r="AQ577" t="s">
        <v>9</v>
      </c>
      <c r="AR577" s="1">
        <v>9.04068714E-6</v>
      </c>
      <c r="AS577" s="1">
        <v>8.6138773999999996E-28</v>
      </c>
      <c r="AT577">
        <v>25</v>
      </c>
      <c r="AU577" t="s">
        <v>10</v>
      </c>
      <c r="AV577">
        <v>0</v>
      </c>
      <c r="AW577">
        <v>1</v>
      </c>
      <c r="AX577">
        <v>0</v>
      </c>
      <c r="AY577">
        <v>5</v>
      </c>
      <c r="AZ577">
        <v>0</v>
      </c>
      <c r="BA577" t="s">
        <v>13</v>
      </c>
      <c r="BB577" t="s">
        <v>4</v>
      </c>
      <c r="BC577" t="s">
        <v>10</v>
      </c>
      <c r="BD577">
        <v>0</v>
      </c>
      <c r="BE577">
        <v>0</v>
      </c>
      <c r="BF577">
        <v>0</v>
      </c>
      <c r="BG577">
        <v>0</v>
      </c>
      <c r="BH577">
        <v>0</v>
      </c>
      <c r="BI577" t="s">
        <v>9</v>
      </c>
      <c r="BJ577">
        <v>0</v>
      </c>
      <c r="BK577">
        <v>-9.0399999999999998E-6</v>
      </c>
      <c r="BL577">
        <v>0</v>
      </c>
      <c r="BM577" s="2">
        <f t="shared" si="8"/>
        <v>5.187398253673792E-9</v>
      </c>
    </row>
    <row r="578" spans="1:65" x14ac:dyDescent="0.35">
      <c r="A578">
        <v>0</v>
      </c>
      <c r="B578" t="s">
        <v>3</v>
      </c>
      <c r="C578" t="s">
        <v>4</v>
      </c>
      <c r="D578">
        <v>0</v>
      </c>
      <c r="E578" t="s">
        <v>3</v>
      </c>
      <c r="F578" t="s">
        <v>5</v>
      </c>
      <c r="G578">
        <v>4244.7040360000001</v>
      </c>
      <c r="H578" t="s">
        <v>4</v>
      </c>
      <c r="I578">
        <v>990.16341899999998</v>
      </c>
      <c r="J578">
        <v>3254.5406170000001</v>
      </c>
      <c r="K578" t="s">
        <v>6</v>
      </c>
      <c r="L578" t="s">
        <v>7</v>
      </c>
      <c r="M578" t="s">
        <v>8</v>
      </c>
      <c r="N578" t="s">
        <v>6</v>
      </c>
      <c r="O578" t="s">
        <v>3</v>
      </c>
      <c r="P578" t="s">
        <v>3</v>
      </c>
      <c r="Q578" t="s">
        <v>3</v>
      </c>
      <c r="R578" t="s">
        <v>3</v>
      </c>
      <c r="S578" t="s">
        <v>3</v>
      </c>
      <c r="T578" t="s">
        <v>7</v>
      </c>
      <c r="U578">
        <v>0</v>
      </c>
      <c r="V578">
        <v>0</v>
      </c>
      <c r="W578">
        <v>0</v>
      </c>
      <c r="X578">
        <v>2</v>
      </c>
      <c r="Y578">
        <v>1</v>
      </c>
      <c r="Z578" t="s">
        <v>29</v>
      </c>
      <c r="AA578" t="s">
        <v>4</v>
      </c>
      <c r="AB578" t="s">
        <v>6</v>
      </c>
      <c r="AC578" t="s">
        <v>7</v>
      </c>
      <c r="AD578" t="s">
        <v>8</v>
      </c>
      <c r="AE578" t="s">
        <v>6</v>
      </c>
      <c r="AF578" t="s">
        <v>3</v>
      </c>
      <c r="AG578" t="s">
        <v>3</v>
      </c>
      <c r="AH578" t="s">
        <v>3</v>
      </c>
      <c r="AI578" t="s">
        <v>3</v>
      </c>
      <c r="AJ578" t="s">
        <v>3</v>
      </c>
      <c r="AK578" t="s">
        <v>7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9</v>
      </c>
      <c r="AR578" s="1">
        <v>8.5369254500000002E-5</v>
      </c>
      <c r="AS578" s="1">
        <v>6.3724842700000004E-26</v>
      </c>
      <c r="AT578">
        <v>24</v>
      </c>
      <c r="AU578" t="s">
        <v>10</v>
      </c>
      <c r="AV578">
        <v>0</v>
      </c>
      <c r="AW578">
        <v>0</v>
      </c>
      <c r="AX578">
        <v>0</v>
      </c>
      <c r="AY578">
        <v>2</v>
      </c>
      <c r="AZ578">
        <v>1</v>
      </c>
      <c r="BA578" t="s">
        <v>29</v>
      </c>
      <c r="BB578" t="s">
        <v>4</v>
      </c>
      <c r="BC578" t="s">
        <v>10</v>
      </c>
      <c r="BD578">
        <v>0</v>
      </c>
      <c r="BE578">
        <v>0</v>
      </c>
      <c r="BF578">
        <v>0</v>
      </c>
      <c r="BG578">
        <v>0</v>
      </c>
      <c r="BH578">
        <v>0</v>
      </c>
      <c r="BI578" t="s">
        <v>9</v>
      </c>
      <c r="BJ578">
        <v>7.9309999999999998E-5</v>
      </c>
      <c r="BK578">
        <v>0</v>
      </c>
      <c r="BL578">
        <v>3.1590000000000001E-5</v>
      </c>
      <c r="BM578" s="2">
        <f t="shared" ref="BM578:BM641" si="9">AS578*10^(-5)*6.0221408*10^(23)</f>
        <v>3.8375997519725217E-7</v>
      </c>
    </row>
    <row r="579" spans="1:65" x14ac:dyDescent="0.35">
      <c r="A579">
        <v>0</v>
      </c>
      <c r="B579" t="s">
        <v>11</v>
      </c>
      <c r="C579" t="s">
        <v>4</v>
      </c>
      <c r="D579">
        <v>0</v>
      </c>
      <c r="E579" t="s">
        <v>3</v>
      </c>
      <c r="F579" t="s">
        <v>5</v>
      </c>
      <c r="G579">
        <v>4392.7214260000001</v>
      </c>
      <c r="H579" t="s">
        <v>4</v>
      </c>
      <c r="I579">
        <v>990.16341899999998</v>
      </c>
      <c r="J579">
        <v>3402.5580070000001</v>
      </c>
      <c r="K579" t="s">
        <v>6</v>
      </c>
      <c r="L579" t="s">
        <v>7</v>
      </c>
      <c r="M579" t="s">
        <v>8</v>
      </c>
      <c r="N579" t="s">
        <v>6</v>
      </c>
      <c r="O579" t="s">
        <v>3</v>
      </c>
      <c r="P579" t="s">
        <v>3</v>
      </c>
      <c r="Q579" t="s">
        <v>3</v>
      </c>
      <c r="R579" t="s">
        <v>3</v>
      </c>
      <c r="S579" t="s">
        <v>11</v>
      </c>
      <c r="T579" t="s">
        <v>7</v>
      </c>
      <c r="U579">
        <v>3</v>
      </c>
      <c r="V579">
        <v>1</v>
      </c>
      <c r="W579">
        <v>0</v>
      </c>
      <c r="X579">
        <v>0</v>
      </c>
      <c r="Y579">
        <v>0</v>
      </c>
      <c r="Z579" t="s">
        <v>18</v>
      </c>
      <c r="AA579" t="s">
        <v>4</v>
      </c>
      <c r="AB579" t="s">
        <v>6</v>
      </c>
      <c r="AC579" t="s">
        <v>7</v>
      </c>
      <c r="AD579" t="s">
        <v>8</v>
      </c>
      <c r="AE579" t="s">
        <v>6</v>
      </c>
      <c r="AF579" t="s">
        <v>3</v>
      </c>
      <c r="AG579" t="s">
        <v>3</v>
      </c>
      <c r="AH579" t="s">
        <v>3</v>
      </c>
      <c r="AI579" t="s">
        <v>3</v>
      </c>
      <c r="AJ579" t="s">
        <v>3</v>
      </c>
      <c r="AK579" t="s">
        <v>7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9</v>
      </c>
      <c r="AR579" s="1">
        <v>1.3341453000000001E-5</v>
      </c>
      <c r="AS579" s="1">
        <v>1.6271512800000001E-27</v>
      </c>
      <c r="AT579">
        <v>24</v>
      </c>
      <c r="AU579" t="s">
        <v>10</v>
      </c>
      <c r="AV579">
        <v>3</v>
      </c>
      <c r="AW579">
        <v>1</v>
      </c>
      <c r="AX579">
        <v>0</v>
      </c>
      <c r="AY579">
        <v>0</v>
      </c>
      <c r="AZ579">
        <v>0</v>
      </c>
      <c r="BA579" t="s">
        <v>18</v>
      </c>
      <c r="BB579" t="s">
        <v>4</v>
      </c>
      <c r="BC579" t="s">
        <v>10</v>
      </c>
      <c r="BD579">
        <v>0</v>
      </c>
      <c r="BE579">
        <v>0</v>
      </c>
      <c r="BF579">
        <v>0</v>
      </c>
      <c r="BG579">
        <v>0</v>
      </c>
      <c r="BH579">
        <v>0</v>
      </c>
      <c r="BI579" t="s">
        <v>9</v>
      </c>
      <c r="BJ579">
        <v>0</v>
      </c>
      <c r="BK579">
        <v>-1.3339999999999999E-5</v>
      </c>
      <c r="BL579">
        <v>0</v>
      </c>
      <c r="BM579" s="2">
        <f t="shared" si="9"/>
        <v>9.7989341110602248E-9</v>
      </c>
    </row>
    <row r="580" spans="1:65" x14ac:dyDescent="0.35">
      <c r="A580">
        <v>0</v>
      </c>
      <c r="B580" t="s">
        <v>3</v>
      </c>
      <c r="C580" t="s">
        <v>4</v>
      </c>
      <c r="D580">
        <v>0</v>
      </c>
      <c r="E580" t="s">
        <v>3</v>
      </c>
      <c r="F580" t="s">
        <v>5</v>
      </c>
      <c r="G580">
        <v>3739.7020710000002</v>
      </c>
      <c r="H580" t="s">
        <v>4</v>
      </c>
      <c r="I580">
        <v>990.16341899999998</v>
      </c>
      <c r="J580">
        <v>2749.5386520000002</v>
      </c>
      <c r="K580" t="s">
        <v>6</v>
      </c>
      <c r="L580" t="s">
        <v>7</v>
      </c>
      <c r="M580" t="s">
        <v>8</v>
      </c>
      <c r="N580" t="s">
        <v>6</v>
      </c>
      <c r="O580" t="s">
        <v>3</v>
      </c>
      <c r="P580" t="s">
        <v>3</v>
      </c>
      <c r="Q580" t="s">
        <v>3</v>
      </c>
      <c r="R580" t="s">
        <v>3</v>
      </c>
      <c r="S580" t="s">
        <v>3</v>
      </c>
      <c r="T580" t="s">
        <v>7</v>
      </c>
      <c r="U580">
        <v>0</v>
      </c>
      <c r="V580">
        <v>3</v>
      </c>
      <c r="W580">
        <v>0</v>
      </c>
      <c r="X580">
        <v>0</v>
      </c>
      <c r="Y580">
        <v>0</v>
      </c>
      <c r="Z580" t="s">
        <v>8</v>
      </c>
      <c r="AA580" t="s">
        <v>4</v>
      </c>
      <c r="AB580" t="s">
        <v>6</v>
      </c>
      <c r="AC580" t="s">
        <v>7</v>
      </c>
      <c r="AD580" t="s">
        <v>8</v>
      </c>
      <c r="AE580" t="s">
        <v>6</v>
      </c>
      <c r="AF580" t="s">
        <v>3</v>
      </c>
      <c r="AG580" t="s">
        <v>3</v>
      </c>
      <c r="AH580" t="s">
        <v>3</v>
      </c>
      <c r="AI580" t="s">
        <v>3</v>
      </c>
      <c r="AJ580" t="s">
        <v>3</v>
      </c>
      <c r="AK580" t="s">
        <v>7</v>
      </c>
      <c r="AL580">
        <v>0</v>
      </c>
      <c r="AM580">
        <v>0</v>
      </c>
      <c r="AN580">
        <v>0</v>
      </c>
      <c r="AO580">
        <v>0</v>
      </c>
      <c r="AP580">
        <v>0</v>
      </c>
      <c r="AQ580" t="s">
        <v>9</v>
      </c>
      <c r="AR580" s="1">
        <v>3.47945008E-5</v>
      </c>
      <c r="AS580" s="1">
        <v>8.9432725699999994E-27</v>
      </c>
      <c r="AT580">
        <v>28</v>
      </c>
      <c r="AU580" t="s">
        <v>10</v>
      </c>
      <c r="AV580">
        <v>0</v>
      </c>
      <c r="AW580">
        <v>3</v>
      </c>
      <c r="AX580">
        <v>0</v>
      </c>
      <c r="AY580">
        <v>0</v>
      </c>
      <c r="AZ580">
        <v>0</v>
      </c>
      <c r="BA580" t="s">
        <v>8</v>
      </c>
      <c r="BB580" t="s">
        <v>4</v>
      </c>
      <c r="BC580" t="s">
        <v>10</v>
      </c>
      <c r="BD580">
        <v>0</v>
      </c>
      <c r="BE580">
        <v>0</v>
      </c>
      <c r="BF580">
        <v>0</v>
      </c>
      <c r="BG580">
        <v>0</v>
      </c>
      <c r="BH580">
        <v>0</v>
      </c>
      <c r="BI580" t="s">
        <v>9</v>
      </c>
      <c r="BJ580">
        <v>-3.1210000000000001E-5</v>
      </c>
      <c r="BK580">
        <v>0</v>
      </c>
      <c r="BL580">
        <v>-1.5379999999999998E-5</v>
      </c>
      <c r="BM580" s="2">
        <f t="shared" si="9"/>
        <v>5.385764662931785E-8</v>
      </c>
    </row>
    <row r="581" spans="1:65" x14ac:dyDescent="0.35">
      <c r="A581">
        <v>0</v>
      </c>
      <c r="B581" t="s">
        <v>3</v>
      </c>
      <c r="C581" t="s">
        <v>4</v>
      </c>
      <c r="D581">
        <v>0</v>
      </c>
      <c r="E581" t="s">
        <v>3</v>
      </c>
      <c r="F581" t="s">
        <v>5</v>
      </c>
      <c r="G581">
        <v>4855.6750249999996</v>
      </c>
      <c r="H581" t="s">
        <v>4</v>
      </c>
      <c r="I581">
        <v>990.16341899999998</v>
      </c>
      <c r="J581">
        <v>3865.511606</v>
      </c>
      <c r="K581" t="s">
        <v>6</v>
      </c>
      <c r="L581" t="s">
        <v>7</v>
      </c>
      <c r="M581" t="s">
        <v>8</v>
      </c>
      <c r="N581" t="s">
        <v>6</v>
      </c>
      <c r="O581" t="s">
        <v>3</v>
      </c>
      <c r="P581" t="s">
        <v>3</v>
      </c>
      <c r="Q581" t="s">
        <v>3</v>
      </c>
      <c r="R581" t="s">
        <v>3</v>
      </c>
      <c r="S581" t="s">
        <v>3</v>
      </c>
      <c r="T581" t="s">
        <v>7</v>
      </c>
      <c r="U581">
        <v>1</v>
      </c>
      <c r="V581">
        <v>1</v>
      </c>
      <c r="W581">
        <v>0</v>
      </c>
      <c r="X581">
        <v>0</v>
      </c>
      <c r="Y581">
        <v>2</v>
      </c>
      <c r="Z581" t="s">
        <v>9</v>
      </c>
      <c r="AA581" t="s">
        <v>4</v>
      </c>
      <c r="AB581" t="s">
        <v>6</v>
      </c>
      <c r="AC581" t="s">
        <v>7</v>
      </c>
      <c r="AD581" t="s">
        <v>8</v>
      </c>
      <c r="AE581" t="s">
        <v>6</v>
      </c>
      <c r="AF581" t="s">
        <v>3</v>
      </c>
      <c r="AG581" t="s">
        <v>3</v>
      </c>
      <c r="AH581" t="s">
        <v>3</v>
      </c>
      <c r="AI581" t="s">
        <v>3</v>
      </c>
      <c r="AJ581" t="s">
        <v>3</v>
      </c>
      <c r="AK581" t="s">
        <v>7</v>
      </c>
      <c r="AL581">
        <v>0</v>
      </c>
      <c r="AM581">
        <v>0</v>
      </c>
      <c r="AN581">
        <v>0</v>
      </c>
      <c r="AO581">
        <v>0</v>
      </c>
      <c r="AP581">
        <v>0</v>
      </c>
      <c r="AQ581" t="s">
        <v>9</v>
      </c>
      <c r="AR581" s="1">
        <v>2.9208537400000001E-5</v>
      </c>
      <c r="AS581" s="1">
        <v>8.8601844599999999E-27</v>
      </c>
      <c r="AT581">
        <v>25</v>
      </c>
      <c r="AU581" t="s">
        <v>10</v>
      </c>
      <c r="AV581">
        <v>1</v>
      </c>
      <c r="AW581">
        <v>1</v>
      </c>
      <c r="AX581">
        <v>0</v>
      </c>
      <c r="AY581">
        <v>0</v>
      </c>
      <c r="AZ581">
        <v>2</v>
      </c>
      <c r="BA581" t="s">
        <v>9</v>
      </c>
      <c r="BB581" t="s">
        <v>4</v>
      </c>
      <c r="BC581" t="s">
        <v>10</v>
      </c>
      <c r="BD581">
        <v>0</v>
      </c>
      <c r="BE581">
        <v>0</v>
      </c>
      <c r="BF581">
        <v>0</v>
      </c>
      <c r="BG581">
        <v>0</v>
      </c>
      <c r="BH581">
        <v>0</v>
      </c>
      <c r="BI581" t="s">
        <v>9</v>
      </c>
      <c r="BJ581">
        <v>-2.5700000000000001E-5</v>
      </c>
      <c r="BK581">
        <v>0</v>
      </c>
      <c r="BL581">
        <v>1.3879999999999999E-5</v>
      </c>
      <c r="BM581" s="2">
        <f t="shared" si="9"/>
        <v>5.3357278332091968E-8</v>
      </c>
    </row>
    <row r="582" spans="1:65" x14ac:dyDescent="0.35">
      <c r="A582">
        <v>0</v>
      </c>
      <c r="B582" t="s">
        <v>3</v>
      </c>
      <c r="C582" t="s">
        <v>4</v>
      </c>
      <c r="D582">
        <v>0</v>
      </c>
      <c r="E582" t="s">
        <v>3</v>
      </c>
      <c r="F582" t="s">
        <v>5</v>
      </c>
      <c r="G582">
        <v>3565.1521419999999</v>
      </c>
      <c r="H582" t="s">
        <v>4</v>
      </c>
      <c r="I582">
        <v>990.16341899999998</v>
      </c>
      <c r="J582">
        <v>2574.9887229999999</v>
      </c>
      <c r="K582" t="s">
        <v>6</v>
      </c>
      <c r="L582" t="s">
        <v>7</v>
      </c>
      <c r="M582" t="s">
        <v>8</v>
      </c>
      <c r="N582" t="s">
        <v>6</v>
      </c>
      <c r="O582" t="s">
        <v>3</v>
      </c>
      <c r="P582" t="s">
        <v>3</v>
      </c>
      <c r="Q582" t="s">
        <v>3</v>
      </c>
      <c r="R582" t="s">
        <v>3</v>
      </c>
      <c r="S582" t="s">
        <v>3</v>
      </c>
      <c r="T582" t="s">
        <v>7</v>
      </c>
      <c r="U582">
        <v>0</v>
      </c>
      <c r="V582">
        <v>0</v>
      </c>
      <c r="W582">
        <v>0</v>
      </c>
      <c r="X582">
        <v>2</v>
      </c>
      <c r="Y582">
        <v>2</v>
      </c>
      <c r="Z582" t="s">
        <v>9</v>
      </c>
      <c r="AA582" t="s">
        <v>4</v>
      </c>
      <c r="AB582" t="s">
        <v>6</v>
      </c>
      <c r="AC582" t="s">
        <v>7</v>
      </c>
      <c r="AD582" t="s">
        <v>8</v>
      </c>
      <c r="AE582" t="s">
        <v>6</v>
      </c>
      <c r="AF582" t="s">
        <v>3</v>
      </c>
      <c r="AG582" t="s">
        <v>3</v>
      </c>
      <c r="AH582" t="s">
        <v>3</v>
      </c>
      <c r="AI582" t="s">
        <v>3</v>
      </c>
      <c r="AJ582" t="s">
        <v>3</v>
      </c>
      <c r="AK582" t="s">
        <v>7</v>
      </c>
      <c r="AL582">
        <v>0</v>
      </c>
      <c r="AM582">
        <v>0</v>
      </c>
      <c r="AN582">
        <v>0</v>
      </c>
      <c r="AO582">
        <v>0</v>
      </c>
      <c r="AP582">
        <v>0</v>
      </c>
      <c r="AQ582" t="s">
        <v>9</v>
      </c>
      <c r="AR582" s="1">
        <v>1.12151462E-3</v>
      </c>
      <c r="AS582" s="1">
        <v>8.7016105100000001E-24</v>
      </c>
      <c r="AT582">
        <v>24</v>
      </c>
      <c r="AU582" t="s">
        <v>10</v>
      </c>
      <c r="AV582">
        <v>0</v>
      </c>
      <c r="AW582">
        <v>0</v>
      </c>
      <c r="AX582">
        <v>0</v>
      </c>
      <c r="AY582">
        <v>2</v>
      </c>
      <c r="AZ582">
        <v>2</v>
      </c>
      <c r="BA582" t="s">
        <v>9</v>
      </c>
      <c r="BB582" t="s">
        <v>4</v>
      </c>
      <c r="BC582" t="s">
        <v>10</v>
      </c>
      <c r="BD582">
        <v>0</v>
      </c>
      <c r="BE582">
        <v>0</v>
      </c>
      <c r="BF582">
        <v>0</v>
      </c>
      <c r="BG582">
        <v>0</v>
      </c>
      <c r="BH582">
        <v>0</v>
      </c>
      <c r="BI582" t="s">
        <v>9</v>
      </c>
      <c r="BJ582">
        <v>1.0161899999999999E-3</v>
      </c>
      <c r="BK582">
        <v>0</v>
      </c>
      <c r="BL582">
        <v>4.7449999999999999E-4</v>
      </c>
      <c r="BM582" s="2">
        <f t="shared" si="9"/>
        <v>5.2402323677979802E-5</v>
      </c>
    </row>
    <row r="583" spans="1:65" x14ac:dyDescent="0.35">
      <c r="A583">
        <v>0</v>
      </c>
      <c r="B583" t="s">
        <v>11</v>
      </c>
      <c r="C583" t="s">
        <v>4</v>
      </c>
      <c r="D583">
        <v>0</v>
      </c>
      <c r="E583" t="s">
        <v>3</v>
      </c>
      <c r="F583" t="s">
        <v>5</v>
      </c>
      <c r="G583">
        <v>2424.9216529999999</v>
      </c>
      <c r="H583" t="s">
        <v>4</v>
      </c>
      <c r="I583">
        <v>990.16341899999998</v>
      </c>
      <c r="J583">
        <v>1434.7582339999999</v>
      </c>
      <c r="K583" t="s">
        <v>6</v>
      </c>
      <c r="L583" t="s">
        <v>7</v>
      </c>
      <c r="M583" t="s">
        <v>8</v>
      </c>
      <c r="N583" t="s">
        <v>6</v>
      </c>
      <c r="O583" t="s">
        <v>3</v>
      </c>
      <c r="P583" t="s">
        <v>3</v>
      </c>
      <c r="Q583" t="s">
        <v>3</v>
      </c>
      <c r="R583" t="s">
        <v>3</v>
      </c>
      <c r="S583" t="s">
        <v>11</v>
      </c>
      <c r="T583" t="s">
        <v>7</v>
      </c>
      <c r="U583">
        <v>1</v>
      </c>
      <c r="V583">
        <v>0</v>
      </c>
      <c r="W583">
        <v>0</v>
      </c>
      <c r="X583">
        <v>0</v>
      </c>
      <c r="Y583">
        <v>0</v>
      </c>
      <c r="Z583" t="s">
        <v>13</v>
      </c>
      <c r="AA583" t="s">
        <v>4</v>
      </c>
      <c r="AB583" t="s">
        <v>6</v>
      </c>
      <c r="AC583" t="s">
        <v>7</v>
      </c>
      <c r="AD583" t="s">
        <v>8</v>
      </c>
      <c r="AE583" t="s">
        <v>6</v>
      </c>
      <c r="AF583" t="s">
        <v>3</v>
      </c>
      <c r="AG583" t="s">
        <v>3</v>
      </c>
      <c r="AH583" t="s">
        <v>3</v>
      </c>
      <c r="AI583" t="s">
        <v>3</v>
      </c>
      <c r="AJ583" t="s">
        <v>3</v>
      </c>
      <c r="AK583" t="s">
        <v>7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9</v>
      </c>
      <c r="AR583" s="1">
        <v>6.9739867700000004E-5</v>
      </c>
      <c r="AS583" s="1">
        <v>1.8729705799999999E-26</v>
      </c>
      <c r="AT583">
        <v>24</v>
      </c>
      <c r="AU583" t="s">
        <v>10</v>
      </c>
      <c r="AV583">
        <v>1</v>
      </c>
      <c r="AW583">
        <v>0</v>
      </c>
      <c r="AX583">
        <v>0</v>
      </c>
      <c r="AY583">
        <v>0</v>
      </c>
      <c r="AZ583">
        <v>0</v>
      </c>
      <c r="BA583" t="s">
        <v>13</v>
      </c>
      <c r="BB583" t="s">
        <v>4</v>
      </c>
      <c r="BC583" t="s">
        <v>10</v>
      </c>
      <c r="BD583">
        <v>0</v>
      </c>
      <c r="BE583">
        <v>0</v>
      </c>
      <c r="BF583">
        <v>0</v>
      </c>
      <c r="BG583">
        <v>0</v>
      </c>
      <c r="BH583">
        <v>0</v>
      </c>
      <c r="BI583" t="s">
        <v>9</v>
      </c>
      <c r="BJ583">
        <v>0</v>
      </c>
      <c r="BK583">
        <v>-6.9740000000000007E-5</v>
      </c>
      <c r="BL583">
        <v>0</v>
      </c>
      <c r="BM583" s="2">
        <f t="shared" si="9"/>
        <v>1.1279292547017662E-7</v>
      </c>
    </row>
    <row r="584" spans="1:65" x14ac:dyDescent="0.35">
      <c r="A584">
        <v>0</v>
      </c>
      <c r="B584" t="s">
        <v>3</v>
      </c>
      <c r="C584" t="s">
        <v>4</v>
      </c>
      <c r="D584">
        <v>0</v>
      </c>
      <c r="E584" t="s">
        <v>3</v>
      </c>
      <c r="F584" t="s">
        <v>5</v>
      </c>
      <c r="G584">
        <v>4159.8609189999997</v>
      </c>
      <c r="H584" t="s">
        <v>4</v>
      </c>
      <c r="I584">
        <v>990.16341899999998</v>
      </c>
      <c r="J584">
        <v>3169.6975000000002</v>
      </c>
      <c r="K584" t="s">
        <v>6</v>
      </c>
      <c r="L584" t="s">
        <v>7</v>
      </c>
      <c r="M584" t="s">
        <v>8</v>
      </c>
      <c r="N584" t="s">
        <v>6</v>
      </c>
      <c r="O584" t="s">
        <v>3</v>
      </c>
      <c r="P584" t="s">
        <v>3</v>
      </c>
      <c r="Q584" t="s">
        <v>3</v>
      </c>
      <c r="R584" t="s">
        <v>3</v>
      </c>
      <c r="S584" t="s">
        <v>3</v>
      </c>
      <c r="T584" t="s">
        <v>7</v>
      </c>
      <c r="U584">
        <v>2</v>
      </c>
      <c r="V584">
        <v>0</v>
      </c>
      <c r="W584">
        <v>0</v>
      </c>
      <c r="X584">
        <v>1</v>
      </c>
      <c r="Y584">
        <v>1</v>
      </c>
      <c r="Z584" t="s">
        <v>15</v>
      </c>
      <c r="AA584" t="s">
        <v>4</v>
      </c>
      <c r="AB584" t="s">
        <v>6</v>
      </c>
      <c r="AC584" t="s">
        <v>7</v>
      </c>
      <c r="AD584" t="s">
        <v>8</v>
      </c>
      <c r="AE584" t="s">
        <v>6</v>
      </c>
      <c r="AF584" t="s">
        <v>3</v>
      </c>
      <c r="AG584" t="s">
        <v>3</v>
      </c>
      <c r="AH584" t="s">
        <v>3</v>
      </c>
      <c r="AI584" t="s">
        <v>3</v>
      </c>
      <c r="AJ584" t="s">
        <v>3</v>
      </c>
      <c r="AK584" t="s">
        <v>7</v>
      </c>
      <c r="AL584">
        <v>0</v>
      </c>
      <c r="AM584">
        <v>0</v>
      </c>
      <c r="AN584">
        <v>0</v>
      </c>
      <c r="AO584">
        <v>0</v>
      </c>
      <c r="AP584">
        <v>0</v>
      </c>
      <c r="AQ584" t="s">
        <v>9</v>
      </c>
      <c r="AR584" s="1">
        <v>2.8277392499999999E-4</v>
      </c>
      <c r="AS584" s="1">
        <v>6.8094589100000002E-25</v>
      </c>
      <c r="AT584">
        <v>28</v>
      </c>
      <c r="AU584" t="s">
        <v>10</v>
      </c>
      <c r="AV584">
        <v>2</v>
      </c>
      <c r="AW584">
        <v>0</v>
      </c>
      <c r="AX584">
        <v>0</v>
      </c>
      <c r="AY584">
        <v>1</v>
      </c>
      <c r="AZ584">
        <v>1</v>
      </c>
      <c r="BA584" t="s">
        <v>15</v>
      </c>
      <c r="BB584" t="s">
        <v>4</v>
      </c>
      <c r="BC584" t="s">
        <v>10</v>
      </c>
      <c r="BD584">
        <v>0</v>
      </c>
      <c r="BE584">
        <v>0</v>
      </c>
      <c r="BF584">
        <v>0</v>
      </c>
      <c r="BG584">
        <v>0</v>
      </c>
      <c r="BH584">
        <v>0</v>
      </c>
      <c r="BI584" t="s">
        <v>9</v>
      </c>
      <c r="BJ584">
        <v>-2.8215E-4</v>
      </c>
      <c r="BK584">
        <v>0</v>
      </c>
      <c r="BL584">
        <v>-1.8810000000000001E-5</v>
      </c>
      <c r="BM584" s="2">
        <f t="shared" si="9"/>
        <v>4.1007520327834532E-6</v>
      </c>
    </row>
    <row r="585" spans="1:65" x14ac:dyDescent="0.35">
      <c r="A585">
        <v>0</v>
      </c>
      <c r="B585" t="s">
        <v>11</v>
      </c>
      <c r="C585" t="s">
        <v>4</v>
      </c>
      <c r="D585">
        <v>0</v>
      </c>
      <c r="E585" t="s">
        <v>3</v>
      </c>
      <c r="F585" t="s">
        <v>5</v>
      </c>
      <c r="G585">
        <v>3844.5912010000002</v>
      </c>
      <c r="H585" t="s">
        <v>4</v>
      </c>
      <c r="I585">
        <v>990.16341899999998</v>
      </c>
      <c r="J585">
        <v>2854.4277820000002</v>
      </c>
      <c r="K585" t="s">
        <v>6</v>
      </c>
      <c r="L585" t="s">
        <v>7</v>
      </c>
      <c r="M585" t="s">
        <v>8</v>
      </c>
      <c r="N585" t="s">
        <v>6</v>
      </c>
      <c r="O585" t="s">
        <v>3</v>
      </c>
      <c r="P585" t="s">
        <v>3</v>
      </c>
      <c r="Q585" t="s">
        <v>3</v>
      </c>
      <c r="R585" t="s">
        <v>3</v>
      </c>
      <c r="S585" t="s">
        <v>11</v>
      </c>
      <c r="T585" t="s">
        <v>7</v>
      </c>
      <c r="U585">
        <v>2</v>
      </c>
      <c r="V585">
        <v>0</v>
      </c>
      <c r="W585">
        <v>0</v>
      </c>
      <c r="X585">
        <v>0</v>
      </c>
      <c r="Y585">
        <v>2</v>
      </c>
      <c r="Z585" t="s">
        <v>18</v>
      </c>
      <c r="AA585" t="s">
        <v>4</v>
      </c>
      <c r="AB585" t="s">
        <v>6</v>
      </c>
      <c r="AC585" t="s">
        <v>7</v>
      </c>
      <c r="AD585" t="s">
        <v>8</v>
      </c>
      <c r="AE585" t="s">
        <v>6</v>
      </c>
      <c r="AF585" t="s">
        <v>3</v>
      </c>
      <c r="AG585" t="s">
        <v>3</v>
      </c>
      <c r="AH585" t="s">
        <v>3</v>
      </c>
      <c r="AI585" t="s">
        <v>3</v>
      </c>
      <c r="AJ585" t="s">
        <v>3</v>
      </c>
      <c r="AK585" t="s">
        <v>7</v>
      </c>
      <c r="AL585">
        <v>0</v>
      </c>
      <c r="AM585">
        <v>0</v>
      </c>
      <c r="AN585">
        <v>0</v>
      </c>
      <c r="AO585">
        <v>0</v>
      </c>
      <c r="AP585">
        <v>0</v>
      </c>
      <c r="AQ585" t="s">
        <v>9</v>
      </c>
      <c r="AR585" s="1">
        <v>1.43531153E-4</v>
      </c>
      <c r="AS585" s="1">
        <v>1.5798909699999999E-25</v>
      </c>
      <c r="AT585">
        <v>24</v>
      </c>
      <c r="AU585" t="s">
        <v>10</v>
      </c>
      <c r="AV585">
        <v>2</v>
      </c>
      <c r="AW585">
        <v>0</v>
      </c>
      <c r="AX585">
        <v>0</v>
      </c>
      <c r="AY585">
        <v>0</v>
      </c>
      <c r="AZ585">
        <v>2</v>
      </c>
      <c r="BA585" t="s">
        <v>18</v>
      </c>
      <c r="BB585" t="s">
        <v>4</v>
      </c>
      <c r="BC585" t="s">
        <v>10</v>
      </c>
      <c r="BD585">
        <v>0</v>
      </c>
      <c r="BE585">
        <v>0</v>
      </c>
      <c r="BF585">
        <v>0</v>
      </c>
      <c r="BG585">
        <v>0</v>
      </c>
      <c r="BH585">
        <v>0</v>
      </c>
      <c r="BI585" t="s">
        <v>9</v>
      </c>
      <c r="BJ585">
        <v>0</v>
      </c>
      <c r="BK585">
        <v>1.4353E-4</v>
      </c>
      <c r="BL585">
        <v>0</v>
      </c>
      <c r="BM585" s="2">
        <f t="shared" si="9"/>
        <v>9.5143258699885752E-7</v>
      </c>
    </row>
    <row r="586" spans="1:65" x14ac:dyDescent="0.35">
      <c r="A586">
        <v>0</v>
      </c>
      <c r="B586" t="s">
        <v>3</v>
      </c>
      <c r="C586" t="s">
        <v>4</v>
      </c>
      <c r="D586">
        <v>0</v>
      </c>
      <c r="E586" t="s">
        <v>3</v>
      </c>
      <c r="F586" t="s">
        <v>5</v>
      </c>
      <c r="G586">
        <v>4624.9747639999996</v>
      </c>
      <c r="H586" t="s">
        <v>4</v>
      </c>
      <c r="I586">
        <v>990.16341899999998</v>
      </c>
      <c r="J586">
        <v>3634.8113450000001</v>
      </c>
      <c r="K586" t="s">
        <v>6</v>
      </c>
      <c r="L586" t="s">
        <v>7</v>
      </c>
      <c r="M586" t="s">
        <v>8</v>
      </c>
      <c r="N586" t="s">
        <v>6</v>
      </c>
      <c r="O586" t="s">
        <v>3</v>
      </c>
      <c r="P586" t="s">
        <v>3</v>
      </c>
      <c r="Q586" t="s">
        <v>3</v>
      </c>
      <c r="R586" t="s">
        <v>3</v>
      </c>
      <c r="S586" t="s">
        <v>3</v>
      </c>
      <c r="T586" t="s">
        <v>7</v>
      </c>
      <c r="U586">
        <v>0</v>
      </c>
      <c r="V586">
        <v>0</v>
      </c>
      <c r="W586">
        <v>1</v>
      </c>
      <c r="X586">
        <v>0</v>
      </c>
      <c r="Y586">
        <v>0</v>
      </c>
      <c r="Z586" t="s">
        <v>9</v>
      </c>
      <c r="AA586" t="s">
        <v>4</v>
      </c>
      <c r="AB586" t="s">
        <v>6</v>
      </c>
      <c r="AC586" t="s">
        <v>7</v>
      </c>
      <c r="AD586" t="s">
        <v>8</v>
      </c>
      <c r="AE586" t="s">
        <v>6</v>
      </c>
      <c r="AF586" t="s">
        <v>3</v>
      </c>
      <c r="AG586" t="s">
        <v>3</v>
      </c>
      <c r="AH586" t="s">
        <v>3</v>
      </c>
      <c r="AI586" t="s">
        <v>3</v>
      </c>
      <c r="AJ586" t="s">
        <v>3</v>
      </c>
      <c r="AK586" t="s">
        <v>7</v>
      </c>
      <c r="AL586">
        <v>0</v>
      </c>
      <c r="AM586">
        <v>0</v>
      </c>
      <c r="AN586">
        <v>0</v>
      </c>
      <c r="AO586">
        <v>0</v>
      </c>
      <c r="AP586">
        <v>0</v>
      </c>
      <c r="AQ586" t="s">
        <v>9</v>
      </c>
      <c r="AR586" s="1">
        <v>0.105479082</v>
      </c>
      <c r="AS586" s="1">
        <v>1.0865024600000001E-19</v>
      </c>
      <c r="AT586">
        <v>28</v>
      </c>
      <c r="AU586" t="s">
        <v>10</v>
      </c>
      <c r="AV586">
        <v>0</v>
      </c>
      <c r="AW586">
        <v>0</v>
      </c>
      <c r="AX586">
        <v>1</v>
      </c>
      <c r="AY586">
        <v>0</v>
      </c>
      <c r="AZ586">
        <v>0</v>
      </c>
      <c r="BA586" t="s">
        <v>9</v>
      </c>
      <c r="BB586" t="s">
        <v>4</v>
      </c>
      <c r="BC586" t="s">
        <v>10</v>
      </c>
      <c r="BD586">
        <v>0</v>
      </c>
      <c r="BE586">
        <v>0</v>
      </c>
      <c r="BF586">
        <v>0</v>
      </c>
      <c r="BG586">
        <v>0</v>
      </c>
      <c r="BH586">
        <v>0</v>
      </c>
      <c r="BI586" t="s">
        <v>9</v>
      </c>
      <c r="BJ586">
        <v>-7.9110330000000006E-2</v>
      </c>
      <c r="BK586">
        <v>0</v>
      </c>
      <c r="BL586">
        <v>6.9766700000000001E-2</v>
      </c>
      <c r="BM586" s="2">
        <f t="shared" si="9"/>
        <v>0.65430707936663679</v>
      </c>
    </row>
    <row r="587" spans="1:65" x14ac:dyDescent="0.35">
      <c r="A587">
        <v>0</v>
      </c>
      <c r="B587" t="s">
        <v>11</v>
      </c>
      <c r="C587" t="s">
        <v>4</v>
      </c>
      <c r="D587">
        <v>0</v>
      </c>
      <c r="E587" t="s">
        <v>3</v>
      </c>
      <c r="F587" t="s">
        <v>5</v>
      </c>
      <c r="G587">
        <v>4043.936588</v>
      </c>
      <c r="H587" t="s">
        <v>4</v>
      </c>
      <c r="I587">
        <v>990.16341899999998</v>
      </c>
      <c r="J587">
        <v>3053.7731690000001</v>
      </c>
      <c r="K587" t="s">
        <v>6</v>
      </c>
      <c r="L587" t="s">
        <v>7</v>
      </c>
      <c r="M587" t="s">
        <v>8</v>
      </c>
      <c r="N587" t="s">
        <v>6</v>
      </c>
      <c r="O587" t="s">
        <v>3</v>
      </c>
      <c r="P587" t="s">
        <v>3</v>
      </c>
      <c r="Q587" t="s">
        <v>3</v>
      </c>
      <c r="R587" t="s">
        <v>3</v>
      </c>
      <c r="S587" t="s">
        <v>11</v>
      </c>
      <c r="T587" t="s">
        <v>7</v>
      </c>
      <c r="U587">
        <v>0</v>
      </c>
      <c r="V587">
        <v>0</v>
      </c>
      <c r="W587">
        <v>0</v>
      </c>
      <c r="X587">
        <v>6</v>
      </c>
      <c r="Y587">
        <v>0</v>
      </c>
      <c r="Z587" t="s">
        <v>13</v>
      </c>
      <c r="AA587" t="s">
        <v>4</v>
      </c>
      <c r="AB587" t="s">
        <v>6</v>
      </c>
      <c r="AC587" t="s">
        <v>7</v>
      </c>
      <c r="AD587" t="s">
        <v>8</v>
      </c>
      <c r="AE587" t="s">
        <v>6</v>
      </c>
      <c r="AF587" t="s">
        <v>3</v>
      </c>
      <c r="AG587" t="s">
        <v>3</v>
      </c>
      <c r="AH587" t="s">
        <v>3</v>
      </c>
      <c r="AI587" t="s">
        <v>3</v>
      </c>
      <c r="AJ587" t="s">
        <v>3</v>
      </c>
      <c r="AK587" t="s">
        <v>7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9</v>
      </c>
      <c r="AR587" s="1">
        <v>9.3666598099999995E-5</v>
      </c>
      <c r="AS587" s="1">
        <v>7.1981726700000001E-26</v>
      </c>
      <c r="AT587">
        <v>25</v>
      </c>
      <c r="AU587" t="s">
        <v>10</v>
      </c>
      <c r="AV587">
        <v>0</v>
      </c>
      <c r="AW587">
        <v>0</v>
      </c>
      <c r="AX587">
        <v>0</v>
      </c>
      <c r="AY587">
        <v>6</v>
      </c>
      <c r="AZ587">
        <v>0</v>
      </c>
      <c r="BA587" t="s">
        <v>13</v>
      </c>
      <c r="BB587" t="s">
        <v>4</v>
      </c>
      <c r="BC587" t="s">
        <v>10</v>
      </c>
      <c r="BD587">
        <v>0</v>
      </c>
      <c r="BE587">
        <v>0</v>
      </c>
      <c r="BF587">
        <v>0</v>
      </c>
      <c r="BG587">
        <v>0</v>
      </c>
      <c r="BH587">
        <v>0</v>
      </c>
      <c r="BI587" t="s">
        <v>9</v>
      </c>
      <c r="BJ587">
        <v>0</v>
      </c>
      <c r="BK587">
        <v>9.3670000000000003E-5</v>
      </c>
      <c r="BL587">
        <v>0</v>
      </c>
      <c r="BM587" s="2">
        <f t="shared" si="9"/>
        <v>4.3348409321451942E-7</v>
      </c>
    </row>
    <row r="588" spans="1:65" x14ac:dyDescent="0.35">
      <c r="A588">
        <v>0</v>
      </c>
      <c r="B588" t="s">
        <v>3</v>
      </c>
      <c r="C588" t="s">
        <v>4</v>
      </c>
      <c r="D588">
        <v>0</v>
      </c>
      <c r="E588" t="s">
        <v>3</v>
      </c>
      <c r="F588" t="s">
        <v>5</v>
      </c>
      <c r="G588">
        <v>3948.1734710000001</v>
      </c>
      <c r="H588" t="s">
        <v>4</v>
      </c>
      <c r="I588">
        <v>990.16341899999998</v>
      </c>
      <c r="J588">
        <v>2958.0100520000001</v>
      </c>
      <c r="K588" t="s">
        <v>6</v>
      </c>
      <c r="L588" t="s">
        <v>7</v>
      </c>
      <c r="M588" t="s">
        <v>8</v>
      </c>
      <c r="N588" t="s">
        <v>6</v>
      </c>
      <c r="O588" t="s">
        <v>3</v>
      </c>
      <c r="P588" t="s">
        <v>3</v>
      </c>
      <c r="Q588" t="s">
        <v>3</v>
      </c>
      <c r="R588" t="s">
        <v>3</v>
      </c>
      <c r="S588" t="s">
        <v>3</v>
      </c>
      <c r="T588" t="s">
        <v>7</v>
      </c>
      <c r="U588">
        <v>0</v>
      </c>
      <c r="V588">
        <v>1</v>
      </c>
      <c r="W588">
        <v>0</v>
      </c>
      <c r="X588">
        <v>2</v>
      </c>
      <c r="Y588">
        <v>0</v>
      </c>
      <c r="Z588" t="s">
        <v>21</v>
      </c>
      <c r="AA588" t="s">
        <v>4</v>
      </c>
      <c r="AB588" t="s">
        <v>6</v>
      </c>
      <c r="AC588" t="s">
        <v>7</v>
      </c>
      <c r="AD588" t="s">
        <v>8</v>
      </c>
      <c r="AE588" t="s">
        <v>6</v>
      </c>
      <c r="AF588" t="s">
        <v>3</v>
      </c>
      <c r="AG588" t="s">
        <v>3</v>
      </c>
      <c r="AH588" t="s">
        <v>3</v>
      </c>
      <c r="AI588" t="s">
        <v>3</v>
      </c>
      <c r="AJ588" t="s">
        <v>3</v>
      </c>
      <c r="AK588" t="s">
        <v>7</v>
      </c>
      <c r="AL588">
        <v>0</v>
      </c>
      <c r="AM588">
        <v>0</v>
      </c>
      <c r="AN588">
        <v>0</v>
      </c>
      <c r="AO588">
        <v>0</v>
      </c>
      <c r="AP588">
        <v>0</v>
      </c>
      <c r="AQ588" t="s">
        <v>9</v>
      </c>
      <c r="AR588" s="1">
        <v>2.4564520899999999E-4</v>
      </c>
      <c r="AS588" s="1">
        <v>4.7954805399999996E-25</v>
      </c>
      <c r="AT588">
        <v>24</v>
      </c>
      <c r="AU588" t="s">
        <v>10</v>
      </c>
      <c r="AV588">
        <v>0</v>
      </c>
      <c r="AW588">
        <v>1</v>
      </c>
      <c r="AX588">
        <v>0</v>
      </c>
      <c r="AY588">
        <v>2</v>
      </c>
      <c r="AZ588">
        <v>0</v>
      </c>
      <c r="BA588" t="s">
        <v>21</v>
      </c>
      <c r="BB588" t="s">
        <v>4</v>
      </c>
      <c r="BC588" t="s">
        <v>10</v>
      </c>
      <c r="BD588">
        <v>0</v>
      </c>
      <c r="BE588">
        <v>0</v>
      </c>
      <c r="BF588">
        <v>0</v>
      </c>
      <c r="BG588">
        <v>0</v>
      </c>
      <c r="BH588">
        <v>0</v>
      </c>
      <c r="BI588" t="s">
        <v>9</v>
      </c>
      <c r="BJ588">
        <v>1.4365E-4</v>
      </c>
      <c r="BK588">
        <v>0</v>
      </c>
      <c r="BL588">
        <v>1.9927000000000001E-4</v>
      </c>
      <c r="BM588" s="2">
        <f t="shared" si="9"/>
        <v>2.8879059015540028E-6</v>
      </c>
    </row>
    <row r="589" spans="1:65" x14ac:dyDescent="0.35">
      <c r="A589">
        <v>0</v>
      </c>
      <c r="B589" t="s">
        <v>11</v>
      </c>
      <c r="C589" t="s">
        <v>4</v>
      </c>
      <c r="D589">
        <v>0</v>
      </c>
      <c r="E589" t="s">
        <v>3</v>
      </c>
      <c r="F589" t="s">
        <v>5</v>
      </c>
      <c r="G589">
        <v>3447.3241670000002</v>
      </c>
      <c r="H589" t="s">
        <v>4</v>
      </c>
      <c r="I589">
        <v>990.16341899999998</v>
      </c>
      <c r="J589">
        <v>2457.1607479999998</v>
      </c>
      <c r="K589" t="s">
        <v>6</v>
      </c>
      <c r="L589" t="s">
        <v>7</v>
      </c>
      <c r="M589" t="s">
        <v>8</v>
      </c>
      <c r="N589" t="s">
        <v>6</v>
      </c>
      <c r="O589" t="s">
        <v>3</v>
      </c>
      <c r="P589" t="s">
        <v>3</v>
      </c>
      <c r="Q589" t="s">
        <v>3</v>
      </c>
      <c r="R589" t="s">
        <v>3</v>
      </c>
      <c r="S589" t="s">
        <v>11</v>
      </c>
      <c r="T589" t="s">
        <v>7</v>
      </c>
      <c r="U589">
        <v>0</v>
      </c>
      <c r="V589">
        <v>2</v>
      </c>
      <c r="W589">
        <v>0</v>
      </c>
      <c r="X589">
        <v>1</v>
      </c>
      <c r="Y589">
        <v>0</v>
      </c>
      <c r="Z589" t="s">
        <v>18</v>
      </c>
      <c r="AA589" t="s">
        <v>4</v>
      </c>
      <c r="AB589" t="s">
        <v>6</v>
      </c>
      <c r="AC589" t="s">
        <v>7</v>
      </c>
      <c r="AD589" t="s">
        <v>8</v>
      </c>
      <c r="AE589" t="s">
        <v>6</v>
      </c>
      <c r="AF589" t="s">
        <v>3</v>
      </c>
      <c r="AG589" t="s">
        <v>3</v>
      </c>
      <c r="AH589" t="s">
        <v>3</v>
      </c>
      <c r="AI589" t="s">
        <v>3</v>
      </c>
      <c r="AJ589" t="s">
        <v>3</v>
      </c>
      <c r="AK589" t="s">
        <v>7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9</v>
      </c>
      <c r="AR589" s="1">
        <v>9.5266842800000004E-7</v>
      </c>
      <c r="AS589" s="1">
        <v>5.9914262599999997E-30</v>
      </c>
      <c r="AT589">
        <v>28</v>
      </c>
      <c r="AU589" t="s">
        <v>10</v>
      </c>
      <c r="AV589">
        <v>0</v>
      </c>
      <c r="AW589">
        <v>2</v>
      </c>
      <c r="AX589">
        <v>0</v>
      </c>
      <c r="AY589">
        <v>1</v>
      </c>
      <c r="AZ589">
        <v>0</v>
      </c>
      <c r="BA589" t="s">
        <v>18</v>
      </c>
      <c r="BB589" t="s">
        <v>4</v>
      </c>
      <c r="BC589" t="s">
        <v>10</v>
      </c>
      <c r="BD589">
        <v>0</v>
      </c>
      <c r="BE589">
        <v>0</v>
      </c>
      <c r="BF589">
        <v>0</v>
      </c>
      <c r="BG589">
        <v>0</v>
      </c>
      <c r="BH589">
        <v>0</v>
      </c>
      <c r="BI589" t="s">
        <v>9</v>
      </c>
      <c r="BJ589">
        <v>0</v>
      </c>
      <c r="BK589">
        <v>-9.5000000000000001E-7</v>
      </c>
      <c r="BL589">
        <v>0</v>
      </c>
      <c r="BM589" s="2">
        <f t="shared" si="9"/>
        <v>3.6081212530537406E-11</v>
      </c>
    </row>
    <row r="590" spans="1:65" x14ac:dyDescent="0.35">
      <c r="A590">
        <v>0</v>
      </c>
      <c r="B590" t="s">
        <v>11</v>
      </c>
      <c r="C590" t="s">
        <v>4</v>
      </c>
      <c r="D590">
        <v>0</v>
      </c>
      <c r="E590" t="s">
        <v>3</v>
      </c>
      <c r="F590" t="s">
        <v>5</v>
      </c>
      <c r="G590">
        <v>4537.2215470000001</v>
      </c>
      <c r="H590" t="s">
        <v>4</v>
      </c>
      <c r="I590">
        <v>990.16341899999998</v>
      </c>
      <c r="J590">
        <v>3547.0581280000001</v>
      </c>
      <c r="K590" t="s">
        <v>6</v>
      </c>
      <c r="L590" t="s">
        <v>7</v>
      </c>
      <c r="M590" t="s">
        <v>8</v>
      </c>
      <c r="N590" t="s">
        <v>6</v>
      </c>
      <c r="O590" t="s">
        <v>3</v>
      </c>
      <c r="P590" t="s">
        <v>3</v>
      </c>
      <c r="Q590" t="s">
        <v>3</v>
      </c>
      <c r="R590" t="s">
        <v>3</v>
      </c>
      <c r="S590" t="s">
        <v>11</v>
      </c>
      <c r="T590" t="s">
        <v>7</v>
      </c>
      <c r="U590">
        <v>2</v>
      </c>
      <c r="V590">
        <v>1</v>
      </c>
      <c r="W590">
        <v>0</v>
      </c>
      <c r="X590">
        <v>0</v>
      </c>
      <c r="Y590">
        <v>0</v>
      </c>
      <c r="Z590" t="s">
        <v>13</v>
      </c>
      <c r="AA590" t="s">
        <v>4</v>
      </c>
      <c r="AB590" t="s">
        <v>6</v>
      </c>
      <c r="AC590" t="s">
        <v>7</v>
      </c>
      <c r="AD590" t="s">
        <v>8</v>
      </c>
      <c r="AE590" t="s">
        <v>6</v>
      </c>
      <c r="AF590" t="s">
        <v>3</v>
      </c>
      <c r="AG590" t="s">
        <v>3</v>
      </c>
      <c r="AH590" t="s">
        <v>3</v>
      </c>
      <c r="AI590" t="s">
        <v>3</v>
      </c>
      <c r="AJ590" t="s">
        <v>3</v>
      </c>
      <c r="AK590" t="s">
        <v>7</v>
      </c>
      <c r="AL590">
        <v>0</v>
      </c>
      <c r="AM590">
        <v>0</v>
      </c>
      <c r="AN590">
        <v>0</v>
      </c>
      <c r="AO590">
        <v>0</v>
      </c>
      <c r="AP590">
        <v>0</v>
      </c>
      <c r="AQ590" t="s">
        <v>9</v>
      </c>
      <c r="AR590" s="1">
        <v>2.20015932E-5</v>
      </c>
      <c r="AS590" s="1">
        <v>4.6130983500000004E-27</v>
      </c>
      <c r="AT590">
        <v>24</v>
      </c>
      <c r="AU590" t="s">
        <v>10</v>
      </c>
      <c r="AV590">
        <v>2</v>
      </c>
      <c r="AW590">
        <v>1</v>
      </c>
      <c r="AX590">
        <v>0</v>
      </c>
      <c r="AY590">
        <v>0</v>
      </c>
      <c r="AZ590">
        <v>0</v>
      </c>
      <c r="BA590" t="s">
        <v>13</v>
      </c>
      <c r="BB590" t="s">
        <v>4</v>
      </c>
      <c r="BC590" t="s">
        <v>10</v>
      </c>
      <c r="BD590">
        <v>0</v>
      </c>
      <c r="BE590">
        <v>0</v>
      </c>
      <c r="BF590">
        <v>0</v>
      </c>
      <c r="BG590">
        <v>0</v>
      </c>
      <c r="BH590">
        <v>0</v>
      </c>
      <c r="BI590" t="s">
        <v>9</v>
      </c>
      <c r="BJ590">
        <v>0</v>
      </c>
      <c r="BK590">
        <v>-2.1999999999999999E-5</v>
      </c>
      <c r="BL590">
        <v>0</v>
      </c>
      <c r="BM590" s="2">
        <f t="shared" si="9"/>
        <v>2.7780727787947679E-8</v>
      </c>
    </row>
    <row r="591" spans="1:65" x14ac:dyDescent="0.35">
      <c r="A591">
        <v>0</v>
      </c>
      <c r="B591" t="s">
        <v>11</v>
      </c>
      <c r="C591" t="s">
        <v>4</v>
      </c>
      <c r="D591">
        <v>0</v>
      </c>
      <c r="E591" t="s">
        <v>3</v>
      </c>
      <c r="F591" t="s">
        <v>5</v>
      </c>
      <c r="G591">
        <v>3270.5176070000002</v>
      </c>
      <c r="H591" t="s">
        <v>4</v>
      </c>
      <c r="I591">
        <v>990.16341899999998</v>
      </c>
      <c r="J591">
        <v>2280.3541879999998</v>
      </c>
      <c r="K591" t="s">
        <v>6</v>
      </c>
      <c r="L591" t="s">
        <v>7</v>
      </c>
      <c r="M591" t="s">
        <v>8</v>
      </c>
      <c r="N591" t="s">
        <v>6</v>
      </c>
      <c r="O591" t="s">
        <v>3</v>
      </c>
      <c r="P591" t="s">
        <v>3</v>
      </c>
      <c r="Q591" t="s">
        <v>3</v>
      </c>
      <c r="R591" t="s">
        <v>3</v>
      </c>
      <c r="S591" t="s">
        <v>11</v>
      </c>
      <c r="T591" t="s">
        <v>7</v>
      </c>
      <c r="U591">
        <v>2</v>
      </c>
      <c r="V591">
        <v>0</v>
      </c>
      <c r="W591">
        <v>0</v>
      </c>
      <c r="X591">
        <v>0</v>
      </c>
      <c r="Y591">
        <v>0</v>
      </c>
      <c r="Z591" t="s">
        <v>13</v>
      </c>
      <c r="AA591" t="s">
        <v>4</v>
      </c>
      <c r="AB591" t="s">
        <v>6</v>
      </c>
      <c r="AC591" t="s">
        <v>7</v>
      </c>
      <c r="AD591" t="s">
        <v>8</v>
      </c>
      <c r="AE591" t="s">
        <v>6</v>
      </c>
      <c r="AF591" t="s">
        <v>3</v>
      </c>
      <c r="AG591" t="s">
        <v>3</v>
      </c>
      <c r="AH591" t="s">
        <v>3</v>
      </c>
      <c r="AI591" t="s">
        <v>3</v>
      </c>
      <c r="AJ591" t="s">
        <v>3</v>
      </c>
      <c r="AK591" t="s">
        <v>7</v>
      </c>
      <c r="AL591">
        <v>0</v>
      </c>
      <c r="AM591">
        <v>0</v>
      </c>
      <c r="AN591">
        <v>0</v>
      </c>
      <c r="AO591">
        <v>0</v>
      </c>
      <c r="AP591">
        <v>0</v>
      </c>
      <c r="AQ591" t="s">
        <v>9</v>
      </c>
      <c r="AR591" s="1">
        <v>1.6731864999999999E-5</v>
      </c>
      <c r="AS591" s="1">
        <v>1.7151416399999999E-27</v>
      </c>
      <c r="AT591">
        <v>28</v>
      </c>
      <c r="AU591" t="s">
        <v>10</v>
      </c>
      <c r="AV591">
        <v>2</v>
      </c>
      <c r="AW591">
        <v>0</v>
      </c>
      <c r="AX591">
        <v>0</v>
      </c>
      <c r="AY591">
        <v>0</v>
      </c>
      <c r="AZ591">
        <v>0</v>
      </c>
      <c r="BA591" t="s">
        <v>13</v>
      </c>
      <c r="BB591" t="s">
        <v>4</v>
      </c>
      <c r="BC591" t="s">
        <v>10</v>
      </c>
      <c r="BD591">
        <v>0</v>
      </c>
      <c r="BE591">
        <v>0</v>
      </c>
      <c r="BF591">
        <v>0</v>
      </c>
      <c r="BG591">
        <v>0</v>
      </c>
      <c r="BH591">
        <v>0</v>
      </c>
      <c r="BI591" t="s">
        <v>9</v>
      </c>
      <c r="BJ591">
        <v>0</v>
      </c>
      <c r="BK591">
        <v>-1.6730000000000001E-5</v>
      </c>
      <c r="BL591">
        <v>0</v>
      </c>
      <c r="BM591" s="2">
        <f t="shared" si="9"/>
        <v>1.032882444802291E-8</v>
      </c>
    </row>
    <row r="592" spans="1:65" x14ac:dyDescent="0.35">
      <c r="A592">
        <v>0</v>
      </c>
      <c r="B592" t="s">
        <v>11</v>
      </c>
      <c r="C592" t="s">
        <v>4</v>
      </c>
      <c r="D592">
        <v>0</v>
      </c>
      <c r="E592" t="s">
        <v>3</v>
      </c>
      <c r="F592" t="s">
        <v>5</v>
      </c>
      <c r="G592">
        <v>2750.7079359999998</v>
      </c>
      <c r="H592" t="s">
        <v>4</v>
      </c>
      <c r="I592">
        <v>990.16341899999998</v>
      </c>
      <c r="J592">
        <v>1760.544517</v>
      </c>
      <c r="K592" t="s">
        <v>6</v>
      </c>
      <c r="L592" t="s">
        <v>7</v>
      </c>
      <c r="M592" t="s">
        <v>8</v>
      </c>
      <c r="N592" t="s">
        <v>6</v>
      </c>
      <c r="O592" t="s">
        <v>3</v>
      </c>
      <c r="P592" t="s">
        <v>3</v>
      </c>
      <c r="Q592" t="s">
        <v>3</v>
      </c>
      <c r="R592" t="s">
        <v>3</v>
      </c>
      <c r="S592" t="s">
        <v>11</v>
      </c>
      <c r="T592" t="s">
        <v>7</v>
      </c>
      <c r="U592">
        <v>0</v>
      </c>
      <c r="V592">
        <v>0</v>
      </c>
      <c r="W592">
        <v>0</v>
      </c>
      <c r="X592">
        <v>1</v>
      </c>
      <c r="Y592">
        <v>0</v>
      </c>
      <c r="Z592" t="s">
        <v>12</v>
      </c>
      <c r="AA592" t="s">
        <v>4</v>
      </c>
      <c r="AB592" t="s">
        <v>6</v>
      </c>
      <c r="AC592" t="s">
        <v>7</v>
      </c>
      <c r="AD592" t="s">
        <v>8</v>
      </c>
      <c r="AE592" t="s">
        <v>6</v>
      </c>
      <c r="AF592" t="s">
        <v>3</v>
      </c>
      <c r="AG592" t="s">
        <v>3</v>
      </c>
      <c r="AH592" t="s">
        <v>3</v>
      </c>
      <c r="AI592" t="s">
        <v>3</v>
      </c>
      <c r="AJ592" t="s">
        <v>3</v>
      </c>
      <c r="AK592" t="s">
        <v>7</v>
      </c>
      <c r="AL592">
        <v>0</v>
      </c>
      <c r="AM592">
        <v>0</v>
      </c>
      <c r="AN592">
        <v>0</v>
      </c>
      <c r="AO592">
        <v>0</v>
      </c>
      <c r="AP592">
        <v>0</v>
      </c>
      <c r="AQ592" t="s">
        <v>9</v>
      </c>
      <c r="AR592" s="1">
        <v>5.9925158200000002E-5</v>
      </c>
      <c r="AS592" s="1">
        <v>1.6982169899999999E-26</v>
      </c>
      <c r="AT592">
        <v>24</v>
      </c>
      <c r="AU592" t="s">
        <v>10</v>
      </c>
      <c r="AV592">
        <v>0</v>
      </c>
      <c r="AW592">
        <v>0</v>
      </c>
      <c r="AX592">
        <v>0</v>
      </c>
      <c r="AY592">
        <v>1</v>
      </c>
      <c r="AZ592">
        <v>0</v>
      </c>
      <c r="BA592" t="s">
        <v>12</v>
      </c>
      <c r="BB592" t="s">
        <v>4</v>
      </c>
      <c r="BC592" t="s">
        <v>10</v>
      </c>
      <c r="BD592">
        <v>0</v>
      </c>
      <c r="BE592">
        <v>0</v>
      </c>
      <c r="BF592">
        <v>0</v>
      </c>
      <c r="BG592">
        <v>0</v>
      </c>
      <c r="BH592">
        <v>0</v>
      </c>
      <c r="BI592" t="s">
        <v>9</v>
      </c>
      <c r="BJ592">
        <v>0</v>
      </c>
      <c r="BK592">
        <v>5.9929999999999997E-5</v>
      </c>
      <c r="BL592">
        <v>0</v>
      </c>
      <c r="BM592" s="2">
        <f t="shared" si="9"/>
        <v>1.0226901822732192E-7</v>
      </c>
    </row>
    <row r="593" spans="1:65" x14ac:dyDescent="0.35">
      <c r="A593">
        <v>0</v>
      </c>
      <c r="B593" t="s">
        <v>3</v>
      </c>
      <c r="C593" t="s">
        <v>4</v>
      </c>
      <c r="D593">
        <v>0</v>
      </c>
      <c r="E593" t="s">
        <v>3</v>
      </c>
      <c r="F593" t="s">
        <v>5</v>
      </c>
      <c r="G593">
        <v>4684.8194359999998</v>
      </c>
      <c r="H593" t="s">
        <v>4</v>
      </c>
      <c r="I593">
        <v>990.16341899999998</v>
      </c>
      <c r="J593">
        <v>3694.6560169999998</v>
      </c>
      <c r="K593" t="s">
        <v>6</v>
      </c>
      <c r="L593" t="s">
        <v>7</v>
      </c>
      <c r="M593" t="s">
        <v>8</v>
      </c>
      <c r="N593" t="s">
        <v>6</v>
      </c>
      <c r="O593" t="s">
        <v>3</v>
      </c>
      <c r="P593" t="s">
        <v>3</v>
      </c>
      <c r="Q593" t="s">
        <v>3</v>
      </c>
      <c r="R593" t="s">
        <v>3</v>
      </c>
      <c r="S593" t="s">
        <v>3</v>
      </c>
      <c r="T593" t="s">
        <v>7</v>
      </c>
      <c r="U593">
        <v>0</v>
      </c>
      <c r="V593">
        <v>1</v>
      </c>
      <c r="W593">
        <v>0</v>
      </c>
      <c r="X593">
        <v>2</v>
      </c>
      <c r="Y593">
        <v>0</v>
      </c>
      <c r="Z593" t="s">
        <v>29</v>
      </c>
      <c r="AA593" t="s">
        <v>4</v>
      </c>
      <c r="AB593" t="s">
        <v>6</v>
      </c>
      <c r="AC593" t="s">
        <v>7</v>
      </c>
      <c r="AD593" t="s">
        <v>8</v>
      </c>
      <c r="AE593" t="s">
        <v>6</v>
      </c>
      <c r="AF593" t="s">
        <v>3</v>
      </c>
      <c r="AG593" t="s">
        <v>3</v>
      </c>
      <c r="AH593" t="s">
        <v>3</v>
      </c>
      <c r="AI593" t="s">
        <v>3</v>
      </c>
      <c r="AJ593" t="s">
        <v>3</v>
      </c>
      <c r="AK593" t="s">
        <v>7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9</v>
      </c>
      <c r="AR593" s="1">
        <v>1.65155332E-4</v>
      </c>
      <c r="AS593" s="1">
        <v>2.7075430199999999E-25</v>
      </c>
      <c r="AT593">
        <v>25</v>
      </c>
      <c r="AU593" t="s">
        <v>10</v>
      </c>
      <c r="AV593">
        <v>0</v>
      </c>
      <c r="AW593">
        <v>1</v>
      </c>
      <c r="AX593">
        <v>0</v>
      </c>
      <c r="AY593">
        <v>2</v>
      </c>
      <c r="AZ593">
        <v>0</v>
      </c>
      <c r="BA593" t="s">
        <v>29</v>
      </c>
      <c r="BB593" t="s">
        <v>4</v>
      </c>
      <c r="BC593" t="s">
        <v>10</v>
      </c>
      <c r="BD593">
        <v>0</v>
      </c>
      <c r="BE593">
        <v>0</v>
      </c>
      <c r="BF593">
        <v>0</v>
      </c>
      <c r="BG593">
        <v>0</v>
      </c>
      <c r="BH593">
        <v>0</v>
      </c>
      <c r="BI593" t="s">
        <v>9</v>
      </c>
      <c r="BJ593">
        <v>1.0873E-4</v>
      </c>
      <c r="BK593">
        <v>0</v>
      </c>
      <c r="BL593">
        <v>-1.2432E-4</v>
      </c>
      <c r="BM593" s="2">
        <f t="shared" si="9"/>
        <v>1.6305205288497212E-6</v>
      </c>
    </row>
    <row r="594" spans="1:65" x14ac:dyDescent="0.35">
      <c r="A594">
        <v>0</v>
      </c>
      <c r="B594" t="s">
        <v>3</v>
      </c>
      <c r="C594" t="s">
        <v>4</v>
      </c>
      <c r="D594">
        <v>0</v>
      </c>
      <c r="E594" t="s">
        <v>3</v>
      </c>
      <c r="F594" t="s">
        <v>5</v>
      </c>
      <c r="G594">
        <v>4805.2220120000002</v>
      </c>
      <c r="H594" t="s">
        <v>4</v>
      </c>
      <c r="I594">
        <v>990.16341899999998</v>
      </c>
      <c r="J594">
        <v>3815.0585930000002</v>
      </c>
      <c r="K594" t="s">
        <v>6</v>
      </c>
      <c r="L594" t="s">
        <v>7</v>
      </c>
      <c r="M594" t="s">
        <v>8</v>
      </c>
      <c r="N594" t="s">
        <v>6</v>
      </c>
      <c r="O594" t="s">
        <v>3</v>
      </c>
      <c r="P594" t="s">
        <v>3</v>
      </c>
      <c r="Q594" t="s">
        <v>3</v>
      </c>
      <c r="R594" t="s">
        <v>3</v>
      </c>
      <c r="S594" t="s">
        <v>3</v>
      </c>
      <c r="T594" t="s">
        <v>7</v>
      </c>
      <c r="U594">
        <v>0</v>
      </c>
      <c r="V594">
        <v>3</v>
      </c>
      <c r="W594">
        <v>0</v>
      </c>
      <c r="X594">
        <v>0</v>
      </c>
      <c r="Y594">
        <v>0</v>
      </c>
      <c r="Z594" t="s">
        <v>15</v>
      </c>
      <c r="AA594" t="s">
        <v>4</v>
      </c>
      <c r="AB594" t="s">
        <v>6</v>
      </c>
      <c r="AC594" t="s">
        <v>7</v>
      </c>
      <c r="AD594" t="s">
        <v>8</v>
      </c>
      <c r="AE594" t="s">
        <v>6</v>
      </c>
      <c r="AF594" t="s">
        <v>3</v>
      </c>
      <c r="AG594" t="s">
        <v>3</v>
      </c>
      <c r="AH594" t="s">
        <v>3</v>
      </c>
      <c r="AI594" t="s">
        <v>3</v>
      </c>
      <c r="AJ594" t="s">
        <v>3</v>
      </c>
      <c r="AK594" t="s">
        <v>7</v>
      </c>
      <c r="AL594">
        <v>0</v>
      </c>
      <c r="AM594">
        <v>0</v>
      </c>
      <c r="AN594">
        <v>0</v>
      </c>
      <c r="AO594">
        <v>0</v>
      </c>
      <c r="AP594">
        <v>0</v>
      </c>
      <c r="AQ594" t="s">
        <v>9</v>
      </c>
      <c r="AR594" s="1">
        <v>1.15204924E-4</v>
      </c>
      <c r="AS594" s="1">
        <v>1.3603775400000001E-25</v>
      </c>
      <c r="AT594">
        <v>26</v>
      </c>
      <c r="AU594" t="s">
        <v>10</v>
      </c>
      <c r="AV594">
        <v>0</v>
      </c>
      <c r="AW594">
        <v>3</v>
      </c>
      <c r="AX594">
        <v>0</v>
      </c>
      <c r="AY594">
        <v>0</v>
      </c>
      <c r="AZ594">
        <v>0</v>
      </c>
      <c r="BA594" t="s">
        <v>15</v>
      </c>
      <c r="BB594" t="s">
        <v>4</v>
      </c>
      <c r="BC594" t="s">
        <v>10</v>
      </c>
      <c r="BD594">
        <v>0</v>
      </c>
      <c r="BE594">
        <v>0</v>
      </c>
      <c r="BF594">
        <v>0</v>
      </c>
      <c r="BG594">
        <v>0</v>
      </c>
      <c r="BH594">
        <v>0</v>
      </c>
      <c r="BI594" t="s">
        <v>9</v>
      </c>
      <c r="BJ594">
        <v>-7.7189999999999998E-5</v>
      </c>
      <c r="BK594">
        <v>0</v>
      </c>
      <c r="BL594">
        <v>8.5519999999999994E-5</v>
      </c>
      <c r="BM594" s="2">
        <f t="shared" si="9"/>
        <v>8.1923850870376321E-7</v>
      </c>
    </row>
    <row r="595" spans="1:65" x14ac:dyDescent="0.35">
      <c r="A595">
        <v>0</v>
      </c>
      <c r="B595" t="s">
        <v>11</v>
      </c>
      <c r="C595" t="s">
        <v>4</v>
      </c>
      <c r="D595">
        <v>0</v>
      </c>
      <c r="E595" t="s">
        <v>3</v>
      </c>
      <c r="F595" t="s">
        <v>5</v>
      </c>
      <c r="G595">
        <v>3059.1413990000001</v>
      </c>
      <c r="H595" t="s">
        <v>4</v>
      </c>
      <c r="I595">
        <v>990.16341899999998</v>
      </c>
      <c r="J595">
        <v>2068.9779800000001</v>
      </c>
      <c r="K595" t="s">
        <v>6</v>
      </c>
      <c r="L595" t="s">
        <v>7</v>
      </c>
      <c r="M595" t="s">
        <v>8</v>
      </c>
      <c r="N595" t="s">
        <v>6</v>
      </c>
      <c r="O595" t="s">
        <v>3</v>
      </c>
      <c r="P595" t="s">
        <v>3</v>
      </c>
      <c r="Q595" t="s">
        <v>3</v>
      </c>
      <c r="R595" t="s">
        <v>3</v>
      </c>
      <c r="S595" t="s">
        <v>11</v>
      </c>
      <c r="T595" t="s">
        <v>7</v>
      </c>
      <c r="U595">
        <v>1</v>
      </c>
      <c r="V595">
        <v>0</v>
      </c>
      <c r="W595">
        <v>0</v>
      </c>
      <c r="X595">
        <v>0</v>
      </c>
      <c r="Y595">
        <v>0</v>
      </c>
      <c r="Z595" t="s">
        <v>19</v>
      </c>
      <c r="AA595" t="s">
        <v>4</v>
      </c>
      <c r="AB595" t="s">
        <v>6</v>
      </c>
      <c r="AC595" t="s">
        <v>7</v>
      </c>
      <c r="AD595" t="s">
        <v>8</v>
      </c>
      <c r="AE595" t="s">
        <v>6</v>
      </c>
      <c r="AF595" t="s">
        <v>3</v>
      </c>
      <c r="AG595" t="s">
        <v>3</v>
      </c>
      <c r="AH595" t="s">
        <v>3</v>
      </c>
      <c r="AI595" t="s">
        <v>3</v>
      </c>
      <c r="AJ595" t="s">
        <v>3</v>
      </c>
      <c r="AK595" t="s">
        <v>7</v>
      </c>
      <c r="AL595">
        <v>0</v>
      </c>
      <c r="AM595">
        <v>0</v>
      </c>
      <c r="AN595">
        <v>0</v>
      </c>
      <c r="AO595">
        <v>0</v>
      </c>
      <c r="AP595">
        <v>0</v>
      </c>
      <c r="AQ595" t="s">
        <v>9</v>
      </c>
      <c r="AR595" s="1">
        <v>6.9339356500000007E-5</v>
      </c>
      <c r="AS595" s="1">
        <v>2.6724630799999999E-26</v>
      </c>
      <c r="AT595">
        <v>26</v>
      </c>
      <c r="AU595" t="s">
        <v>10</v>
      </c>
      <c r="AV595">
        <v>1</v>
      </c>
      <c r="AW595">
        <v>0</v>
      </c>
      <c r="AX595">
        <v>0</v>
      </c>
      <c r="AY595">
        <v>0</v>
      </c>
      <c r="AZ595">
        <v>0</v>
      </c>
      <c r="BA595" t="s">
        <v>19</v>
      </c>
      <c r="BB595" t="s">
        <v>4</v>
      </c>
      <c r="BC595" t="s">
        <v>10</v>
      </c>
      <c r="BD595">
        <v>0</v>
      </c>
      <c r="BE595">
        <v>0</v>
      </c>
      <c r="BF595">
        <v>0</v>
      </c>
      <c r="BG595">
        <v>0</v>
      </c>
      <c r="BH595">
        <v>0</v>
      </c>
      <c r="BI595" t="s">
        <v>9</v>
      </c>
      <c r="BJ595">
        <v>0</v>
      </c>
      <c r="BK595">
        <v>-6.9339999999999997E-5</v>
      </c>
      <c r="BL595">
        <v>0</v>
      </c>
      <c r="BM595" s="2">
        <f t="shared" si="9"/>
        <v>1.6093948950561663E-7</v>
      </c>
    </row>
    <row r="596" spans="1:65" x14ac:dyDescent="0.35">
      <c r="A596">
        <v>0</v>
      </c>
      <c r="B596" t="s">
        <v>11</v>
      </c>
      <c r="C596" t="s">
        <v>4</v>
      </c>
      <c r="D596">
        <v>0</v>
      </c>
      <c r="E596" t="s">
        <v>3</v>
      </c>
      <c r="F596" t="s">
        <v>5</v>
      </c>
      <c r="G596">
        <v>1858.8566989999999</v>
      </c>
      <c r="H596" t="s">
        <v>4</v>
      </c>
      <c r="I596">
        <v>990.16341899999998</v>
      </c>
      <c r="J596">
        <v>868.69327999999996</v>
      </c>
      <c r="K596" t="s">
        <v>6</v>
      </c>
      <c r="L596" t="s">
        <v>7</v>
      </c>
      <c r="M596" t="s">
        <v>8</v>
      </c>
      <c r="N596" t="s">
        <v>6</v>
      </c>
      <c r="O596" t="s">
        <v>3</v>
      </c>
      <c r="P596" t="s">
        <v>3</v>
      </c>
      <c r="Q596" t="s">
        <v>3</v>
      </c>
      <c r="R596" t="s">
        <v>3</v>
      </c>
      <c r="S596" t="s">
        <v>11</v>
      </c>
      <c r="T596" t="s">
        <v>7</v>
      </c>
      <c r="U596">
        <v>0</v>
      </c>
      <c r="V596">
        <v>0</v>
      </c>
      <c r="W596">
        <v>0</v>
      </c>
      <c r="X596">
        <v>1</v>
      </c>
      <c r="Y596">
        <v>0</v>
      </c>
      <c r="Z596" t="s">
        <v>14</v>
      </c>
      <c r="AA596" t="s">
        <v>4</v>
      </c>
      <c r="AB596" t="s">
        <v>6</v>
      </c>
      <c r="AC596" t="s">
        <v>7</v>
      </c>
      <c r="AD596" t="s">
        <v>8</v>
      </c>
      <c r="AE596" t="s">
        <v>6</v>
      </c>
      <c r="AF596" t="s">
        <v>3</v>
      </c>
      <c r="AG596" t="s">
        <v>3</v>
      </c>
      <c r="AH596" t="s">
        <v>3</v>
      </c>
      <c r="AI596" t="s">
        <v>3</v>
      </c>
      <c r="AJ596" t="s">
        <v>3</v>
      </c>
      <c r="AK596" t="s">
        <v>7</v>
      </c>
      <c r="AL596">
        <v>0</v>
      </c>
      <c r="AM596">
        <v>0</v>
      </c>
      <c r="AN596">
        <v>0</v>
      </c>
      <c r="AO596">
        <v>0</v>
      </c>
      <c r="AP596">
        <v>0</v>
      </c>
      <c r="AQ596" t="s">
        <v>9</v>
      </c>
      <c r="AR596" s="1">
        <v>6.8255695399999997E-3</v>
      </c>
      <c r="AS596" s="1">
        <v>1.0709263299999999E-22</v>
      </c>
      <c r="AT596">
        <v>29</v>
      </c>
      <c r="AU596" t="s">
        <v>10</v>
      </c>
      <c r="AV596">
        <v>0</v>
      </c>
      <c r="AW596">
        <v>0</v>
      </c>
      <c r="AX596">
        <v>0</v>
      </c>
      <c r="AY596">
        <v>1</v>
      </c>
      <c r="AZ596">
        <v>0</v>
      </c>
      <c r="BA596" t="s">
        <v>14</v>
      </c>
      <c r="BB596" t="s">
        <v>4</v>
      </c>
      <c r="BC596" t="s">
        <v>10</v>
      </c>
      <c r="BD596">
        <v>0</v>
      </c>
      <c r="BE596">
        <v>0</v>
      </c>
      <c r="BF596">
        <v>0</v>
      </c>
      <c r="BG596">
        <v>0</v>
      </c>
      <c r="BH596">
        <v>0</v>
      </c>
      <c r="BI596" t="s">
        <v>9</v>
      </c>
      <c r="BJ596">
        <v>0</v>
      </c>
      <c r="BK596">
        <v>6.8255700000000004E-3</v>
      </c>
      <c r="BL596">
        <v>0</v>
      </c>
      <c r="BM596" s="2">
        <f t="shared" si="9"/>
        <v>6.4492691456872629E-4</v>
      </c>
    </row>
    <row r="597" spans="1:65" x14ac:dyDescent="0.35">
      <c r="A597">
        <v>0</v>
      </c>
      <c r="B597" t="s">
        <v>11</v>
      </c>
      <c r="C597" t="s">
        <v>4</v>
      </c>
      <c r="D597">
        <v>0</v>
      </c>
      <c r="E597" t="s">
        <v>3</v>
      </c>
      <c r="F597" t="s">
        <v>5</v>
      </c>
      <c r="G597">
        <v>4332.7583269999996</v>
      </c>
      <c r="H597" t="s">
        <v>4</v>
      </c>
      <c r="I597">
        <v>990.16341899999998</v>
      </c>
      <c r="J597">
        <v>3342.594908</v>
      </c>
      <c r="K597" t="s">
        <v>6</v>
      </c>
      <c r="L597" t="s">
        <v>7</v>
      </c>
      <c r="M597" t="s">
        <v>8</v>
      </c>
      <c r="N597" t="s">
        <v>6</v>
      </c>
      <c r="O597" t="s">
        <v>3</v>
      </c>
      <c r="P597" t="s">
        <v>3</v>
      </c>
      <c r="Q597" t="s">
        <v>3</v>
      </c>
      <c r="R597" t="s">
        <v>3</v>
      </c>
      <c r="S597" t="s">
        <v>11</v>
      </c>
      <c r="T597" t="s">
        <v>7</v>
      </c>
      <c r="U597">
        <v>3</v>
      </c>
      <c r="V597">
        <v>1</v>
      </c>
      <c r="W597">
        <v>0</v>
      </c>
      <c r="X597">
        <v>0</v>
      </c>
      <c r="Y597">
        <v>0</v>
      </c>
      <c r="Z597" t="s">
        <v>18</v>
      </c>
      <c r="AA597" t="s">
        <v>4</v>
      </c>
      <c r="AB597" t="s">
        <v>6</v>
      </c>
      <c r="AC597" t="s">
        <v>7</v>
      </c>
      <c r="AD597" t="s">
        <v>8</v>
      </c>
      <c r="AE597" t="s">
        <v>6</v>
      </c>
      <c r="AF597" t="s">
        <v>3</v>
      </c>
      <c r="AG597" t="s">
        <v>3</v>
      </c>
      <c r="AH597" t="s">
        <v>3</v>
      </c>
      <c r="AI597" t="s">
        <v>3</v>
      </c>
      <c r="AJ597" t="s">
        <v>3</v>
      </c>
      <c r="AK597" t="s">
        <v>7</v>
      </c>
      <c r="AL597">
        <v>0</v>
      </c>
      <c r="AM597">
        <v>0</v>
      </c>
      <c r="AN597">
        <v>0</v>
      </c>
      <c r="AO597">
        <v>0</v>
      </c>
      <c r="AP597">
        <v>0</v>
      </c>
      <c r="AQ597" t="s">
        <v>9</v>
      </c>
      <c r="AR597" s="1">
        <v>4.60305528E-7</v>
      </c>
      <c r="AS597" s="1">
        <v>1.90279608E-30</v>
      </c>
      <c r="AT597">
        <v>25</v>
      </c>
      <c r="AU597" t="s">
        <v>10</v>
      </c>
      <c r="AV597">
        <v>3</v>
      </c>
      <c r="AW597">
        <v>1</v>
      </c>
      <c r="AX597">
        <v>0</v>
      </c>
      <c r="AY597">
        <v>0</v>
      </c>
      <c r="AZ597">
        <v>0</v>
      </c>
      <c r="BA597" t="s">
        <v>18</v>
      </c>
      <c r="BB597" t="s">
        <v>4</v>
      </c>
      <c r="BC597" t="s">
        <v>10</v>
      </c>
      <c r="BD597">
        <v>0</v>
      </c>
      <c r="BE597">
        <v>0</v>
      </c>
      <c r="BF597">
        <v>0</v>
      </c>
      <c r="BG597">
        <v>0</v>
      </c>
      <c r="BH597">
        <v>0</v>
      </c>
      <c r="BI597" t="s">
        <v>9</v>
      </c>
      <c r="BJ597">
        <v>0</v>
      </c>
      <c r="BK597">
        <v>-4.5999999999999999E-7</v>
      </c>
      <c r="BL597">
        <v>0</v>
      </c>
      <c r="BM597" s="2">
        <f t="shared" si="9"/>
        <v>1.1458905907448064E-11</v>
      </c>
    </row>
    <row r="598" spans="1:65" x14ac:dyDescent="0.35">
      <c r="A598">
        <v>0</v>
      </c>
      <c r="B598" t="s">
        <v>3</v>
      </c>
      <c r="C598" t="s">
        <v>4</v>
      </c>
      <c r="D598">
        <v>0</v>
      </c>
      <c r="E598" t="s">
        <v>3</v>
      </c>
      <c r="F598" t="s">
        <v>5</v>
      </c>
      <c r="G598">
        <v>4438.6312180000004</v>
      </c>
      <c r="H598" t="s">
        <v>4</v>
      </c>
      <c r="I598">
        <v>990.16341899999998</v>
      </c>
      <c r="J598">
        <v>3448.4677980000001</v>
      </c>
      <c r="K598" t="s">
        <v>6</v>
      </c>
      <c r="L598" t="s">
        <v>7</v>
      </c>
      <c r="M598" t="s">
        <v>8</v>
      </c>
      <c r="N598" t="s">
        <v>6</v>
      </c>
      <c r="O598" t="s">
        <v>3</v>
      </c>
      <c r="P598" t="s">
        <v>3</v>
      </c>
      <c r="Q598" t="s">
        <v>3</v>
      </c>
      <c r="R598" t="s">
        <v>3</v>
      </c>
      <c r="S598" t="s">
        <v>3</v>
      </c>
      <c r="T598" t="s">
        <v>7</v>
      </c>
      <c r="U598">
        <v>0</v>
      </c>
      <c r="V598">
        <v>1</v>
      </c>
      <c r="W598">
        <v>0</v>
      </c>
      <c r="X598">
        <v>4</v>
      </c>
      <c r="Y598">
        <v>0</v>
      </c>
      <c r="Z598" t="s">
        <v>9</v>
      </c>
      <c r="AA598" t="s">
        <v>4</v>
      </c>
      <c r="AB598" t="s">
        <v>6</v>
      </c>
      <c r="AC598" t="s">
        <v>7</v>
      </c>
      <c r="AD598" t="s">
        <v>8</v>
      </c>
      <c r="AE598" t="s">
        <v>6</v>
      </c>
      <c r="AF598" t="s">
        <v>3</v>
      </c>
      <c r="AG598" t="s">
        <v>3</v>
      </c>
      <c r="AH598" t="s">
        <v>3</v>
      </c>
      <c r="AI598" t="s">
        <v>3</v>
      </c>
      <c r="AJ598" t="s">
        <v>3</v>
      </c>
      <c r="AK598" t="s">
        <v>7</v>
      </c>
      <c r="AL598">
        <v>0</v>
      </c>
      <c r="AM598">
        <v>0</v>
      </c>
      <c r="AN598">
        <v>0</v>
      </c>
      <c r="AO598">
        <v>0</v>
      </c>
      <c r="AP598">
        <v>0</v>
      </c>
      <c r="AQ598" t="s">
        <v>9</v>
      </c>
      <c r="AR598" s="1">
        <v>3.2927550299999998E-5</v>
      </c>
      <c r="AS598" s="1">
        <v>1.00452594E-26</v>
      </c>
      <c r="AT598">
        <v>11</v>
      </c>
      <c r="AU598" t="s">
        <v>10</v>
      </c>
      <c r="AV598">
        <v>0</v>
      </c>
      <c r="AW598">
        <v>1</v>
      </c>
      <c r="AX598">
        <v>0</v>
      </c>
      <c r="AY598">
        <v>4</v>
      </c>
      <c r="AZ598">
        <v>0</v>
      </c>
      <c r="BA598" t="s">
        <v>9</v>
      </c>
      <c r="BB598" t="s">
        <v>4</v>
      </c>
      <c r="BC598" t="s">
        <v>10</v>
      </c>
      <c r="BD598">
        <v>0</v>
      </c>
      <c r="BE598">
        <v>0</v>
      </c>
      <c r="BF598">
        <v>0</v>
      </c>
      <c r="BG598">
        <v>0</v>
      </c>
      <c r="BH598">
        <v>0</v>
      </c>
      <c r="BI598" t="s">
        <v>9</v>
      </c>
      <c r="BJ598">
        <v>-2.9090000000000001E-5</v>
      </c>
      <c r="BK598">
        <v>0</v>
      </c>
      <c r="BL598">
        <v>1.5420000000000001E-5</v>
      </c>
      <c r="BM598" s="2">
        <f t="shared" si="9"/>
        <v>6.0493966479323512E-8</v>
      </c>
    </row>
    <row r="599" spans="1:65" x14ac:dyDescent="0.35">
      <c r="A599">
        <v>0</v>
      </c>
      <c r="B599" t="s">
        <v>3</v>
      </c>
      <c r="C599" t="s">
        <v>4</v>
      </c>
      <c r="D599">
        <v>0</v>
      </c>
      <c r="E599" t="s">
        <v>3</v>
      </c>
      <c r="F599" t="s">
        <v>5</v>
      </c>
      <c r="G599">
        <v>4750.9027260000003</v>
      </c>
      <c r="H599" t="s">
        <v>4</v>
      </c>
      <c r="I599">
        <v>990.16341899999998</v>
      </c>
      <c r="J599">
        <v>3760.7393069999998</v>
      </c>
      <c r="K599" t="s">
        <v>6</v>
      </c>
      <c r="L599" t="s">
        <v>7</v>
      </c>
      <c r="M599" t="s">
        <v>8</v>
      </c>
      <c r="N599" t="s">
        <v>6</v>
      </c>
      <c r="O599" t="s">
        <v>3</v>
      </c>
      <c r="P599" t="s">
        <v>3</v>
      </c>
      <c r="Q599" t="s">
        <v>3</v>
      </c>
      <c r="R599" t="s">
        <v>3</v>
      </c>
      <c r="S599" t="s">
        <v>3</v>
      </c>
      <c r="T599" t="s">
        <v>7</v>
      </c>
      <c r="U599">
        <v>0</v>
      </c>
      <c r="V599">
        <v>2</v>
      </c>
      <c r="W599">
        <v>0</v>
      </c>
      <c r="X599">
        <v>3</v>
      </c>
      <c r="Y599">
        <v>0</v>
      </c>
      <c r="Z599" t="s">
        <v>15</v>
      </c>
      <c r="AA599" t="s">
        <v>4</v>
      </c>
      <c r="AB599" t="s">
        <v>6</v>
      </c>
      <c r="AC599" t="s">
        <v>7</v>
      </c>
      <c r="AD599" t="s">
        <v>8</v>
      </c>
      <c r="AE599" t="s">
        <v>6</v>
      </c>
      <c r="AF599" t="s">
        <v>3</v>
      </c>
      <c r="AG599" t="s">
        <v>3</v>
      </c>
      <c r="AH599" t="s">
        <v>3</v>
      </c>
      <c r="AI599" t="s">
        <v>3</v>
      </c>
      <c r="AJ599" t="s">
        <v>3</v>
      </c>
      <c r="AK599" t="s">
        <v>7</v>
      </c>
      <c r="AL599">
        <v>0</v>
      </c>
      <c r="AM599">
        <v>0</v>
      </c>
      <c r="AN599">
        <v>0</v>
      </c>
      <c r="AO599">
        <v>0</v>
      </c>
      <c r="AP599">
        <v>0</v>
      </c>
      <c r="AQ599" t="s">
        <v>9</v>
      </c>
      <c r="AR599" s="1">
        <v>9.9448765699999998E-6</v>
      </c>
      <c r="AS599" s="1">
        <v>9.9928226899999997E-28</v>
      </c>
      <c r="AT599">
        <v>25</v>
      </c>
      <c r="AU599" t="s">
        <v>10</v>
      </c>
      <c r="AV599">
        <v>0</v>
      </c>
      <c r="AW599">
        <v>2</v>
      </c>
      <c r="AX599">
        <v>0</v>
      </c>
      <c r="AY599">
        <v>3</v>
      </c>
      <c r="AZ599">
        <v>0</v>
      </c>
      <c r="BA599" t="s">
        <v>15</v>
      </c>
      <c r="BB599" t="s">
        <v>4</v>
      </c>
      <c r="BC599" t="s">
        <v>10</v>
      </c>
      <c r="BD599">
        <v>0</v>
      </c>
      <c r="BE599">
        <v>0</v>
      </c>
      <c r="BF599">
        <v>0</v>
      </c>
      <c r="BG599">
        <v>0</v>
      </c>
      <c r="BH599">
        <v>0</v>
      </c>
      <c r="BI599" t="s">
        <v>9</v>
      </c>
      <c r="BJ599">
        <v>2.2800000000000002E-6</v>
      </c>
      <c r="BK599">
        <v>0</v>
      </c>
      <c r="BL599">
        <v>-9.6800000000000005E-6</v>
      </c>
      <c r="BM599" s="2">
        <f t="shared" si="9"/>
        <v>6.0178185228614744E-9</v>
      </c>
    </row>
    <row r="600" spans="1:65" x14ac:dyDescent="0.35">
      <c r="A600">
        <v>0</v>
      </c>
      <c r="B600" t="s">
        <v>3</v>
      </c>
      <c r="C600" t="s">
        <v>4</v>
      </c>
      <c r="D600">
        <v>0</v>
      </c>
      <c r="E600" t="s">
        <v>3</v>
      </c>
      <c r="F600" t="s">
        <v>5</v>
      </c>
      <c r="G600">
        <v>4979.2770220000002</v>
      </c>
      <c r="H600" t="s">
        <v>4</v>
      </c>
      <c r="I600">
        <v>990.16341899999998</v>
      </c>
      <c r="J600">
        <v>3989.1136029999998</v>
      </c>
      <c r="K600" t="s">
        <v>6</v>
      </c>
      <c r="L600" t="s">
        <v>7</v>
      </c>
      <c r="M600" t="s">
        <v>8</v>
      </c>
      <c r="N600" t="s">
        <v>6</v>
      </c>
      <c r="O600" t="s">
        <v>3</v>
      </c>
      <c r="P600" t="s">
        <v>3</v>
      </c>
      <c r="Q600" t="s">
        <v>3</v>
      </c>
      <c r="R600" t="s">
        <v>3</v>
      </c>
      <c r="S600" t="s">
        <v>3</v>
      </c>
      <c r="T600" t="s">
        <v>7</v>
      </c>
      <c r="U600">
        <v>0</v>
      </c>
      <c r="V600">
        <v>1</v>
      </c>
      <c r="W600">
        <v>0</v>
      </c>
      <c r="X600">
        <v>0</v>
      </c>
      <c r="Y600">
        <v>0</v>
      </c>
      <c r="Z600" t="s">
        <v>20</v>
      </c>
      <c r="AA600" t="s">
        <v>4</v>
      </c>
      <c r="AB600" t="s">
        <v>6</v>
      </c>
      <c r="AC600" t="s">
        <v>7</v>
      </c>
      <c r="AD600" t="s">
        <v>8</v>
      </c>
      <c r="AE600" t="s">
        <v>6</v>
      </c>
      <c r="AF600" t="s">
        <v>3</v>
      </c>
      <c r="AG600" t="s">
        <v>3</v>
      </c>
      <c r="AH600" t="s">
        <v>3</v>
      </c>
      <c r="AI600" t="s">
        <v>3</v>
      </c>
      <c r="AJ600" t="s">
        <v>3</v>
      </c>
      <c r="AK600" t="s">
        <v>7</v>
      </c>
      <c r="AL600">
        <v>0</v>
      </c>
      <c r="AM600">
        <v>0</v>
      </c>
      <c r="AN600">
        <v>0</v>
      </c>
      <c r="AO600">
        <v>0</v>
      </c>
      <c r="AP600">
        <v>0</v>
      </c>
      <c r="AQ600" t="s">
        <v>9</v>
      </c>
      <c r="AR600" s="1">
        <v>2.8361196499999999E-5</v>
      </c>
      <c r="AS600" s="1">
        <v>8.6206827500000002E-27</v>
      </c>
      <c r="AT600">
        <v>26</v>
      </c>
      <c r="AU600" t="s">
        <v>10</v>
      </c>
      <c r="AV600">
        <v>0</v>
      </c>
      <c r="AW600">
        <v>1</v>
      </c>
      <c r="AX600">
        <v>0</v>
      </c>
      <c r="AY600">
        <v>0</v>
      </c>
      <c r="AZ600">
        <v>0</v>
      </c>
      <c r="BA600" t="s">
        <v>20</v>
      </c>
      <c r="BB600" t="s">
        <v>4</v>
      </c>
      <c r="BC600" t="s">
        <v>10</v>
      </c>
      <c r="BD600">
        <v>0</v>
      </c>
      <c r="BE600">
        <v>0</v>
      </c>
      <c r="BF600">
        <v>0</v>
      </c>
      <c r="BG600">
        <v>0</v>
      </c>
      <c r="BH600">
        <v>0</v>
      </c>
      <c r="BI600" t="s">
        <v>9</v>
      </c>
      <c r="BJ600">
        <v>1.3550000000000001E-5</v>
      </c>
      <c r="BK600">
        <v>0</v>
      </c>
      <c r="BL600">
        <v>-2.4919999999999999E-5</v>
      </c>
      <c r="BM600" s="2">
        <f t="shared" si="9"/>
        <v>5.1914965312631196E-8</v>
      </c>
    </row>
    <row r="601" spans="1:65" x14ac:dyDescent="0.35">
      <c r="A601">
        <v>0</v>
      </c>
      <c r="B601" t="s">
        <v>3</v>
      </c>
      <c r="C601" t="s">
        <v>4</v>
      </c>
      <c r="D601">
        <v>0</v>
      </c>
      <c r="E601" t="s">
        <v>3</v>
      </c>
      <c r="F601" t="s">
        <v>5</v>
      </c>
      <c r="G601">
        <v>4915.375497</v>
      </c>
      <c r="H601" t="s">
        <v>4</v>
      </c>
      <c r="I601">
        <v>990.16341899999998</v>
      </c>
      <c r="J601">
        <v>3925.212078</v>
      </c>
      <c r="K601" t="s">
        <v>6</v>
      </c>
      <c r="L601" t="s">
        <v>7</v>
      </c>
      <c r="M601" t="s">
        <v>8</v>
      </c>
      <c r="N601" t="s">
        <v>6</v>
      </c>
      <c r="O601" t="s">
        <v>3</v>
      </c>
      <c r="P601" t="s">
        <v>3</v>
      </c>
      <c r="Q601" t="s">
        <v>3</v>
      </c>
      <c r="R601" t="s">
        <v>3</v>
      </c>
      <c r="S601" t="s">
        <v>3</v>
      </c>
      <c r="T601" t="s">
        <v>7</v>
      </c>
      <c r="U601">
        <v>0</v>
      </c>
      <c r="V601">
        <v>0</v>
      </c>
      <c r="W601">
        <v>0</v>
      </c>
      <c r="X601">
        <v>8</v>
      </c>
      <c r="Y601">
        <v>0</v>
      </c>
      <c r="Z601" t="s">
        <v>15</v>
      </c>
      <c r="AA601" t="s">
        <v>4</v>
      </c>
      <c r="AB601" t="s">
        <v>6</v>
      </c>
      <c r="AC601" t="s">
        <v>7</v>
      </c>
      <c r="AD601" t="s">
        <v>8</v>
      </c>
      <c r="AE601" t="s">
        <v>6</v>
      </c>
      <c r="AF601" t="s">
        <v>3</v>
      </c>
      <c r="AG601" t="s">
        <v>3</v>
      </c>
      <c r="AH601" t="s">
        <v>3</v>
      </c>
      <c r="AI601" t="s">
        <v>3</v>
      </c>
      <c r="AJ601" t="s">
        <v>3</v>
      </c>
      <c r="AK601" t="s">
        <v>7</v>
      </c>
      <c r="AL601">
        <v>0</v>
      </c>
      <c r="AM601">
        <v>0</v>
      </c>
      <c r="AN601">
        <v>0</v>
      </c>
      <c r="AO601">
        <v>0</v>
      </c>
      <c r="AP601">
        <v>0</v>
      </c>
      <c r="AQ601" t="s">
        <v>9</v>
      </c>
      <c r="AR601" s="1">
        <v>3.5131941099999999E-5</v>
      </c>
      <c r="AS601" s="1">
        <v>1.3016181E-26</v>
      </c>
      <c r="AT601">
        <v>26</v>
      </c>
      <c r="AU601" t="s">
        <v>10</v>
      </c>
      <c r="AV601">
        <v>0</v>
      </c>
      <c r="AW601">
        <v>0</v>
      </c>
      <c r="AX601">
        <v>0</v>
      </c>
      <c r="AY601">
        <v>8</v>
      </c>
      <c r="AZ601">
        <v>0</v>
      </c>
      <c r="BA601" t="s">
        <v>15</v>
      </c>
      <c r="BB601" t="s">
        <v>4</v>
      </c>
      <c r="BC601" t="s">
        <v>10</v>
      </c>
      <c r="BD601">
        <v>0</v>
      </c>
      <c r="BE601">
        <v>0</v>
      </c>
      <c r="BF601">
        <v>0</v>
      </c>
      <c r="BG601">
        <v>0</v>
      </c>
      <c r="BH601">
        <v>0</v>
      </c>
      <c r="BI601" t="s">
        <v>9</v>
      </c>
      <c r="BJ601">
        <v>-2.251E-5</v>
      </c>
      <c r="BK601">
        <v>0</v>
      </c>
      <c r="BL601">
        <v>2.6979999999999999E-5</v>
      </c>
      <c r="BM601" s="2">
        <f t="shared" si="9"/>
        <v>7.8385274660284799E-8</v>
      </c>
    </row>
    <row r="602" spans="1:65" x14ac:dyDescent="0.35">
      <c r="A602">
        <v>0</v>
      </c>
      <c r="B602" t="s">
        <v>3</v>
      </c>
      <c r="C602" t="s">
        <v>4</v>
      </c>
      <c r="D602">
        <v>0</v>
      </c>
      <c r="E602" t="s">
        <v>3</v>
      </c>
      <c r="F602" t="s">
        <v>5</v>
      </c>
      <c r="G602">
        <v>3740.1719849999999</v>
      </c>
      <c r="H602" t="s">
        <v>4</v>
      </c>
      <c r="I602">
        <v>990.16341899999998</v>
      </c>
      <c r="J602">
        <v>2750.008566</v>
      </c>
      <c r="K602" t="s">
        <v>6</v>
      </c>
      <c r="L602" t="s">
        <v>7</v>
      </c>
      <c r="M602" t="s">
        <v>8</v>
      </c>
      <c r="N602" t="s">
        <v>6</v>
      </c>
      <c r="O602" t="s">
        <v>3</v>
      </c>
      <c r="P602" t="s">
        <v>3</v>
      </c>
      <c r="Q602" t="s">
        <v>3</v>
      </c>
      <c r="R602" t="s">
        <v>3</v>
      </c>
      <c r="S602" t="s">
        <v>3</v>
      </c>
      <c r="T602" t="s">
        <v>7</v>
      </c>
      <c r="U602">
        <v>0</v>
      </c>
      <c r="V602">
        <v>1</v>
      </c>
      <c r="W602">
        <v>0</v>
      </c>
      <c r="X602">
        <v>3</v>
      </c>
      <c r="Y602">
        <v>2</v>
      </c>
      <c r="Z602" t="s">
        <v>8</v>
      </c>
      <c r="AA602" t="s">
        <v>4</v>
      </c>
      <c r="AB602" t="s">
        <v>6</v>
      </c>
      <c r="AC602" t="s">
        <v>7</v>
      </c>
      <c r="AD602" t="s">
        <v>8</v>
      </c>
      <c r="AE602" t="s">
        <v>6</v>
      </c>
      <c r="AF602" t="s">
        <v>3</v>
      </c>
      <c r="AG602" t="s">
        <v>3</v>
      </c>
      <c r="AH602" t="s">
        <v>3</v>
      </c>
      <c r="AI602" t="s">
        <v>3</v>
      </c>
      <c r="AJ602" t="s">
        <v>3</v>
      </c>
      <c r="AK602" t="s">
        <v>7</v>
      </c>
      <c r="AL602">
        <v>0</v>
      </c>
      <c r="AM602">
        <v>0</v>
      </c>
      <c r="AN602">
        <v>0</v>
      </c>
      <c r="AO602">
        <v>0</v>
      </c>
      <c r="AP602">
        <v>0</v>
      </c>
      <c r="AQ602" t="s">
        <v>9</v>
      </c>
      <c r="AR602" s="1">
        <v>1.1811250999999999E-5</v>
      </c>
      <c r="AS602" s="1">
        <v>1.0307213299999999E-27</v>
      </c>
      <c r="AT602">
        <v>29</v>
      </c>
      <c r="AU602" t="s">
        <v>10</v>
      </c>
      <c r="AV602">
        <v>0</v>
      </c>
      <c r="AW602">
        <v>1</v>
      </c>
      <c r="AX602">
        <v>0</v>
      </c>
      <c r="AY602">
        <v>3</v>
      </c>
      <c r="AZ602">
        <v>2</v>
      </c>
      <c r="BA602" t="s">
        <v>8</v>
      </c>
      <c r="BB602" t="s">
        <v>4</v>
      </c>
      <c r="BC602" t="s">
        <v>10</v>
      </c>
      <c r="BD602">
        <v>0</v>
      </c>
      <c r="BE602">
        <v>0</v>
      </c>
      <c r="BF602">
        <v>0</v>
      </c>
      <c r="BG602">
        <v>0</v>
      </c>
      <c r="BH602">
        <v>0</v>
      </c>
      <c r="BI602" t="s">
        <v>9</v>
      </c>
      <c r="BJ602">
        <v>-1.04E-5</v>
      </c>
      <c r="BK602">
        <v>0</v>
      </c>
      <c r="BL602">
        <v>-5.5999999999999997E-6</v>
      </c>
      <c r="BM602" s="2">
        <f t="shared" si="9"/>
        <v>6.2071489748232643E-9</v>
      </c>
    </row>
    <row r="603" spans="1:65" x14ac:dyDescent="0.35">
      <c r="A603">
        <v>0</v>
      </c>
      <c r="B603" t="s">
        <v>11</v>
      </c>
      <c r="C603" t="s">
        <v>4</v>
      </c>
      <c r="D603">
        <v>0</v>
      </c>
      <c r="E603" t="s">
        <v>3</v>
      </c>
      <c r="F603" t="s">
        <v>5</v>
      </c>
      <c r="G603">
        <v>4246.2776640000002</v>
      </c>
      <c r="H603" t="s">
        <v>4</v>
      </c>
      <c r="I603">
        <v>990.16341899999998</v>
      </c>
      <c r="J603">
        <v>3256.1142450000002</v>
      </c>
      <c r="K603" t="s">
        <v>6</v>
      </c>
      <c r="L603" t="s">
        <v>7</v>
      </c>
      <c r="M603" t="s">
        <v>8</v>
      </c>
      <c r="N603" t="s">
        <v>6</v>
      </c>
      <c r="O603" t="s">
        <v>3</v>
      </c>
      <c r="P603" t="s">
        <v>3</v>
      </c>
      <c r="Q603" t="s">
        <v>3</v>
      </c>
      <c r="R603" t="s">
        <v>3</v>
      </c>
      <c r="S603" t="s">
        <v>11</v>
      </c>
      <c r="T603" t="s">
        <v>7</v>
      </c>
      <c r="U603">
        <v>0</v>
      </c>
      <c r="V603">
        <v>1</v>
      </c>
      <c r="W603">
        <v>0</v>
      </c>
      <c r="X603">
        <v>1</v>
      </c>
      <c r="Y603">
        <v>1</v>
      </c>
      <c r="Z603" t="s">
        <v>13</v>
      </c>
      <c r="AA603" t="s">
        <v>4</v>
      </c>
      <c r="AB603" t="s">
        <v>6</v>
      </c>
      <c r="AC603" t="s">
        <v>7</v>
      </c>
      <c r="AD603" t="s">
        <v>8</v>
      </c>
      <c r="AE603" t="s">
        <v>6</v>
      </c>
      <c r="AF603" t="s">
        <v>3</v>
      </c>
      <c r="AG603" t="s">
        <v>3</v>
      </c>
      <c r="AH603" t="s">
        <v>3</v>
      </c>
      <c r="AI603" t="s">
        <v>3</v>
      </c>
      <c r="AJ603" t="s">
        <v>3</v>
      </c>
      <c r="AK603" t="s">
        <v>7</v>
      </c>
      <c r="AL603">
        <v>0</v>
      </c>
      <c r="AM603">
        <v>0</v>
      </c>
      <c r="AN603">
        <v>0</v>
      </c>
      <c r="AO603">
        <v>0</v>
      </c>
      <c r="AP603">
        <v>0</v>
      </c>
      <c r="AQ603" t="s">
        <v>9</v>
      </c>
      <c r="AR603" s="1">
        <v>6.4022009499999994E-5</v>
      </c>
      <c r="AS603" s="1">
        <v>3.5857031800000002E-26</v>
      </c>
      <c r="AT603">
        <v>25</v>
      </c>
      <c r="AU603" t="s">
        <v>10</v>
      </c>
      <c r="AV603">
        <v>0</v>
      </c>
      <c r="AW603">
        <v>1</v>
      </c>
      <c r="AX603">
        <v>0</v>
      </c>
      <c r="AY603">
        <v>1</v>
      </c>
      <c r="AZ603">
        <v>1</v>
      </c>
      <c r="BA603" t="s">
        <v>13</v>
      </c>
      <c r="BB603" t="s">
        <v>4</v>
      </c>
      <c r="BC603" t="s">
        <v>10</v>
      </c>
      <c r="BD603">
        <v>0</v>
      </c>
      <c r="BE603">
        <v>0</v>
      </c>
      <c r="BF603">
        <v>0</v>
      </c>
      <c r="BG603">
        <v>0</v>
      </c>
      <c r="BH603">
        <v>0</v>
      </c>
      <c r="BI603" t="s">
        <v>9</v>
      </c>
      <c r="BJ603">
        <v>0</v>
      </c>
      <c r="BK603">
        <v>-6.402E-5</v>
      </c>
      <c r="BL603">
        <v>0</v>
      </c>
      <c r="BM603" s="2">
        <f t="shared" si="9"/>
        <v>2.1593609416967746E-7</v>
      </c>
    </row>
    <row r="604" spans="1:65" x14ac:dyDescent="0.35">
      <c r="A604">
        <v>0</v>
      </c>
      <c r="B604" t="s">
        <v>11</v>
      </c>
      <c r="C604" t="s">
        <v>4</v>
      </c>
      <c r="D604">
        <v>0</v>
      </c>
      <c r="E604" t="s">
        <v>3</v>
      </c>
      <c r="F604" t="s">
        <v>5</v>
      </c>
      <c r="G604">
        <v>4857.4620340000001</v>
      </c>
      <c r="H604" t="s">
        <v>4</v>
      </c>
      <c r="I604">
        <v>990.16341899999998</v>
      </c>
      <c r="J604">
        <v>3867.2986150000002</v>
      </c>
      <c r="K604" t="s">
        <v>6</v>
      </c>
      <c r="L604" t="s">
        <v>7</v>
      </c>
      <c r="M604" t="s">
        <v>8</v>
      </c>
      <c r="N604" t="s">
        <v>6</v>
      </c>
      <c r="O604" t="s">
        <v>3</v>
      </c>
      <c r="P604" t="s">
        <v>3</v>
      </c>
      <c r="Q604" t="s">
        <v>3</v>
      </c>
      <c r="R604" t="s">
        <v>3</v>
      </c>
      <c r="S604" t="s">
        <v>11</v>
      </c>
      <c r="T604" t="s">
        <v>7</v>
      </c>
      <c r="U604">
        <v>1</v>
      </c>
      <c r="V604">
        <v>2</v>
      </c>
      <c r="W604">
        <v>0</v>
      </c>
      <c r="X604">
        <v>0</v>
      </c>
      <c r="Y604">
        <v>0</v>
      </c>
      <c r="Z604" t="s">
        <v>14</v>
      </c>
      <c r="AA604" t="s">
        <v>4</v>
      </c>
      <c r="AB604" t="s">
        <v>6</v>
      </c>
      <c r="AC604" t="s">
        <v>7</v>
      </c>
      <c r="AD604" t="s">
        <v>8</v>
      </c>
      <c r="AE604" t="s">
        <v>6</v>
      </c>
      <c r="AF604" t="s">
        <v>3</v>
      </c>
      <c r="AG604" t="s">
        <v>3</v>
      </c>
      <c r="AH604" t="s">
        <v>3</v>
      </c>
      <c r="AI604" t="s">
        <v>3</v>
      </c>
      <c r="AJ604" t="s">
        <v>3</v>
      </c>
      <c r="AK604" t="s">
        <v>7</v>
      </c>
      <c r="AL604">
        <v>0</v>
      </c>
      <c r="AM604">
        <v>0</v>
      </c>
      <c r="AN604">
        <v>0</v>
      </c>
      <c r="AO604">
        <v>0</v>
      </c>
      <c r="AP604">
        <v>0</v>
      </c>
      <c r="AQ604" t="s">
        <v>9</v>
      </c>
      <c r="AR604" s="1">
        <v>1.52068586E-5</v>
      </c>
      <c r="AS604" s="1">
        <v>2.4027184600000001E-27</v>
      </c>
      <c r="AT604">
        <v>26</v>
      </c>
      <c r="AU604" t="s">
        <v>10</v>
      </c>
      <c r="AV604">
        <v>1</v>
      </c>
      <c r="AW604">
        <v>2</v>
      </c>
      <c r="AX604">
        <v>0</v>
      </c>
      <c r="AY604">
        <v>0</v>
      </c>
      <c r="AZ604">
        <v>0</v>
      </c>
      <c r="BA604" t="s">
        <v>14</v>
      </c>
      <c r="BB604" t="s">
        <v>4</v>
      </c>
      <c r="BC604" t="s">
        <v>10</v>
      </c>
      <c r="BD604">
        <v>0</v>
      </c>
      <c r="BE604">
        <v>0</v>
      </c>
      <c r="BF604">
        <v>0</v>
      </c>
      <c r="BG604">
        <v>0</v>
      </c>
      <c r="BH604">
        <v>0</v>
      </c>
      <c r="BI604" t="s">
        <v>9</v>
      </c>
      <c r="BJ604">
        <v>0</v>
      </c>
      <c r="BK604">
        <v>-1.521E-5</v>
      </c>
      <c r="BL604">
        <v>0</v>
      </c>
      <c r="BM604" s="2">
        <f t="shared" si="9"/>
        <v>1.446950886887917E-8</v>
      </c>
    </row>
    <row r="605" spans="1:65" x14ac:dyDescent="0.35">
      <c r="A605">
        <v>0</v>
      </c>
      <c r="B605" t="s">
        <v>3</v>
      </c>
      <c r="C605" t="s">
        <v>4</v>
      </c>
      <c r="D605">
        <v>0</v>
      </c>
      <c r="E605" t="s">
        <v>3</v>
      </c>
      <c r="F605" t="s">
        <v>5</v>
      </c>
      <c r="G605">
        <v>4396.0907829999996</v>
      </c>
      <c r="H605" t="s">
        <v>4</v>
      </c>
      <c r="I605">
        <v>990.16341899999998</v>
      </c>
      <c r="J605">
        <v>3405.9273640000001</v>
      </c>
      <c r="K605" t="s">
        <v>6</v>
      </c>
      <c r="L605" t="s">
        <v>7</v>
      </c>
      <c r="M605" t="s">
        <v>8</v>
      </c>
      <c r="N605" t="s">
        <v>6</v>
      </c>
      <c r="O605" t="s">
        <v>3</v>
      </c>
      <c r="P605" t="s">
        <v>3</v>
      </c>
      <c r="Q605" t="s">
        <v>3</v>
      </c>
      <c r="R605" t="s">
        <v>3</v>
      </c>
      <c r="S605" t="s">
        <v>3</v>
      </c>
      <c r="T605" t="s">
        <v>7</v>
      </c>
      <c r="U605">
        <v>1</v>
      </c>
      <c r="V605">
        <v>2</v>
      </c>
      <c r="W605">
        <v>0</v>
      </c>
      <c r="X605">
        <v>0</v>
      </c>
      <c r="Y605">
        <v>0</v>
      </c>
      <c r="Z605" t="s">
        <v>9</v>
      </c>
      <c r="AA605" t="s">
        <v>4</v>
      </c>
      <c r="AB605" t="s">
        <v>6</v>
      </c>
      <c r="AC605" t="s">
        <v>7</v>
      </c>
      <c r="AD605" t="s">
        <v>8</v>
      </c>
      <c r="AE605" t="s">
        <v>6</v>
      </c>
      <c r="AF605" t="s">
        <v>3</v>
      </c>
      <c r="AG605" t="s">
        <v>3</v>
      </c>
      <c r="AH605" t="s">
        <v>3</v>
      </c>
      <c r="AI605" t="s">
        <v>3</v>
      </c>
      <c r="AJ605" t="s">
        <v>3</v>
      </c>
      <c r="AK605" t="s">
        <v>7</v>
      </c>
      <c r="AL605">
        <v>0</v>
      </c>
      <c r="AM605">
        <v>0</v>
      </c>
      <c r="AN605">
        <v>0</v>
      </c>
      <c r="AO605">
        <v>0</v>
      </c>
      <c r="AP605">
        <v>0</v>
      </c>
      <c r="AQ605" t="s">
        <v>9</v>
      </c>
      <c r="AR605" s="1">
        <v>2.4854168799999998E-4</v>
      </c>
      <c r="AS605" s="1">
        <v>5.65262273E-25</v>
      </c>
      <c r="AT605">
        <v>25</v>
      </c>
      <c r="AU605" t="s">
        <v>10</v>
      </c>
      <c r="AV605">
        <v>1</v>
      </c>
      <c r="AW605">
        <v>2</v>
      </c>
      <c r="AX605">
        <v>0</v>
      </c>
      <c r="AY605">
        <v>0</v>
      </c>
      <c r="AZ605">
        <v>0</v>
      </c>
      <c r="BA605" t="s">
        <v>9</v>
      </c>
      <c r="BB605" t="s">
        <v>4</v>
      </c>
      <c r="BC605" t="s">
        <v>10</v>
      </c>
      <c r="BD605">
        <v>0</v>
      </c>
      <c r="BE605">
        <v>0</v>
      </c>
      <c r="BF605">
        <v>0</v>
      </c>
      <c r="BG605">
        <v>0</v>
      </c>
      <c r="BH605">
        <v>0</v>
      </c>
      <c r="BI605" t="s">
        <v>9</v>
      </c>
      <c r="BJ605">
        <v>-2.4695000000000001E-4</v>
      </c>
      <c r="BK605">
        <v>0</v>
      </c>
      <c r="BL605">
        <v>2.8039999999999999E-5</v>
      </c>
      <c r="BM605" s="2">
        <f t="shared" si="9"/>
        <v>3.4040889969340385E-6</v>
      </c>
    </row>
    <row r="606" spans="1:65" x14ac:dyDescent="0.35">
      <c r="A606">
        <v>0</v>
      </c>
      <c r="B606" t="s">
        <v>3</v>
      </c>
      <c r="C606" t="s">
        <v>4</v>
      </c>
      <c r="D606">
        <v>0</v>
      </c>
      <c r="E606" t="s">
        <v>3</v>
      </c>
      <c r="F606" t="s">
        <v>5</v>
      </c>
      <c r="G606">
        <v>4162.6683320000002</v>
      </c>
      <c r="H606" t="s">
        <v>4</v>
      </c>
      <c r="I606">
        <v>990.16341899999998</v>
      </c>
      <c r="J606">
        <v>3172.5049130000002</v>
      </c>
      <c r="K606" t="s">
        <v>6</v>
      </c>
      <c r="L606" t="s">
        <v>7</v>
      </c>
      <c r="M606" t="s">
        <v>8</v>
      </c>
      <c r="N606" t="s">
        <v>6</v>
      </c>
      <c r="O606" t="s">
        <v>3</v>
      </c>
      <c r="P606" t="s">
        <v>3</v>
      </c>
      <c r="Q606" t="s">
        <v>3</v>
      </c>
      <c r="R606" t="s">
        <v>3</v>
      </c>
      <c r="S606" t="s">
        <v>3</v>
      </c>
      <c r="T606" t="s">
        <v>7</v>
      </c>
      <c r="U606">
        <v>0</v>
      </c>
      <c r="V606">
        <v>0</v>
      </c>
      <c r="W606">
        <v>0</v>
      </c>
      <c r="X606">
        <v>0</v>
      </c>
      <c r="Y606">
        <v>1</v>
      </c>
      <c r="Z606" t="s">
        <v>27</v>
      </c>
      <c r="AA606" t="s">
        <v>4</v>
      </c>
      <c r="AB606" t="s">
        <v>6</v>
      </c>
      <c r="AC606" t="s">
        <v>7</v>
      </c>
      <c r="AD606" t="s">
        <v>8</v>
      </c>
      <c r="AE606" t="s">
        <v>6</v>
      </c>
      <c r="AF606" t="s">
        <v>3</v>
      </c>
      <c r="AG606" t="s">
        <v>3</v>
      </c>
      <c r="AH606" t="s">
        <v>3</v>
      </c>
      <c r="AI606" t="s">
        <v>3</v>
      </c>
      <c r="AJ606" t="s">
        <v>3</v>
      </c>
      <c r="AK606" t="s">
        <v>7</v>
      </c>
      <c r="AL606">
        <v>0</v>
      </c>
      <c r="AM606">
        <v>0</v>
      </c>
      <c r="AN606">
        <v>0</v>
      </c>
      <c r="AO606">
        <v>0</v>
      </c>
      <c r="AP606">
        <v>0</v>
      </c>
      <c r="AQ606" t="s">
        <v>9</v>
      </c>
      <c r="AR606" s="1">
        <v>6.8588645099999996E-4</v>
      </c>
      <c r="AS606" s="1">
        <v>4.0098009800000003E-24</v>
      </c>
      <c r="AT606">
        <v>29</v>
      </c>
      <c r="AU606" t="s">
        <v>10</v>
      </c>
      <c r="AV606">
        <v>0</v>
      </c>
      <c r="AW606">
        <v>0</v>
      </c>
      <c r="AX606">
        <v>0</v>
      </c>
      <c r="AY606">
        <v>0</v>
      </c>
      <c r="AZ606">
        <v>1</v>
      </c>
      <c r="BA606" t="s">
        <v>27</v>
      </c>
      <c r="BB606" t="s">
        <v>4</v>
      </c>
      <c r="BC606" t="s">
        <v>10</v>
      </c>
      <c r="BD606">
        <v>0</v>
      </c>
      <c r="BE606">
        <v>0</v>
      </c>
      <c r="BF606">
        <v>0</v>
      </c>
      <c r="BG606">
        <v>0</v>
      </c>
      <c r="BH606">
        <v>0</v>
      </c>
      <c r="BI606" t="s">
        <v>9</v>
      </c>
      <c r="BJ606">
        <v>-6.8103E-4</v>
      </c>
      <c r="BK606">
        <v>0</v>
      </c>
      <c r="BL606">
        <v>-8.1450000000000001E-5</v>
      </c>
      <c r="BM606" s="2">
        <f t="shared" si="9"/>
        <v>2.4147586081537988E-5</v>
      </c>
    </row>
    <row r="607" spans="1:65" x14ac:dyDescent="0.35">
      <c r="A607">
        <v>0</v>
      </c>
      <c r="B607" t="s">
        <v>11</v>
      </c>
      <c r="C607" t="s">
        <v>4</v>
      </c>
      <c r="D607">
        <v>0</v>
      </c>
      <c r="E607" t="s">
        <v>3</v>
      </c>
      <c r="F607" t="s">
        <v>5</v>
      </c>
      <c r="G607">
        <v>3567.748842</v>
      </c>
      <c r="H607" t="s">
        <v>4</v>
      </c>
      <c r="I607">
        <v>990.16341899999998</v>
      </c>
      <c r="J607">
        <v>2577.585423</v>
      </c>
      <c r="K607" t="s">
        <v>6</v>
      </c>
      <c r="L607" t="s">
        <v>7</v>
      </c>
      <c r="M607" t="s">
        <v>8</v>
      </c>
      <c r="N607" t="s">
        <v>6</v>
      </c>
      <c r="O607" t="s">
        <v>3</v>
      </c>
      <c r="P607" t="s">
        <v>3</v>
      </c>
      <c r="Q607" t="s">
        <v>3</v>
      </c>
      <c r="R607" t="s">
        <v>3</v>
      </c>
      <c r="S607" t="s">
        <v>11</v>
      </c>
      <c r="T607" t="s">
        <v>7</v>
      </c>
      <c r="U607">
        <v>0</v>
      </c>
      <c r="V607">
        <v>1</v>
      </c>
      <c r="W607">
        <v>0</v>
      </c>
      <c r="X607">
        <v>2</v>
      </c>
      <c r="Y607">
        <v>0</v>
      </c>
      <c r="Z607" t="s">
        <v>14</v>
      </c>
      <c r="AA607" t="s">
        <v>4</v>
      </c>
      <c r="AB607" t="s">
        <v>6</v>
      </c>
      <c r="AC607" t="s">
        <v>7</v>
      </c>
      <c r="AD607" t="s">
        <v>8</v>
      </c>
      <c r="AE607" t="s">
        <v>6</v>
      </c>
      <c r="AF607" t="s">
        <v>3</v>
      </c>
      <c r="AG607" t="s">
        <v>3</v>
      </c>
      <c r="AH607" t="s">
        <v>3</v>
      </c>
      <c r="AI607" t="s">
        <v>3</v>
      </c>
      <c r="AJ607" t="s">
        <v>3</v>
      </c>
      <c r="AK607" t="s">
        <v>7</v>
      </c>
      <c r="AL607">
        <v>0</v>
      </c>
      <c r="AM607">
        <v>0</v>
      </c>
      <c r="AN607">
        <v>0</v>
      </c>
      <c r="AO607">
        <v>0</v>
      </c>
      <c r="AP607">
        <v>0</v>
      </c>
      <c r="AQ607" t="s">
        <v>9</v>
      </c>
      <c r="AR607" s="1">
        <v>3.9037031399999997E-5</v>
      </c>
      <c r="AS607" s="1">
        <v>1.0553125100000001E-26</v>
      </c>
      <c r="AT607">
        <v>25</v>
      </c>
      <c r="AU607" t="s">
        <v>10</v>
      </c>
      <c r="AV607">
        <v>0</v>
      </c>
      <c r="AW607">
        <v>1</v>
      </c>
      <c r="AX607">
        <v>0</v>
      </c>
      <c r="AY607">
        <v>2</v>
      </c>
      <c r="AZ607">
        <v>0</v>
      </c>
      <c r="BA607" t="s">
        <v>14</v>
      </c>
      <c r="BB607" t="s">
        <v>4</v>
      </c>
      <c r="BC607" t="s">
        <v>10</v>
      </c>
      <c r="BD607">
        <v>0</v>
      </c>
      <c r="BE607">
        <v>0</v>
      </c>
      <c r="BF607">
        <v>0</v>
      </c>
      <c r="BG607">
        <v>0</v>
      </c>
      <c r="BH607">
        <v>0</v>
      </c>
      <c r="BI607" t="s">
        <v>9</v>
      </c>
      <c r="BJ607">
        <v>0</v>
      </c>
      <c r="BK607">
        <v>3.9039999999999999E-5</v>
      </c>
      <c r="BL607">
        <v>0</v>
      </c>
      <c r="BM607" s="2">
        <f t="shared" si="9"/>
        <v>6.3552405232214081E-8</v>
      </c>
    </row>
    <row r="608" spans="1:65" x14ac:dyDescent="0.35">
      <c r="A608">
        <v>0</v>
      </c>
      <c r="B608" t="s">
        <v>3</v>
      </c>
      <c r="C608" t="s">
        <v>4</v>
      </c>
      <c r="D608">
        <v>0</v>
      </c>
      <c r="E608" t="s">
        <v>3</v>
      </c>
      <c r="F608" t="s">
        <v>5</v>
      </c>
      <c r="G608">
        <v>4626.3918750000003</v>
      </c>
      <c r="H608" t="s">
        <v>4</v>
      </c>
      <c r="I608">
        <v>990.16341899999998</v>
      </c>
      <c r="J608">
        <v>3636.2284559999998</v>
      </c>
      <c r="K608" t="s">
        <v>6</v>
      </c>
      <c r="L608" t="s">
        <v>7</v>
      </c>
      <c r="M608" t="s">
        <v>8</v>
      </c>
      <c r="N608" t="s">
        <v>6</v>
      </c>
      <c r="O608" t="s">
        <v>3</v>
      </c>
      <c r="P608" t="s">
        <v>3</v>
      </c>
      <c r="Q608" t="s">
        <v>3</v>
      </c>
      <c r="R608" t="s">
        <v>3</v>
      </c>
      <c r="S608" t="s">
        <v>3</v>
      </c>
      <c r="T608" t="s">
        <v>7</v>
      </c>
      <c r="U608">
        <v>1</v>
      </c>
      <c r="V608">
        <v>0</v>
      </c>
      <c r="W608">
        <v>0</v>
      </c>
      <c r="X608">
        <v>0</v>
      </c>
      <c r="Y608">
        <v>2</v>
      </c>
      <c r="Z608" t="s">
        <v>21</v>
      </c>
      <c r="AA608" t="s">
        <v>4</v>
      </c>
      <c r="AB608" t="s">
        <v>6</v>
      </c>
      <c r="AC608" t="s">
        <v>7</v>
      </c>
      <c r="AD608" t="s">
        <v>8</v>
      </c>
      <c r="AE608" t="s">
        <v>6</v>
      </c>
      <c r="AF608" t="s">
        <v>3</v>
      </c>
      <c r="AG608" t="s">
        <v>3</v>
      </c>
      <c r="AH608" t="s">
        <v>3</v>
      </c>
      <c r="AI608" t="s">
        <v>3</v>
      </c>
      <c r="AJ608" t="s">
        <v>3</v>
      </c>
      <c r="AK608" t="s">
        <v>7</v>
      </c>
      <c r="AL608">
        <v>0</v>
      </c>
      <c r="AM608">
        <v>0</v>
      </c>
      <c r="AN608">
        <v>0</v>
      </c>
      <c r="AO608">
        <v>0</v>
      </c>
      <c r="AP608">
        <v>0</v>
      </c>
      <c r="AQ608" t="s">
        <v>9</v>
      </c>
      <c r="AR608" s="1">
        <v>4.5633983899999999E-3</v>
      </c>
      <c r="AS608" s="1">
        <v>2.0344362399999999E-22</v>
      </c>
      <c r="AT608">
        <v>29</v>
      </c>
      <c r="AU608" t="s">
        <v>10</v>
      </c>
      <c r="AV608">
        <v>1</v>
      </c>
      <c r="AW608">
        <v>0</v>
      </c>
      <c r="AX608">
        <v>0</v>
      </c>
      <c r="AY608">
        <v>0</v>
      </c>
      <c r="AZ608">
        <v>2</v>
      </c>
      <c r="BA608" t="s">
        <v>21</v>
      </c>
      <c r="BB608" t="s">
        <v>4</v>
      </c>
      <c r="BC608" t="s">
        <v>10</v>
      </c>
      <c r="BD608">
        <v>0</v>
      </c>
      <c r="BE608">
        <v>0</v>
      </c>
      <c r="BF608">
        <v>0</v>
      </c>
      <c r="BG608">
        <v>0</v>
      </c>
      <c r="BH608">
        <v>0</v>
      </c>
      <c r="BI608" t="s">
        <v>9</v>
      </c>
      <c r="BJ608">
        <v>-3.46168E-3</v>
      </c>
      <c r="BK608">
        <v>0</v>
      </c>
      <c r="BL608">
        <v>2.9734499999999999E-3</v>
      </c>
      <c r="BM608" s="2">
        <f t="shared" si="9"/>
        <v>1.2251661485902592E-3</v>
      </c>
    </row>
    <row r="609" spans="1:65" x14ac:dyDescent="0.35">
      <c r="A609">
        <v>0</v>
      </c>
      <c r="B609" t="s">
        <v>3</v>
      </c>
      <c r="C609" t="s">
        <v>4</v>
      </c>
      <c r="D609">
        <v>0</v>
      </c>
      <c r="E609" t="s">
        <v>3</v>
      </c>
      <c r="F609" t="s">
        <v>5</v>
      </c>
      <c r="G609">
        <v>2425.3433580000001</v>
      </c>
      <c r="H609" t="s">
        <v>4</v>
      </c>
      <c r="I609">
        <v>990.16341899999998</v>
      </c>
      <c r="J609">
        <v>1435.1799390000001</v>
      </c>
      <c r="K609" t="s">
        <v>6</v>
      </c>
      <c r="L609" t="s">
        <v>7</v>
      </c>
      <c r="M609" t="s">
        <v>8</v>
      </c>
      <c r="N609" t="s">
        <v>6</v>
      </c>
      <c r="O609" t="s">
        <v>3</v>
      </c>
      <c r="P609" t="s">
        <v>3</v>
      </c>
      <c r="Q609" t="s">
        <v>3</v>
      </c>
      <c r="R609" t="s">
        <v>3</v>
      </c>
      <c r="S609" t="s">
        <v>3</v>
      </c>
      <c r="T609" t="s">
        <v>7</v>
      </c>
      <c r="U609">
        <v>1</v>
      </c>
      <c r="V609">
        <v>0</v>
      </c>
      <c r="W609">
        <v>0</v>
      </c>
      <c r="X609">
        <v>4</v>
      </c>
      <c r="Y609">
        <v>0</v>
      </c>
      <c r="Z609" t="s">
        <v>8</v>
      </c>
      <c r="AA609" t="s">
        <v>4</v>
      </c>
      <c r="AB609" t="s">
        <v>6</v>
      </c>
      <c r="AC609" t="s">
        <v>7</v>
      </c>
      <c r="AD609" t="s">
        <v>8</v>
      </c>
      <c r="AE609" t="s">
        <v>6</v>
      </c>
      <c r="AF609" t="s">
        <v>3</v>
      </c>
      <c r="AG609" t="s">
        <v>3</v>
      </c>
      <c r="AH609" t="s">
        <v>3</v>
      </c>
      <c r="AI609" t="s">
        <v>3</v>
      </c>
      <c r="AJ609" t="s">
        <v>3</v>
      </c>
      <c r="AK609" t="s">
        <v>7</v>
      </c>
      <c r="AL609">
        <v>0</v>
      </c>
      <c r="AM609">
        <v>0</v>
      </c>
      <c r="AN609">
        <v>0</v>
      </c>
      <c r="AO609">
        <v>0</v>
      </c>
      <c r="AP609">
        <v>0</v>
      </c>
      <c r="AQ609" t="s">
        <v>9</v>
      </c>
      <c r="AR609" s="1">
        <v>5.6427784899999995E-7</v>
      </c>
      <c r="AS609" s="1">
        <v>1.2265442399999999E-30</v>
      </c>
      <c r="AT609">
        <v>25</v>
      </c>
      <c r="AU609" t="s">
        <v>10</v>
      </c>
      <c r="AV609">
        <v>1</v>
      </c>
      <c r="AW609">
        <v>0</v>
      </c>
      <c r="AX609">
        <v>0</v>
      </c>
      <c r="AY609">
        <v>4</v>
      </c>
      <c r="AZ609">
        <v>0</v>
      </c>
      <c r="BA609" t="s">
        <v>8</v>
      </c>
      <c r="BB609" t="s">
        <v>4</v>
      </c>
      <c r="BC609" t="s">
        <v>10</v>
      </c>
      <c r="BD609">
        <v>0</v>
      </c>
      <c r="BE609">
        <v>0</v>
      </c>
      <c r="BF609">
        <v>0</v>
      </c>
      <c r="BG609">
        <v>0</v>
      </c>
      <c r="BH609">
        <v>0</v>
      </c>
      <c r="BI609" t="s">
        <v>9</v>
      </c>
      <c r="BJ609">
        <v>2.9999999999999997E-8</v>
      </c>
      <c r="BK609">
        <v>0</v>
      </c>
      <c r="BL609">
        <v>5.6000000000000004E-7</v>
      </c>
      <c r="BM609" s="2">
        <f t="shared" si="9"/>
        <v>7.3864221107089912E-12</v>
      </c>
    </row>
    <row r="610" spans="1:65" x14ac:dyDescent="0.35">
      <c r="A610">
        <v>0</v>
      </c>
      <c r="B610" t="s">
        <v>11</v>
      </c>
      <c r="C610" t="s">
        <v>4</v>
      </c>
      <c r="D610">
        <v>0</v>
      </c>
      <c r="E610" t="s">
        <v>3</v>
      </c>
      <c r="F610" t="s">
        <v>5</v>
      </c>
      <c r="G610">
        <v>4046.0657200000001</v>
      </c>
      <c r="H610" t="s">
        <v>4</v>
      </c>
      <c r="I610">
        <v>990.16341899999998</v>
      </c>
      <c r="J610">
        <v>3055.9023010000001</v>
      </c>
      <c r="K610" t="s">
        <v>6</v>
      </c>
      <c r="L610" t="s">
        <v>7</v>
      </c>
      <c r="M610" t="s">
        <v>8</v>
      </c>
      <c r="N610" t="s">
        <v>6</v>
      </c>
      <c r="O610" t="s">
        <v>3</v>
      </c>
      <c r="P610" t="s">
        <v>3</v>
      </c>
      <c r="Q610" t="s">
        <v>3</v>
      </c>
      <c r="R610" t="s">
        <v>3</v>
      </c>
      <c r="S610" t="s">
        <v>11</v>
      </c>
      <c r="T610" t="s">
        <v>7</v>
      </c>
      <c r="U610">
        <v>0</v>
      </c>
      <c r="V610">
        <v>0</v>
      </c>
      <c r="W610">
        <v>0</v>
      </c>
      <c r="X610">
        <v>6</v>
      </c>
      <c r="Y610">
        <v>0</v>
      </c>
      <c r="Z610" t="s">
        <v>13</v>
      </c>
      <c r="AA610" t="s">
        <v>4</v>
      </c>
      <c r="AB610" t="s">
        <v>6</v>
      </c>
      <c r="AC610" t="s">
        <v>7</v>
      </c>
      <c r="AD610" t="s">
        <v>8</v>
      </c>
      <c r="AE610" t="s">
        <v>6</v>
      </c>
      <c r="AF610" t="s">
        <v>3</v>
      </c>
      <c r="AG610" t="s">
        <v>3</v>
      </c>
      <c r="AH610" t="s">
        <v>3</v>
      </c>
      <c r="AI610" t="s">
        <v>3</v>
      </c>
      <c r="AJ610" t="s">
        <v>3</v>
      </c>
      <c r="AK610" t="s">
        <v>7</v>
      </c>
      <c r="AL610">
        <v>0</v>
      </c>
      <c r="AM610">
        <v>0</v>
      </c>
      <c r="AN610">
        <v>0</v>
      </c>
      <c r="AO610">
        <v>0</v>
      </c>
      <c r="AP610">
        <v>0</v>
      </c>
      <c r="AQ610" t="s">
        <v>9</v>
      </c>
      <c r="AR610" s="1">
        <v>3.9270552399999998E-5</v>
      </c>
      <c r="AS610" s="1">
        <v>1.2661626E-26</v>
      </c>
      <c r="AT610">
        <v>26</v>
      </c>
      <c r="AU610" t="s">
        <v>10</v>
      </c>
      <c r="AV610">
        <v>0</v>
      </c>
      <c r="AW610">
        <v>0</v>
      </c>
      <c r="AX610">
        <v>0</v>
      </c>
      <c r="AY610">
        <v>6</v>
      </c>
      <c r="AZ610">
        <v>0</v>
      </c>
      <c r="BA610" t="s">
        <v>13</v>
      </c>
      <c r="BB610" t="s">
        <v>4</v>
      </c>
      <c r="BC610" t="s">
        <v>10</v>
      </c>
      <c r="BD610">
        <v>0</v>
      </c>
      <c r="BE610">
        <v>0</v>
      </c>
      <c r="BF610">
        <v>0</v>
      </c>
      <c r="BG610">
        <v>0</v>
      </c>
      <c r="BH610">
        <v>0</v>
      </c>
      <c r="BI610" t="s">
        <v>9</v>
      </c>
      <c r="BJ610">
        <v>0</v>
      </c>
      <c r="BK610">
        <v>-3.9270000000000002E-5</v>
      </c>
      <c r="BL610">
        <v>0</v>
      </c>
      <c r="BM610" s="2">
        <f t="shared" si="9"/>
        <v>7.6250094528940796E-8</v>
      </c>
    </row>
    <row r="611" spans="1:65" x14ac:dyDescent="0.35">
      <c r="A611">
        <v>0</v>
      </c>
      <c r="B611" t="s">
        <v>11</v>
      </c>
      <c r="C611" t="s">
        <v>4</v>
      </c>
      <c r="D611">
        <v>0</v>
      </c>
      <c r="E611" t="s">
        <v>3</v>
      </c>
      <c r="F611" t="s">
        <v>5</v>
      </c>
      <c r="G611">
        <v>3449.053523</v>
      </c>
      <c r="H611" t="s">
        <v>4</v>
      </c>
      <c r="I611">
        <v>990.16341899999998</v>
      </c>
      <c r="J611">
        <v>2458.8901040000001</v>
      </c>
      <c r="K611" t="s">
        <v>6</v>
      </c>
      <c r="L611" t="s">
        <v>7</v>
      </c>
      <c r="M611" t="s">
        <v>8</v>
      </c>
      <c r="N611" t="s">
        <v>6</v>
      </c>
      <c r="O611" t="s">
        <v>3</v>
      </c>
      <c r="P611" t="s">
        <v>3</v>
      </c>
      <c r="Q611" t="s">
        <v>3</v>
      </c>
      <c r="R611" t="s">
        <v>3</v>
      </c>
      <c r="S611" t="s">
        <v>11</v>
      </c>
      <c r="T611" t="s">
        <v>7</v>
      </c>
      <c r="U611">
        <v>0</v>
      </c>
      <c r="V611">
        <v>1</v>
      </c>
      <c r="W611">
        <v>0</v>
      </c>
      <c r="X611">
        <v>0</v>
      </c>
      <c r="Y611">
        <v>1</v>
      </c>
      <c r="Z611" t="s">
        <v>13</v>
      </c>
      <c r="AA611" t="s">
        <v>4</v>
      </c>
      <c r="AB611" t="s">
        <v>6</v>
      </c>
      <c r="AC611" t="s">
        <v>7</v>
      </c>
      <c r="AD611" t="s">
        <v>8</v>
      </c>
      <c r="AE611" t="s">
        <v>6</v>
      </c>
      <c r="AF611" t="s">
        <v>3</v>
      </c>
      <c r="AG611" t="s">
        <v>3</v>
      </c>
      <c r="AH611" t="s">
        <v>3</v>
      </c>
      <c r="AI611" t="s">
        <v>3</v>
      </c>
      <c r="AJ611" t="s">
        <v>3</v>
      </c>
      <c r="AK611" t="s">
        <v>7</v>
      </c>
      <c r="AL611">
        <v>0</v>
      </c>
      <c r="AM611">
        <v>0</v>
      </c>
      <c r="AN611">
        <v>0</v>
      </c>
      <c r="AO611">
        <v>0</v>
      </c>
      <c r="AP611">
        <v>0</v>
      </c>
      <c r="AQ611" t="s">
        <v>9</v>
      </c>
      <c r="AR611" s="1">
        <v>2.4852927499999999E-5</v>
      </c>
      <c r="AS611" s="1">
        <v>4.08044337E-27</v>
      </c>
      <c r="AT611">
        <v>29</v>
      </c>
      <c r="AU611" t="s">
        <v>10</v>
      </c>
      <c r="AV611">
        <v>0</v>
      </c>
      <c r="AW611">
        <v>1</v>
      </c>
      <c r="AX611">
        <v>0</v>
      </c>
      <c r="AY611">
        <v>0</v>
      </c>
      <c r="AZ611">
        <v>1</v>
      </c>
      <c r="BA611" t="s">
        <v>13</v>
      </c>
      <c r="BB611" t="s">
        <v>4</v>
      </c>
      <c r="BC611" t="s">
        <v>10</v>
      </c>
      <c r="BD611">
        <v>0</v>
      </c>
      <c r="BE611">
        <v>0</v>
      </c>
      <c r="BF611">
        <v>0</v>
      </c>
      <c r="BG611">
        <v>0</v>
      </c>
      <c r="BH611">
        <v>0</v>
      </c>
      <c r="BI611" t="s">
        <v>9</v>
      </c>
      <c r="BJ611">
        <v>0</v>
      </c>
      <c r="BK611">
        <v>-2.4850000000000001E-5</v>
      </c>
      <c r="BL611">
        <v>0</v>
      </c>
      <c r="BM611" s="2">
        <f t="shared" si="9"/>
        <v>2.4573004500566494E-8</v>
      </c>
    </row>
    <row r="612" spans="1:65" x14ac:dyDescent="0.35">
      <c r="A612">
        <v>0</v>
      </c>
      <c r="B612" t="s">
        <v>11</v>
      </c>
      <c r="C612" t="s">
        <v>4</v>
      </c>
      <c r="D612">
        <v>0</v>
      </c>
      <c r="E612" t="s">
        <v>3</v>
      </c>
      <c r="F612" t="s">
        <v>5</v>
      </c>
      <c r="G612">
        <v>3847.4289229999999</v>
      </c>
      <c r="H612" t="s">
        <v>4</v>
      </c>
      <c r="I612">
        <v>990.16341899999998</v>
      </c>
      <c r="J612">
        <v>2857.265504</v>
      </c>
      <c r="K612" t="s">
        <v>6</v>
      </c>
      <c r="L612" t="s">
        <v>7</v>
      </c>
      <c r="M612" t="s">
        <v>8</v>
      </c>
      <c r="N612" t="s">
        <v>6</v>
      </c>
      <c r="O612" t="s">
        <v>3</v>
      </c>
      <c r="P612" t="s">
        <v>3</v>
      </c>
      <c r="Q612" t="s">
        <v>3</v>
      </c>
      <c r="R612" t="s">
        <v>3</v>
      </c>
      <c r="S612" t="s">
        <v>11</v>
      </c>
      <c r="T612" t="s">
        <v>7</v>
      </c>
      <c r="U612">
        <v>1</v>
      </c>
      <c r="V612">
        <v>1</v>
      </c>
      <c r="W612">
        <v>0</v>
      </c>
      <c r="X612">
        <v>3</v>
      </c>
      <c r="Y612">
        <v>0</v>
      </c>
      <c r="Z612" t="s">
        <v>18</v>
      </c>
      <c r="AA612" t="s">
        <v>4</v>
      </c>
      <c r="AB612" t="s">
        <v>6</v>
      </c>
      <c r="AC612" t="s">
        <v>7</v>
      </c>
      <c r="AD612" t="s">
        <v>8</v>
      </c>
      <c r="AE612" t="s">
        <v>6</v>
      </c>
      <c r="AF612" t="s">
        <v>3</v>
      </c>
      <c r="AG612" t="s">
        <v>3</v>
      </c>
      <c r="AH612" t="s">
        <v>3</v>
      </c>
      <c r="AI612" t="s">
        <v>3</v>
      </c>
      <c r="AJ612" t="s">
        <v>3</v>
      </c>
      <c r="AK612" t="s">
        <v>7</v>
      </c>
      <c r="AL612">
        <v>0</v>
      </c>
      <c r="AM612">
        <v>0</v>
      </c>
      <c r="AN612">
        <v>0</v>
      </c>
      <c r="AO612">
        <v>0</v>
      </c>
      <c r="AP612">
        <v>0</v>
      </c>
      <c r="AQ612" t="s">
        <v>9</v>
      </c>
      <c r="AR612" s="1">
        <v>4.9480122700000002E-5</v>
      </c>
      <c r="AS612" s="1">
        <v>1.8794373499999999E-26</v>
      </c>
      <c r="AT612">
        <v>25</v>
      </c>
      <c r="AU612" t="s">
        <v>10</v>
      </c>
      <c r="AV612">
        <v>1</v>
      </c>
      <c r="AW612">
        <v>1</v>
      </c>
      <c r="AX612">
        <v>0</v>
      </c>
      <c r="AY612">
        <v>3</v>
      </c>
      <c r="AZ612">
        <v>0</v>
      </c>
      <c r="BA612" t="s">
        <v>18</v>
      </c>
      <c r="BB612" t="s">
        <v>4</v>
      </c>
      <c r="BC612" t="s">
        <v>10</v>
      </c>
      <c r="BD612">
        <v>0</v>
      </c>
      <c r="BE612">
        <v>0</v>
      </c>
      <c r="BF612">
        <v>0</v>
      </c>
      <c r="BG612">
        <v>0</v>
      </c>
      <c r="BH612">
        <v>0</v>
      </c>
      <c r="BI612" t="s">
        <v>9</v>
      </c>
      <c r="BJ612">
        <v>0</v>
      </c>
      <c r="BK612">
        <v>4.9480000000000001E-5</v>
      </c>
      <c r="BL612">
        <v>0</v>
      </c>
      <c r="BM612" s="2">
        <f t="shared" si="9"/>
        <v>1.131823634647888E-7</v>
      </c>
    </row>
    <row r="613" spans="1:65" x14ac:dyDescent="0.35">
      <c r="A613">
        <v>0</v>
      </c>
      <c r="B613" t="s">
        <v>3</v>
      </c>
      <c r="C613" t="s">
        <v>4</v>
      </c>
      <c r="D613">
        <v>0</v>
      </c>
      <c r="E613" t="s">
        <v>3</v>
      </c>
      <c r="F613" t="s">
        <v>5</v>
      </c>
      <c r="G613">
        <v>3271.186119</v>
      </c>
      <c r="H613" t="s">
        <v>4</v>
      </c>
      <c r="I613">
        <v>990.16341899999998</v>
      </c>
      <c r="J613">
        <v>2281.0227</v>
      </c>
      <c r="K613" t="s">
        <v>6</v>
      </c>
      <c r="L613" t="s">
        <v>7</v>
      </c>
      <c r="M613" t="s">
        <v>8</v>
      </c>
      <c r="N613" t="s">
        <v>6</v>
      </c>
      <c r="O613" t="s">
        <v>3</v>
      </c>
      <c r="P613" t="s">
        <v>3</v>
      </c>
      <c r="Q613" t="s">
        <v>3</v>
      </c>
      <c r="R613" t="s">
        <v>3</v>
      </c>
      <c r="S613" t="s">
        <v>3</v>
      </c>
      <c r="T613" t="s">
        <v>7</v>
      </c>
      <c r="U613">
        <v>1</v>
      </c>
      <c r="V613">
        <v>1</v>
      </c>
      <c r="W613">
        <v>0</v>
      </c>
      <c r="X613">
        <v>3</v>
      </c>
      <c r="Y613">
        <v>0</v>
      </c>
      <c r="Z613" t="s">
        <v>8</v>
      </c>
      <c r="AA613" t="s">
        <v>4</v>
      </c>
      <c r="AB613" t="s">
        <v>6</v>
      </c>
      <c r="AC613" t="s">
        <v>7</v>
      </c>
      <c r="AD613" t="s">
        <v>8</v>
      </c>
      <c r="AE613" t="s">
        <v>6</v>
      </c>
      <c r="AF613" t="s">
        <v>3</v>
      </c>
      <c r="AG613" t="s">
        <v>3</v>
      </c>
      <c r="AH613" t="s">
        <v>3</v>
      </c>
      <c r="AI613" t="s">
        <v>3</v>
      </c>
      <c r="AJ613" t="s">
        <v>3</v>
      </c>
      <c r="AK613" t="s">
        <v>7</v>
      </c>
      <c r="AL613">
        <v>0</v>
      </c>
      <c r="AM613">
        <v>0</v>
      </c>
      <c r="AN613">
        <v>0</v>
      </c>
      <c r="AO613">
        <v>0</v>
      </c>
      <c r="AP613">
        <v>0</v>
      </c>
      <c r="AQ613" t="s">
        <v>9</v>
      </c>
      <c r="AR613" s="1">
        <v>4.9284460099999999E-6</v>
      </c>
      <c r="AS613" s="1">
        <v>1.48853351E-28</v>
      </c>
      <c r="AT613">
        <v>29</v>
      </c>
      <c r="AU613" t="s">
        <v>10</v>
      </c>
      <c r="AV613">
        <v>1</v>
      </c>
      <c r="AW613">
        <v>1</v>
      </c>
      <c r="AX613">
        <v>0</v>
      </c>
      <c r="AY613">
        <v>3</v>
      </c>
      <c r="AZ613">
        <v>0</v>
      </c>
      <c r="BA613" t="s">
        <v>8</v>
      </c>
      <c r="BB613" t="s">
        <v>4</v>
      </c>
      <c r="BC613" t="s">
        <v>10</v>
      </c>
      <c r="BD613">
        <v>0</v>
      </c>
      <c r="BE613">
        <v>0</v>
      </c>
      <c r="BF613">
        <v>0</v>
      </c>
      <c r="BG613">
        <v>0</v>
      </c>
      <c r="BH613">
        <v>0</v>
      </c>
      <c r="BI613" t="s">
        <v>9</v>
      </c>
      <c r="BJ613">
        <v>-4.7299999999999996E-6</v>
      </c>
      <c r="BK613">
        <v>0</v>
      </c>
      <c r="BL613">
        <v>1.3999999999999999E-6</v>
      </c>
      <c r="BM613" s="2">
        <f t="shared" si="9"/>
        <v>8.9641583827382075E-10</v>
      </c>
    </row>
    <row r="614" spans="1:65" x14ac:dyDescent="0.35">
      <c r="A614">
        <v>0</v>
      </c>
      <c r="B614" t="s">
        <v>3</v>
      </c>
      <c r="C614" t="s">
        <v>4</v>
      </c>
      <c r="D614">
        <v>0</v>
      </c>
      <c r="E614" t="s">
        <v>3</v>
      </c>
      <c r="F614" t="s">
        <v>5</v>
      </c>
      <c r="G614">
        <v>3949.0409129999998</v>
      </c>
      <c r="H614" t="s">
        <v>4</v>
      </c>
      <c r="I614">
        <v>990.16341899999998</v>
      </c>
      <c r="J614">
        <v>2958.8774939999998</v>
      </c>
      <c r="K614" t="s">
        <v>6</v>
      </c>
      <c r="L614" t="s">
        <v>7</v>
      </c>
      <c r="M614" t="s">
        <v>8</v>
      </c>
      <c r="N614" t="s">
        <v>6</v>
      </c>
      <c r="O614" t="s">
        <v>3</v>
      </c>
      <c r="P614" t="s">
        <v>3</v>
      </c>
      <c r="Q614" t="s">
        <v>3</v>
      </c>
      <c r="R614" t="s">
        <v>3</v>
      </c>
      <c r="S614" t="s">
        <v>3</v>
      </c>
      <c r="T614" t="s">
        <v>7</v>
      </c>
      <c r="U614">
        <v>3</v>
      </c>
      <c r="V614">
        <v>0</v>
      </c>
      <c r="W614">
        <v>0</v>
      </c>
      <c r="X614">
        <v>1</v>
      </c>
      <c r="Y614">
        <v>0</v>
      </c>
      <c r="Z614" t="s">
        <v>15</v>
      </c>
      <c r="AA614" t="s">
        <v>4</v>
      </c>
      <c r="AB614" t="s">
        <v>6</v>
      </c>
      <c r="AC614" t="s">
        <v>7</v>
      </c>
      <c r="AD614" t="s">
        <v>8</v>
      </c>
      <c r="AE614" t="s">
        <v>6</v>
      </c>
      <c r="AF614" t="s">
        <v>3</v>
      </c>
      <c r="AG614" t="s">
        <v>3</v>
      </c>
      <c r="AH614" t="s">
        <v>3</v>
      </c>
      <c r="AI614" t="s">
        <v>3</v>
      </c>
      <c r="AJ614" t="s">
        <v>3</v>
      </c>
      <c r="AK614" t="s">
        <v>7</v>
      </c>
      <c r="AL614">
        <v>0</v>
      </c>
      <c r="AM614">
        <v>0</v>
      </c>
      <c r="AN614">
        <v>0</v>
      </c>
      <c r="AO614">
        <v>0</v>
      </c>
      <c r="AP614">
        <v>0</v>
      </c>
      <c r="AQ614" t="s">
        <v>9</v>
      </c>
      <c r="AR614" s="1">
        <v>3.0498824300000001E-5</v>
      </c>
      <c r="AS614" s="1">
        <v>7.3945044000000001E-27</v>
      </c>
      <c r="AT614">
        <v>25</v>
      </c>
      <c r="AU614" t="s">
        <v>10</v>
      </c>
      <c r="AV614">
        <v>3</v>
      </c>
      <c r="AW614">
        <v>0</v>
      </c>
      <c r="AX614">
        <v>0</v>
      </c>
      <c r="AY614">
        <v>1</v>
      </c>
      <c r="AZ614">
        <v>0</v>
      </c>
      <c r="BA614" t="s">
        <v>15</v>
      </c>
      <c r="BB614" t="s">
        <v>4</v>
      </c>
      <c r="BC614" t="s">
        <v>10</v>
      </c>
      <c r="BD614">
        <v>0</v>
      </c>
      <c r="BE614">
        <v>0</v>
      </c>
      <c r="BF614">
        <v>0</v>
      </c>
      <c r="BG614">
        <v>0</v>
      </c>
      <c r="BH614">
        <v>0</v>
      </c>
      <c r="BI614" t="s">
        <v>9</v>
      </c>
      <c r="BJ614">
        <v>1.961E-5</v>
      </c>
      <c r="BK614">
        <v>0</v>
      </c>
      <c r="BL614">
        <v>2.3349999999999998E-5</v>
      </c>
      <c r="BM614" s="2">
        <f t="shared" si="9"/>
        <v>4.4530746643019512E-8</v>
      </c>
    </row>
    <row r="615" spans="1:65" x14ac:dyDescent="0.35">
      <c r="A615">
        <v>0</v>
      </c>
      <c r="B615" t="s">
        <v>11</v>
      </c>
      <c r="C615" t="s">
        <v>4</v>
      </c>
      <c r="D615">
        <v>0</v>
      </c>
      <c r="E615" t="s">
        <v>3</v>
      </c>
      <c r="F615" t="s">
        <v>5</v>
      </c>
      <c r="G615">
        <v>4545.2848670000003</v>
      </c>
      <c r="H615" t="s">
        <v>4</v>
      </c>
      <c r="I615">
        <v>990.16341899999998</v>
      </c>
      <c r="J615">
        <v>3555.1214479999999</v>
      </c>
      <c r="K615" t="s">
        <v>6</v>
      </c>
      <c r="L615" t="s">
        <v>7</v>
      </c>
      <c r="M615" t="s">
        <v>8</v>
      </c>
      <c r="N615" t="s">
        <v>6</v>
      </c>
      <c r="O615" t="s">
        <v>3</v>
      </c>
      <c r="P615" t="s">
        <v>3</v>
      </c>
      <c r="Q615" t="s">
        <v>3</v>
      </c>
      <c r="R615" t="s">
        <v>3</v>
      </c>
      <c r="S615" t="s">
        <v>11</v>
      </c>
      <c r="T615" t="s">
        <v>7</v>
      </c>
      <c r="U615">
        <v>0</v>
      </c>
      <c r="V615">
        <v>0</v>
      </c>
      <c r="W615">
        <v>0</v>
      </c>
      <c r="X615">
        <v>1</v>
      </c>
      <c r="Y615">
        <v>0</v>
      </c>
      <c r="Z615" t="s">
        <v>32</v>
      </c>
      <c r="AA615" t="s">
        <v>4</v>
      </c>
      <c r="AB615" t="s">
        <v>6</v>
      </c>
      <c r="AC615" t="s">
        <v>7</v>
      </c>
      <c r="AD615" t="s">
        <v>8</v>
      </c>
      <c r="AE615" t="s">
        <v>6</v>
      </c>
      <c r="AF615" t="s">
        <v>3</v>
      </c>
      <c r="AG615" t="s">
        <v>3</v>
      </c>
      <c r="AH615" t="s">
        <v>3</v>
      </c>
      <c r="AI615" t="s">
        <v>3</v>
      </c>
      <c r="AJ615" t="s">
        <v>3</v>
      </c>
      <c r="AK615" t="s">
        <v>7</v>
      </c>
      <c r="AL615">
        <v>0</v>
      </c>
      <c r="AM615">
        <v>0</v>
      </c>
      <c r="AN615">
        <v>0</v>
      </c>
      <c r="AO615">
        <v>0</v>
      </c>
      <c r="AP615">
        <v>0</v>
      </c>
      <c r="AQ615" t="s">
        <v>9</v>
      </c>
      <c r="AR615" s="1">
        <v>2.4385414700000002E-5</v>
      </c>
      <c r="AS615" s="1">
        <v>5.6797717400000002E-27</v>
      </c>
      <c r="AT615">
        <v>25</v>
      </c>
      <c r="AU615" t="s">
        <v>10</v>
      </c>
      <c r="AV615">
        <v>0</v>
      </c>
      <c r="AW615">
        <v>0</v>
      </c>
      <c r="AX615">
        <v>0</v>
      </c>
      <c r="AY615">
        <v>1</v>
      </c>
      <c r="AZ615">
        <v>0</v>
      </c>
      <c r="BA615" t="s">
        <v>32</v>
      </c>
      <c r="BB615" t="s">
        <v>4</v>
      </c>
      <c r="BC615" t="s">
        <v>10</v>
      </c>
      <c r="BD615">
        <v>0</v>
      </c>
      <c r="BE615">
        <v>0</v>
      </c>
      <c r="BF615">
        <v>0</v>
      </c>
      <c r="BG615">
        <v>0</v>
      </c>
      <c r="BH615">
        <v>0</v>
      </c>
      <c r="BI615" t="s">
        <v>9</v>
      </c>
      <c r="BJ615">
        <v>0</v>
      </c>
      <c r="BK615">
        <v>-2.4389999999999999E-5</v>
      </c>
      <c r="BL615">
        <v>0</v>
      </c>
      <c r="BM615" s="2">
        <f t="shared" si="9"/>
        <v>3.4204385130140988E-8</v>
      </c>
    </row>
    <row r="616" spans="1:65" x14ac:dyDescent="0.35">
      <c r="A616">
        <v>0</v>
      </c>
      <c r="B616" t="s">
        <v>11</v>
      </c>
      <c r="C616" t="s">
        <v>4</v>
      </c>
      <c r="D616">
        <v>0</v>
      </c>
      <c r="E616" t="s">
        <v>3</v>
      </c>
      <c r="F616" t="s">
        <v>5</v>
      </c>
      <c r="G616">
        <v>4806.7986490000003</v>
      </c>
      <c r="H616" t="s">
        <v>4</v>
      </c>
      <c r="I616">
        <v>990.16341899999998</v>
      </c>
      <c r="J616">
        <v>3816.6352299999999</v>
      </c>
      <c r="K616" t="s">
        <v>6</v>
      </c>
      <c r="L616" t="s">
        <v>7</v>
      </c>
      <c r="M616" t="s">
        <v>8</v>
      </c>
      <c r="N616" t="s">
        <v>6</v>
      </c>
      <c r="O616" t="s">
        <v>3</v>
      </c>
      <c r="P616" t="s">
        <v>3</v>
      </c>
      <c r="Q616" t="s">
        <v>3</v>
      </c>
      <c r="R616" t="s">
        <v>3</v>
      </c>
      <c r="S616" t="s">
        <v>11</v>
      </c>
      <c r="T616" t="s">
        <v>7</v>
      </c>
      <c r="U616">
        <v>2</v>
      </c>
      <c r="V616">
        <v>1</v>
      </c>
      <c r="W616">
        <v>0</v>
      </c>
      <c r="X616">
        <v>1</v>
      </c>
      <c r="Y616">
        <v>0</v>
      </c>
      <c r="Z616" t="s">
        <v>14</v>
      </c>
      <c r="AA616" t="s">
        <v>4</v>
      </c>
      <c r="AB616" t="s">
        <v>6</v>
      </c>
      <c r="AC616" t="s">
        <v>7</v>
      </c>
      <c r="AD616" t="s">
        <v>8</v>
      </c>
      <c r="AE616" t="s">
        <v>6</v>
      </c>
      <c r="AF616" t="s">
        <v>3</v>
      </c>
      <c r="AG616" t="s">
        <v>3</v>
      </c>
      <c r="AH616" t="s">
        <v>3</v>
      </c>
      <c r="AI616" t="s">
        <v>3</v>
      </c>
      <c r="AJ616" t="s">
        <v>3</v>
      </c>
      <c r="AK616" t="s">
        <v>7</v>
      </c>
      <c r="AL616">
        <v>0</v>
      </c>
      <c r="AM616">
        <v>0</v>
      </c>
      <c r="AN616">
        <v>0</v>
      </c>
      <c r="AO616">
        <v>0</v>
      </c>
      <c r="AP616">
        <v>0</v>
      </c>
      <c r="AQ616" t="s">
        <v>9</v>
      </c>
      <c r="AR616" s="1">
        <v>1.9248005599999999E-5</v>
      </c>
      <c r="AS616" s="1">
        <v>3.7989911799999999E-27</v>
      </c>
      <c r="AT616">
        <v>27</v>
      </c>
      <c r="AU616" t="s">
        <v>10</v>
      </c>
      <c r="AV616">
        <v>2</v>
      </c>
      <c r="AW616">
        <v>1</v>
      </c>
      <c r="AX616">
        <v>0</v>
      </c>
      <c r="AY616">
        <v>1</v>
      </c>
      <c r="AZ616">
        <v>0</v>
      </c>
      <c r="BA616" t="s">
        <v>14</v>
      </c>
      <c r="BB616" t="s">
        <v>4</v>
      </c>
      <c r="BC616" t="s">
        <v>10</v>
      </c>
      <c r="BD616">
        <v>0</v>
      </c>
      <c r="BE616">
        <v>0</v>
      </c>
      <c r="BF616">
        <v>0</v>
      </c>
      <c r="BG616">
        <v>0</v>
      </c>
      <c r="BH616">
        <v>0</v>
      </c>
      <c r="BI616" t="s">
        <v>9</v>
      </c>
      <c r="BJ616">
        <v>0</v>
      </c>
      <c r="BK616">
        <v>-1.925E-5</v>
      </c>
      <c r="BL616">
        <v>0</v>
      </c>
      <c r="BM616" s="2">
        <f t="shared" si="9"/>
        <v>2.287805978391814E-8</v>
      </c>
    </row>
    <row r="617" spans="1:65" x14ac:dyDescent="0.35">
      <c r="A617">
        <v>0</v>
      </c>
      <c r="B617" t="s">
        <v>3</v>
      </c>
      <c r="C617" t="s">
        <v>4</v>
      </c>
      <c r="D617">
        <v>0</v>
      </c>
      <c r="E617" t="s">
        <v>3</v>
      </c>
      <c r="F617" t="s">
        <v>5</v>
      </c>
      <c r="G617">
        <v>2762.2982470000002</v>
      </c>
      <c r="H617" t="s">
        <v>4</v>
      </c>
      <c r="I617">
        <v>990.16341899999998</v>
      </c>
      <c r="J617">
        <v>1772.1348270000001</v>
      </c>
      <c r="K617" t="s">
        <v>6</v>
      </c>
      <c r="L617" t="s">
        <v>7</v>
      </c>
      <c r="M617" t="s">
        <v>8</v>
      </c>
      <c r="N617" t="s">
        <v>6</v>
      </c>
      <c r="O617" t="s">
        <v>3</v>
      </c>
      <c r="P617" t="s">
        <v>3</v>
      </c>
      <c r="Q617" t="s">
        <v>3</v>
      </c>
      <c r="R617" t="s">
        <v>3</v>
      </c>
      <c r="S617" t="s">
        <v>3</v>
      </c>
      <c r="T617" t="s">
        <v>7</v>
      </c>
      <c r="U617">
        <v>0</v>
      </c>
      <c r="V617">
        <v>0</v>
      </c>
      <c r="W617">
        <v>0</v>
      </c>
      <c r="X617">
        <v>2</v>
      </c>
      <c r="Y617">
        <v>1</v>
      </c>
      <c r="Z617" t="s">
        <v>9</v>
      </c>
      <c r="AA617" t="s">
        <v>4</v>
      </c>
      <c r="AB617" t="s">
        <v>6</v>
      </c>
      <c r="AC617" t="s">
        <v>7</v>
      </c>
      <c r="AD617" t="s">
        <v>8</v>
      </c>
      <c r="AE617" t="s">
        <v>6</v>
      </c>
      <c r="AF617" t="s">
        <v>3</v>
      </c>
      <c r="AG617" t="s">
        <v>3</v>
      </c>
      <c r="AH617" t="s">
        <v>3</v>
      </c>
      <c r="AI617" t="s">
        <v>3</v>
      </c>
      <c r="AJ617" t="s">
        <v>3</v>
      </c>
      <c r="AK617" t="s">
        <v>7</v>
      </c>
      <c r="AL617">
        <v>0</v>
      </c>
      <c r="AM617">
        <v>0</v>
      </c>
      <c r="AN617">
        <v>0</v>
      </c>
      <c r="AO617">
        <v>0</v>
      </c>
      <c r="AP617">
        <v>0</v>
      </c>
      <c r="AQ617" t="s">
        <v>9</v>
      </c>
      <c r="AR617" s="1">
        <v>1.15870487E-3</v>
      </c>
      <c r="AS617" s="1">
        <v>6.3910913899999996E-24</v>
      </c>
      <c r="AT617">
        <v>25</v>
      </c>
      <c r="AU617" t="s">
        <v>10</v>
      </c>
      <c r="AV617">
        <v>0</v>
      </c>
      <c r="AW617">
        <v>0</v>
      </c>
      <c r="AX617">
        <v>0</v>
      </c>
      <c r="AY617">
        <v>2</v>
      </c>
      <c r="AZ617">
        <v>1</v>
      </c>
      <c r="BA617" t="s">
        <v>9</v>
      </c>
      <c r="BB617" t="s">
        <v>4</v>
      </c>
      <c r="BC617" t="s">
        <v>10</v>
      </c>
      <c r="BD617">
        <v>0</v>
      </c>
      <c r="BE617">
        <v>0</v>
      </c>
      <c r="BF617">
        <v>0</v>
      </c>
      <c r="BG617">
        <v>0</v>
      </c>
      <c r="BH617">
        <v>0</v>
      </c>
      <c r="BI617" t="s">
        <v>9</v>
      </c>
      <c r="BJ617">
        <v>1.12535E-3</v>
      </c>
      <c r="BK617">
        <v>0</v>
      </c>
      <c r="BL617">
        <v>2.7601999999999998E-4</v>
      </c>
      <c r="BM617" s="2">
        <f t="shared" si="9"/>
        <v>3.8488052216247705E-5</v>
      </c>
    </row>
    <row r="618" spans="1:65" x14ac:dyDescent="0.35">
      <c r="A618">
        <v>0</v>
      </c>
      <c r="B618" t="s">
        <v>3</v>
      </c>
      <c r="C618" t="s">
        <v>4</v>
      </c>
      <c r="D618">
        <v>0</v>
      </c>
      <c r="E618" t="s">
        <v>3</v>
      </c>
      <c r="F618" t="s">
        <v>5</v>
      </c>
      <c r="G618">
        <v>1875.995801</v>
      </c>
      <c r="H618" t="s">
        <v>4</v>
      </c>
      <c r="I618">
        <v>990.16341899999998</v>
      </c>
      <c r="J618">
        <v>885.83238200000005</v>
      </c>
      <c r="K618" t="s">
        <v>6</v>
      </c>
      <c r="L618" t="s">
        <v>7</v>
      </c>
      <c r="M618" t="s">
        <v>8</v>
      </c>
      <c r="N618" t="s">
        <v>6</v>
      </c>
      <c r="O618" t="s">
        <v>3</v>
      </c>
      <c r="P618" t="s">
        <v>3</v>
      </c>
      <c r="Q618" t="s">
        <v>3</v>
      </c>
      <c r="R618" t="s">
        <v>3</v>
      </c>
      <c r="S618" t="s">
        <v>3</v>
      </c>
      <c r="T618" t="s">
        <v>7</v>
      </c>
      <c r="U618">
        <v>0</v>
      </c>
      <c r="V618">
        <v>0</v>
      </c>
      <c r="W618">
        <v>0</v>
      </c>
      <c r="X618">
        <v>0</v>
      </c>
      <c r="Y618">
        <v>0</v>
      </c>
      <c r="Z618" t="s">
        <v>24</v>
      </c>
      <c r="AA618" t="s">
        <v>4</v>
      </c>
      <c r="AB618" t="s">
        <v>6</v>
      </c>
      <c r="AC618" t="s">
        <v>7</v>
      </c>
      <c r="AD618" t="s">
        <v>8</v>
      </c>
      <c r="AE618" t="s">
        <v>6</v>
      </c>
      <c r="AF618" t="s">
        <v>3</v>
      </c>
      <c r="AG618" t="s">
        <v>3</v>
      </c>
      <c r="AH618" t="s">
        <v>3</v>
      </c>
      <c r="AI618" t="s">
        <v>3</v>
      </c>
      <c r="AJ618" t="s">
        <v>3</v>
      </c>
      <c r="AK618" t="s">
        <v>7</v>
      </c>
      <c r="AL618">
        <v>0</v>
      </c>
      <c r="AM618">
        <v>0</v>
      </c>
      <c r="AN618">
        <v>0</v>
      </c>
      <c r="AO618">
        <v>0</v>
      </c>
      <c r="AP618">
        <v>0</v>
      </c>
      <c r="AQ618" t="s">
        <v>9</v>
      </c>
      <c r="AR618" s="1">
        <v>1.3468795300000001E-3</v>
      </c>
      <c r="AS618" s="1">
        <v>4.2574769600000003E-24</v>
      </c>
      <c r="AT618">
        <v>30</v>
      </c>
      <c r="AU618" t="s">
        <v>10</v>
      </c>
      <c r="AV618">
        <v>0</v>
      </c>
      <c r="AW618">
        <v>0</v>
      </c>
      <c r="AX618">
        <v>0</v>
      </c>
      <c r="AY618">
        <v>0</v>
      </c>
      <c r="AZ618">
        <v>0</v>
      </c>
      <c r="BA618" t="s">
        <v>24</v>
      </c>
      <c r="BB618" t="s">
        <v>4</v>
      </c>
      <c r="BC618" t="s">
        <v>10</v>
      </c>
      <c r="BD618">
        <v>0</v>
      </c>
      <c r="BE618">
        <v>0</v>
      </c>
      <c r="BF618">
        <v>0</v>
      </c>
      <c r="BG618">
        <v>0</v>
      </c>
      <c r="BH618">
        <v>0</v>
      </c>
      <c r="BI618" t="s">
        <v>9</v>
      </c>
      <c r="BJ618">
        <v>2.4295E-4</v>
      </c>
      <c r="BK618">
        <v>0</v>
      </c>
      <c r="BL618">
        <v>1.32479E-3</v>
      </c>
      <c r="BM618" s="2">
        <f t="shared" si="9"/>
        <v>2.5639125705875969E-5</v>
      </c>
    </row>
    <row r="619" spans="1:65" x14ac:dyDescent="0.35">
      <c r="A619">
        <v>0</v>
      </c>
      <c r="B619" t="s">
        <v>11</v>
      </c>
      <c r="C619" t="s">
        <v>4</v>
      </c>
      <c r="D619">
        <v>0</v>
      </c>
      <c r="E619" t="s">
        <v>3</v>
      </c>
      <c r="F619" t="s">
        <v>5</v>
      </c>
      <c r="G619">
        <v>3065.327914</v>
      </c>
      <c r="H619" t="s">
        <v>4</v>
      </c>
      <c r="I619">
        <v>990.16341899999998</v>
      </c>
      <c r="J619">
        <v>2075.164495</v>
      </c>
      <c r="K619" t="s">
        <v>6</v>
      </c>
      <c r="L619" t="s">
        <v>7</v>
      </c>
      <c r="M619" t="s">
        <v>8</v>
      </c>
      <c r="N619" t="s">
        <v>6</v>
      </c>
      <c r="O619" t="s">
        <v>3</v>
      </c>
      <c r="P619" t="s">
        <v>3</v>
      </c>
      <c r="Q619" t="s">
        <v>3</v>
      </c>
      <c r="R619" t="s">
        <v>3</v>
      </c>
      <c r="S619" t="s">
        <v>11</v>
      </c>
      <c r="T619" t="s">
        <v>7</v>
      </c>
      <c r="U619">
        <v>3</v>
      </c>
      <c r="V619">
        <v>0</v>
      </c>
      <c r="W619">
        <v>0</v>
      </c>
      <c r="X619">
        <v>0</v>
      </c>
      <c r="Y619">
        <v>0</v>
      </c>
      <c r="Z619" t="s">
        <v>18</v>
      </c>
      <c r="AA619" t="s">
        <v>4</v>
      </c>
      <c r="AB619" t="s">
        <v>6</v>
      </c>
      <c r="AC619" t="s">
        <v>7</v>
      </c>
      <c r="AD619" t="s">
        <v>8</v>
      </c>
      <c r="AE619" t="s">
        <v>6</v>
      </c>
      <c r="AF619" t="s">
        <v>3</v>
      </c>
      <c r="AG619" t="s">
        <v>3</v>
      </c>
      <c r="AH619" t="s">
        <v>3</v>
      </c>
      <c r="AI619" t="s">
        <v>3</v>
      </c>
      <c r="AJ619" t="s">
        <v>3</v>
      </c>
      <c r="AK619" t="s">
        <v>7</v>
      </c>
      <c r="AL619">
        <v>0</v>
      </c>
      <c r="AM619">
        <v>0</v>
      </c>
      <c r="AN619">
        <v>0</v>
      </c>
      <c r="AO619">
        <v>0</v>
      </c>
      <c r="AP619">
        <v>0</v>
      </c>
      <c r="AQ619" t="s">
        <v>9</v>
      </c>
      <c r="AR619" s="1">
        <v>6.39742272E-4</v>
      </c>
      <c r="AS619" s="1">
        <v>2.2817047300000001E-24</v>
      </c>
      <c r="AT619">
        <v>27</v>
      </c>
      <c r="AU619" t="s">
        <v>10</v>
      </c>
      <c r="AV619">
        <v>3</v>
      </c>
      <c r="AW619">
        <v>0</v>
      </c>
      <c r="AX619">
        <v>0</v>
      </c>
      <c r="AY619">
        <v>0</v>
      </c>
      <c r="AZ619">
        <v>0</v>
      </c>
      <c r="BA619" t="s">
        <v>18</v>
      </c>
      <c r="BB619" t="s">
        <v>4</v>
      </c>
      <c r="BC619" t="s">
        <v>10</v>
      </c>
      <c r="BD619">
        <v>0</v>
      </c>
      <c r="BE619">
        <v>0</v>
      </c>
      <c r="BF619">
        <v>0</v>
      </c>
      <c r="BG619">
        <v>0</v>
      </c>
      <c r="BH619">
        <v>0</v>
      </c>
      <c r="BI619" t="s">
        <v>9</v>
      </c>
      <c r="BJ619">
        <v>0</v>
      </c>
      <c r="BK619">
        <v>6.3973999999999997E-4</v>
      </c>
      <c r="BL619">
        <v>0</v>
      </c>
      <c r="BM619" s="2">
        <f t="shared" si="9"/>
        <v>1.3740747148085985E-5</v>
      </c>
    </row>
    <row r="620" spans="1:65" x14ac:dyDescent="0.35">
      <c r="A620">
        <v>0</v>
      </c>
      <c r="B620" t="s">
        <v>3</v>
      </c>
      <c r="C620" t="s">
        <v>4</v>
      </c>
      <c r="D620">
        <v>0</v>
      </c>
      <c r="E620" t="s">
        <v>3</v>
      </c>
      <c r="F620" t="s">
        <v>5</v>
      </c>
      <c r="G620">
        <v>4687.6877860000004</v>
      </c>
      <c r="H620" t="s">
        <v>4</v>
      </c>
      <c r="I620">
        <v>990.16341899999998</v>
      </c>
      <c r="J620">
        <v>3697.524367</v>
      </c>
      <c r="K620" t="s">
        <v>6</v>
      </c>
      <c r="L620" t="s">
        <v>7</v>
      </c>
      <c r="M620" t="s">
        <v>8</v>
      </c>
      <c r="N620" t="s">
        <v>6</v>
      </c>
      <c r="O620" t="s">
        <v>3</v>
      </c>
      <c r="P620" t="s">
        <v>3</v>
      </c>
      <c r="Q620" t="s">
        <v>3</v>
      </c>
      <c r="R620" t="s">
        <v>3</v>
      </c>
      <c r="S620" t="s">
        <v>3</v>
      </c>
      <c r="T620" t="s">
        <v>7</v>
      </c>
      <c r="U620">
        <v>0</v>
      </c>
      <c r="V620">
        <v>1</v>
      </c>
      <c r="W620">
        <v>0</v>
      </c>
      <c r="X620">
        <v>2</v>
      </c>
      <c r="Y620">
        <v>0</v>
      </c>
      <c r="Z620" t="s">
        <v>29</v>
      </c>
      <c r="AA620" t="s">
        <v>4</v>
      </c>
      <c r="AB620" t="s">
        <v>6</v>
      </c>
      <c r="AC620" t="s">
        <v>7</v>
      </c>
      <c r="AD620" t="s">
        <v>8</v>
      </c>
      <c r="AE620" t="s">
        <v>6</v>
      </c>
      <c r="AF620" t="s">
        <v>3</v>
      </c>
      <c r="AG620" t="s">
        <v>3</v>
      </c>
      <c r="AH620" t="s">
        <v>3</v>
      </c>
      <c r="AI620" t="s">
        <v>3</v>
      </c>
      <c r="AJ620" t="s">
        <v>3</v>
      </c>
      <c r="AK620" t="s">
        <v>7</v>
      </c>
      <c r="AL620">
        <v>0</v>
      </c>
      <c r="AM620">
        <v>0</v>
      </c>
      <c r="AN620">
        <v>0</v>
      </c>
      <c r="AO620">
        <v>0</v>
      </c>
      <c r="AP620">
        <v>0</v>
      </c>
      <c r="AQ620" t="s">
        <v>9</v>
      </c>
      <c r="AR620" s="1">
        <v>1.1490374000000001E-4</v>
      </c>
      <c r="AS620" s="1">
        <v>1.3115822500000001E-25</v>
      </c>
      <c r="AT620">
        <v>26</v>
      </c>
      <c r="AU620" t="s">
        <v>10</v>
      </c>
      <c r="AV620">
        <v>0</v>
      </c>
      <c r="AW620">
        <v>1</v>
      </c>
      <c r="AX620">
        <v>0</v>
      </c>
      <c r="AY620">
        <v>2</v>
      </c>
      <c r="AZ620">
        <v>0</v>
      </c>
      <c r="BA620" t="s">
        <v>29</v>
      </c>
      <c r="BB620" t="s">
        <v>4</v>
      </c>
      <c r="BC620" t="s">
        <v>10</v>
      </c>
      <c r="BD620">
        <v>0</v>
      </c>
      <c r="BE620">
        <v>0</v>
      </c>
      <c r="BF620">
        <v>0</v>
      </c>
      <c r="BG620">
        <v>0</v>
      </c>
      <c r="BH620">
        <v>0</v>
      </c>
      <c r="BI620" t="s">
        <v>9</v>
      </c>
      <c r="BJ620">
        <v>-7.5110000000000004E-5</v>
      </c>
      <c r="BK620">
        <v>0</v>
      </c>
      <c r="BL620">
        <v>8.6949999999999999E-5</v>
      </c>
      <c r="BM620" s="2">
        <f t="shared" si="9"/>
        <v>7.8985329802808004E-7</v>
      </c>
    </row>
    <row r="621" spans="1:65" x14ac:dyDescent="0.35">
      <c r="A621">
        <v>0</v>
      </c>
      <c r="B621" t="s">
        <v>3</v>
      </c>
      <c r="C621" t="s">
        <v>4</v>
      </c>
      <c r="D621">
        <v>0</v>
      </c>
      <c r="E621" t="s">
        <v>3</v>
      </c>
      <c r="F621" t="s">
        <v>5</v>
      </c>
      <c r="G621">
        <v>4334.152118</v>
      </c>
      <c r="H621" t="s">
        <v>4</v>
      </c>
      <c r="I621">
        <v>990.16341899999998</v>
      </c>
      <c r="J621">
        <v>3343.988699</v>
      </c>
      <c r="K621" t="s">
        <v>6</v>
      </c>
      <c r="L621" t="s">
        <v>7</v>
      </c>
      <c r="M621" t="s">
        <v>8</v>
      </c>
      <c r="N621" t="s">
        <v>6</v>
      </c>
      <c r="O621" t="s">
        <v>3</v>
      </c>
      <c r="P621" t="s">
        <v>3</v>
      </c>
      <c r="Q621" t="s">
        <v>3</v>
      </c>
      <c r="R621" t="s">
        <v>3</v>
      </c>
      <c r="S621" t="s">
        <v>3</v>
      </c>
      <c r="T621" t="s">
        <v>7</v>
      </c>
      <c r="U621">
        <v>1</v>
      </c>
      <c r="V621">
        <v>0</v>
      </c>
      <c r="W621">
        <v>0</v>
      </c>
      <c r="X621">
        <v>1</v>
      </c>
      <c r="Y621">
        <v>1</v>
      </c>
      <c r="Z621" t="s">
        <v>24</v>
      </c>
      <c r="AA621" t="s">
        <v>4</v>
      </c>
      <c r="AB621" t="s">
        <v>6</v>
      </c>
      <c r="AC621" t="s">
        <v>7</v>
      </c>
      <c r="AD621" t="s">
        <v>8</v>
      </c>
      <c r="AE621" t="s">
        <v>6</v>
      </c>
      <c r="AF621" t="s">
        <v>3</v>
      </c>
      <c r="AG621" t="s">
        <v>3</v>
      </c>
      <c r="AH621" t="s">
        <v>3</v>
      </c>
      <c r="AI621" t="s">
        <v>3</v>
      </c>
      <c r="AJ621" t="s">
        <v>3</v>
      </c>
      <c r="AK621" t="s">
        <v>7</v>
      </c>
      <c r="AL621">
        <v>0</v>
      </c>
      <c r="AM621">
        <v>0</v>
      </c>
      <c r="AN621">
        <v>0</v>
      </c>
      <c r="AO621">
        <v>0</v>
      </c>
      <c r="AP621">
        <v>0</v>
      </c>
      <c r="AQ621" t="s">
        <v>9</v>
      </c>
      <c r="AR621" s="1">
        <v>1.72544496E-4</v>
      </c>
      <c r="AS621" s="1">
        <v>2.6747496600000002E-25</v>
      </c>
      <c r="AT621">
        <v>26</v>
      </c>
      <c r="AU621" t="s">
        <v>10</v>
      </c>
      <c r="AV621">
        <v>1</v>
      </c>
      <c r="AW621">
        <v>0</v>
      </c>
      <c r="AX621">
        <v>0</v>
      </c>
      <c r="AY621">
        <v>1</v>
      </c>
      <c r="AZ621">
        <v>1</v>
      </c>
      <c r="BA621" t="s">
        <v>24</v>
      </c>
      <c r="BB621" t="s">
        <v>4</v>
      </c>
      <c r="BC621" t="s">
        <v>10</v>
      </c>
      <c r="BD621">
        <v>0</v>
      </c>
      <c r="BE621">
        <v>0</v>
      </c>
      <c r="BF621">
        <v>0</v>
      </c>
      <c r="BG621">
        <v>0</v>
      </c>
      <c r="BH621">
        <v>0</v>
      </c>
      <c r="BI621" t="s">
        <v>9</v>
      </c>
      <c r="BJ621">
        <v>-1.7192999999999999E-4</v>
      </c>
      <c r="BK621">
        <v>0</v>
      </c>
      <c r="BL621">
        <v>-1.4589999999999999E-5</v>
      </c>
      <c r="BM621" s="2">
        <f t="shared" si="9"/>
        <v>1.6107719057272129E-6</v>
      </c>
    </row>
    <row r="622" spans="1:65" x14ac:dyDescent="0.35">
      <c r="A622">
        <v>0</v>
      </c>
      <c r="B622" t="s">
        <v>11</v>
      </c>
      <c r="C622" t="s">
        <v>4</v>
      </c>
      <c r="D622">
        <v>0</v>
      </c>
      <c r="E622" t="s">
        <v>3</v>
      </c>
      <c r="F622" t="s">
        <v>5</v>
      </c>
      <c r="G622">
        <v>4981.1610739999996</v>
      </c>
      <c r="H622" t="s">
        <v>4</v>
      </c>
      <c r="I622">
        <v>990.16341899999998</v>
      </c>
      <c r="J622">
        <v>3990.9976550000001</v>
      </c>
      <c r="K622" t="s">
        <v>6</v>
      </c>
      <c r="L622" t="s">
        <v>7</v>
      </c>
      <c r="M622" t="s">
        <v>8</v>
      </c>
      <c r="N622" t="s">
        <v>6</v>
      </c>
      <c r="O622" t="s">
        <v>3</v>
      </c>
      <c r="P622" t="s">
        <v>3</v>
      </c>
      <c r="Q622" t="s">
        <v>3</v>
      </c>
      <c r="R622" t="s">
        <v>3</v>
      </c>
      <c r="S622" t="s">
        <v>11</v>
      </c>
      <c r="T622" t="s">
        <v>7</v>
      </c>
      <c r="U622">
        <v>1</v>
      </c>
      <c r="V622">
        <v>0</v>
      </c>
      <c r="W622">
        <v>0</v>
      </c>
      <c r="X622">
        <v>8</v>
      </c>
      <c r="Y622">
        <v>0</v>
      </c>
      <c r="Z622" t="s">
        <v>18</v>
      </c>
      <c r="AA622" t="s">
        <v>4</v>
      </c>
      <c r="AB622" t="s">
        <v>6</v>
      </c>
      <c r="AC622" t="s">
        <v>7</v>
      </c>
      <c r="AD622" t="s">
        <v>8</v>
      </c>
      <c r="AE622" t="s">
        <v>6</v>
      </c>
      <c r="AF622" t="s">
        <v>3</v>
      </c>
      <c r="AG622" t="s">
        <v>3</v>
      </c>
      <c r="AH622" t="s">
        <v>3</v>
      </c>
      <c r="AI622" t="s">
        <v>3</v>
      </c>
      <c r="AJ622" t="s">
        <v>3</v>
      </c>
      <c r="AK622" t="s">
        <v>7</v>
      </c>
      <c r="AL622">
        <v>0</v>
      </c>
      <c r="AM622">
        <v>0</v>
      </c>
      <c r="AN622">
        <v>0</v>
      </c>
      <c r="AO622">
        <v>0</v>
      </c>
      <c r="AP622">
        <v>0</v>
      </c>
      <c r="AQ622" t="s">
        <v>9</v>
      </c>
      <c r="AR622" s="1">
        <v>3.4013057499999998E-6</v>
      </c>
      <c r="AS622" s="1">
        <v>1.24047775E-28</v>
      </c>
      <c r="AT622">
        <v>27</v>
      </c>
      <c r="AU622" t="s">
        <v>10</v>
      </c>
      <c r="AV622">
        <v>1</v>
      </c>
      <c r="AW622">
        <v>0</v>
      </c>
      <c r="AX622">
        <v>0</v>
      </c>
      <c r="AY622">
        <v>8</v>
      </c>
      <c r="AZ622">
        <v>0</v>
      </c>
      <c r="BA622" t="s">
        <v>18</v>
      </c>
      <c r="BB622" t="s">
        <v>4</v>
      </c>
      <c r="BC622" t="s">
        <v>10</v>
      </c>
      <c r="BD622">
        <v>0</v>
      </c>
      <c r="BE622">
        <v>0</v>
      </c>
      <c r="BF622">
        <v>0</v>
      </c>
      <c r="BG622">
        <v>0</v>
      </c>
      <c r="BH622">
        <v>0</v>
      </c>
      <c r="BI622" t="s">
        <v>9</v>
      </c>
      <c r="BJ622">
        <v>0</v>
      </c>
      <c r="BK622">
        <v>3.4000000000000001E-6</v>
      </c>
      <c r="BL622">
        <v>0</v>
      </c>
      <c r="BM622" s="2">
        <f t="shared" si="9"/>
        <v>7.4703316697671991E-10</v>
      </c>
    </row>
    <row r="623" spans="1:65" x14ac:dyDescent="0.35">
      <c r="A623">
        <v>0</v>
      </c>
      <c r="B623" t="s">
        <v>11</v>
      </c>
      <c r="C623" t="s">
        <v>4</v>
      </c>
      <c r="D623">
        <v>0</v>
      </c>
      <c r="E623" t="s">
        <v>3</v>
      </c>
      <c r="F623" t="s">
        <v>5</v>
      </c>
      <c r="G623">
        <v>3742.0740340000002</v>
      </c>
      <c r="H623" t="s">
        <v>4</v>
      </c>
      <c r="I623">
        <v>990.16341899999998</v>
      </c>
      <c r="J623">
        <v>2751.9106149999998</v>
      </c>
      <c r="K623" t="s">
        <v>6</v>
      </c>
      <c r="L623" t="s">
        <v>7</v>
      </c>
      <c r="M623" t="s">
        <v>8</v>
      </c>
      <c r="N623" t="s">
        <v>6</v>
      </c>
      <c r="O623" t="s">
        <v>3</v>
      </c>
      <c r="P623" t="s">
        <v>3</v>
      </c>
      <c r="Q623" t="s">
        <v>3</v>
      </c>
      <c r="R623" t="s">
        <v>3</v>
      </c>
      <c r="S623" t="s">
        <v>11</v>
      </c>
      <c r="T623" t="s">
        <v>7</v>
      </c>
      <c r="U623">
        <v>0</v>
      </c>
      <c r="V623">
        <v>0</v>
      </c>
      <c r="W623">
        <v>0</v>
      </c>
      <c r="X623">
        <v>1</v>
      </c>
      <c r="Y623">
        <v>2</v>
      </c>
      <c r="Z623" t="s">
        <v>14</v>
      </c>
      <c r="AA623" t="s">
        <v>4</v>
      </c>
      <c r="AB623" t="s">
        <v>6</v>
      </c>
      <c r="AC623" t="s">
        <v>7</v>
      </c>
      <c r="AD623" t="s">
        <v>8</v>
      </c>
      <c r="AE623" t="s">
        <v>6</v>
      </c>
      <c r="AF623" t="s">
        <v>3</v>
      </c>
      <c r="AG623" t="s">
        <v>3</v>
      </c>
      <c r="AH623" t="s">
        <v>3</v>
      </c>
      <c r="AI623" t="s">
        <v>3</v>
      </c>
      <c r="AJ623" t="s">
        <v>3</v>
      </c>
      <c r="AK623" t="s">
        <v>7</v>
      </c>
      <c r="AL623">
        <v>0</v>
      </c>
      <c r="AM623">
        <v>0</v>
      </c>
      <c r="AN623">
        <v>0</v>
      </c>
      <c r="AO623">
        <v>0</v>
      </c>
      <c r="AP623">
        <v>0</v>
      </c>
      <c r="AQ623" t="s">
        <v>9</v>
      </c>
      <c r="AR623" s="1">
        <v>1.13074134E-4</v>
      </c>
      <c r="AS623" s="1">
        <v>9.4531443299999995E-26</v>
      </c>
      <c r="AT623">
        <v>30</v>
      </c>
      <c r="AU623" t="s">
        <v>10</v>
      </c>
      <c r="AV623">
        <v>0</v>
      </c>
      <c r="AW623">
        <v>0</v>
      </c>
      <c r="AX623">
        <v>0</v>
      </c>
      <c r="AY623">
        <v>1</v>
      </c>
      <c r="AZ623">
        <v>2</v>
      </c>
      <c r="BA623" t="s">
        <v>14</v>
      </c>
      <c r="BB623" t="s">
        <v>4</v>
      </c>
      <c r="BC623" t="s">
        <v>10</v>
      </c>
      <c r="BD623">
        <v>0</v>
      </c>
      <c r="BE623">
        <v>0</v>
      </c>
      <c r="BF623">
        <v>0</v>
      </c>
      <c r="BG623">
        <v>0</v>
      </c>
      <c r="BH623">
        <v>0</v>
      </c>
      <c r="BI623" t="s">
        <v>9</v>
      </c>
      <c r="BJ623">
        <v>0</v>
      </c>
      <c r="BK623">
        <v>1.1307E-4</v>
      </c>
      <c r="BL623">
        <v>0</v>
      </c>
      <c r="BM623" s="2">
        <f t="shared" si="9"/>
        <v>5.6928166157981657E-7</v>
      </c>
    </row>
    <row r="624" spans="1:65" x14ac:dyDescent="0.35">
      <c r="A624">
        <v>0</v>
      </c>
      <c r="B624" t="s">
        <v>3</v>
      </c>
      <c r="C624" t="s">
        <v>4</v>
      </c>
      <c r="D624">
        <v>0</v>
      </c>
      <c r="E624" t="s">
        <v>3</v>
      </c>
      <c r="F624" t="s">
        <v>5</v>
      </c>
      <c r="G624">
        <v>4438.7114579999998</v>
      </c>
      <c r="H624" t="s">
        <v>4</v>
      </c>
      <c r="I624">
        <v>990.16341899999998</v>
      </c>
      <c r="J624">
        <v>3448.5480389999998</v>
      </c>
      <c r="K624" t="s">
        <v>6</v>
      </c>
      <c r="L624" t="s">
        <v>7</v>
      </c>
      <c r="M624" t="s">
        <v>8</v>
      </c>
      <c r="N624" t="s">
        <v>6</v>
      </c>
      <c r="O624" t="s">
        <v>3</v>
      </c>
      <c r="P624" t="s">
        <v>3</v>
      </c>
      <c r="Q624" t="s">
        <v>3</v>
      </c>
      <c r="R624" t="s">
        <v>3</v>
      </c>
      <c r="S624" t="s">
        <v>3</v>
      </c>
      <c r="T624" t="s">
        <v>7</v>
      </c>
      <c r="U624">
        <v>3</v>
      </c>
      <c r="V624">
        <v>0</v>
      </c>
      <c r="W624">
        <v>0</v>
      </c>
      <c r="X624">
        <v>0</v>
      </c>
      <c r="Y624">
        <v>1</v>
      </c>
      <c r="Z624" t="s">
        <v>9</v>
      </c>
      <c r="AA624" t="s">
        <v>4</v>
      </c>
      <c r="AB624" t="s">
        <v>6</v>
      </c>
      <c r="AC624" t="s">
        <v>7</v>
      </c>
      <c r="AD624" t="s">
        <v>8</v>
      </c>
      <c r="AE624" t="s">
        <v>6</v>
      </c>
      <c r="AF624" t="s">
        <v>3</v>
      </c>
      <c r="AG624" t="s">
        <v>3</v>
      </c>
      <c r="AH624" t="s">
        <v>3</v>
      </c>
      <c r="AI624" t="s">
        <v>3</v>
      </c>
      <c r="AJ624" t="s">
        <v>3</v>
      </c>
      <c r="AK624" t="s">
        <v>7</v>
      </c>
      <c r="AL624">
        <v>0</v>
      </c>
      <c r="AM624">
        <v>0</v>
      </c>
      <c r="AN624">
        <v>0</v>
      </c>
      <c r="AO624">
        <v>0</v>
      </c>
      <c r="AP624">
        <v>0</v>
      </c>
      <c r="AQ624" t="s">
        <v>9</v>
      </c>
      <c r="AR624" s="1">
        <v>1.9716529799999999E-5</v>
      </c>
      <c r="AS624" s="1">
        <v>3.6017484400000003E-27</v>
      </c>
      <c r="AT624">
        <v>12</v>
      </c>
      <c r="AU624" t="s">
        <v>10</v>
      </c>
      <c r="AV624">
        <v>3</v>
      </c>
      <c r="AW624">
        <v>0</v>
      </c>
      <c r="AX624">
        <v>0</v>
      </c>
      <c r="AY624">
        <v>0</v>
      </c>
      <c r="AZ624">
        <v>1</v>
      </c>
      <c r="BA624" t="s">
        <v>9</v>
      </c>
      <c r="BB624" t="s">
        <v>4</v>
      </c>
      <c r="BC624" t="s">
        <v>10</v>
      </c>
      <c r="BD624">
        <v>0</v>
      </c>
      <c r="BE624">
        <v>0</v>
      </c>
      <c r="BF624">
        <v>0</v>
      </c>
      <c r="BG624">
        <v>0</v>
      </c>
      <c r="BH624">
        <v>0</v>
      </c>
      <c r="BI624" t="s">
        <v>9</v>
      </c>
      <c r="BJ624">
        <v>6.1099999999999999E-6</v>
      </c>
      <c r="BK624">
        <v>0</v>
      </c>
      <c r="BL624">
        <v>-1.8749999999999998E-5</v>
      </c>
      <c r="BM624" s="2">
        <f t="shared" si="9"/>
        <v>2.1690236231860354E-8</v>
      </c>
    </row>
    <row r="625" spans="1:65" x14ac:dyDescent="0.35">
      <c r="A625">
        <v>0</v>
      </c>
      <c r="B625" t="s">
        <v>11</v>
      </c>
      <c r="C625" t="s">
        <v>4</v>
      </c>
      <c r="D625">
        <v>0</v>
      </c>
      <c r="E625" t="s">
        <v>3</v>
      </c>
      <c r="F625" t="s">
        <v>5</v>
      </c>
      <c r="G625">
        <v>4916.0804820000003</v>
      </c>
      <c r="H625" t="s">
        <v>4</v>
      </c>
      <c r="I625">
        <v>990.16341899999998</v>
      </c>
      <c r="J625">
        <v>3925.9170629999999</v>
      </c>
      <c r="K625" t="s">
        <v>6</v>
      </c>
      <c r="L625" t="s">
        <v>7</v>
      </c>
      <c r="M625" t="s">
        <v>8</v>
      </c>
      <c r="N625" t="s">
        <v>6</v>
      </c>
      <c r="O625" t="s">
        <v>3</v>
      </c>
      <c r="P625" t="s">
        <v>3</v>
      </c>
      <c r="Q625" t="s">
        <v>3</v>
      </c>
      <c r="R625" t="s">
        <v>3</v>
      </c>
      <c r="S625" t="s">
        <v>11</v>
      </c>
      <c r="T625" t="s">
        <v>7</v>
      </c>
      <c r="U625">
        <v>2</v>
      </c>
      <c r="V625">
        <v>0</v>
      </c>
      <c r="W625">
        <v>0</v>
      </c>
      <c r="X625">
        <v>1</v>
      </c>
      <c r="Y625">
        <v>0</v>
      </c>
      <c r="Z625" t="s">
        <v>23</v>
      </c>
      <c r="AA625" t="s">
        <v>4</v>
      </c>
      <c r="AB625" t="s">
        <v>6</v>
      </c>
      <c r="AC625" t="s">
        <v>7</v>
      </c>
      <c r="AD625" t="s">
        <v>8</v>
      </c>
      <c r="AE625" t="s">
        <v>6</v>
      </c>
      <c r="AF625" t="s">
        <v>3</v>
      </c>
      <c r="AG625" t="s">
        <v>3</v>
      </c>
      <c r="AH625" t="s">
        <v>3</v>
      </c>
      <c r="AI625" t="s">
        <v>3</v>
      </c>
      <c r="AJ625" t="s">
        <v>3</v>
      </c>
      <c r="AK625" t="s">
        <v>7</v>
      </c>
      <c r="AL625">
        <v>0</v>
      </c>
      <c r="AM625">
        <v>0</v>
      </c>
      <c r="AN625">
        <v>0</v>
      </c>
      <c r="AO625">
        <v>0</v>
      </c>
      <c r="AP625">
        <v>0</v>
      </c>
      <c r="AQ625" t="s">
        <v>9</v>
      </c>
      <c r="AR625" s="1">
        <v>1.94009681E-5</v>
      </c>
      <c r="AS625" s="1">
        <v>3.9701241100000002E-27</v>
      </c>
      <c r="AT625">
        <v>27</v>
      </c>
      <c r="AU625" t="s">
        <v>10</v>
      </c>
      <c r="AV625">
        <v>2</v>
      </c>
      <c r="AW625">
        <v>0</v>
      </c>
      <c r="AX625">
        <v>0</v>
      </c>
      <c r="AY625">
        <v>1</v>
      </c>
      <c r="AZ625">
        <v>0</v>
      </c>
      <c r="BA625" t="s">
        <v>23</v>
      </c>
      <c r="BB625" t="s">
        <v>4</v>
      </c>
      <c r="BC625" t="s">
        <v>10</v>
      </c>
      <c r="BD625">
        <v>0</v>
      </c>
      <c r="BE625">
        <v>0</v>
      </c>
      <c r="BF625">
        <v>0</v>
      </c>
      <c r="BG625">
        <v>0</v>
      </c>
      <c r="BH625">
        <v>0</v>
      </c>
      <c r="BI625" t="s">
        <v>9</v>
      </c>
      <c r="BJ625">
        <v>0</v>
      </c>
      <c r="BK625">
        <v>1.9400000000000001E-5</v>
      </c>
      <c r="BL625">
        <v>0</v>
      </c>
      <c r="BM625" s="2">
        <f t="shared" si="9"/>
        <v>2.3908646383894687E-8</v>
      </c>
    </row>
    <row r="626" spans="1:65" x14ac:dyDescent="0.35">
      <c r="A626">
        <v>0</v>
      </c>
      <c r="B626" t="s">
        <v>3</v>
      </c>
      <c r="C626" t="s">
        <v>4</v>
      </c>
      <c r="D626">
        <v>0</v>
      </c>
      <c r="E626" t="s">
        <v>3</v>
      </c>
      <c r="F626" t="s">
        <v>5</v>
      </c>
      <c r="G626">
        <v>4751.3339230000001</v>
      </c>
      <c r="H626" t="s">
        <v>4</v>
      </c>
      <c r="I626">
        <v>990.16341899999998</v>
      </c>
      <c r="J626">
        <v>3761.1705040000002</v>
      </c>
      <c r="K626" t="s">
        <v>6</v>
      </c>
      <c r="L626" t="s">
        <v>7</v>
      </c>
      <c r="M626" t="s">
        <v>8</v>
      </c>
      <c r="N626" t="s">
        <v>6</v>
      </c>
      <c r="O626" t="s">
        <v>3</v>
      </c>
      <c r="P626" t="s">
        <v>3</v>
      </c>
      <c r="Q626" t="s">
        <v>3</v>
      </c>
      <c r="R626" t="s">
        <v>3</v>
      </c>
      <c r="S626" t="s">
        <v>3</v>
      </c>
      <c r="T626" t="s">
        <v>7</v>
      </c>
      <c r="U626">
        <v>0</v>
      </c>
      <c r="V626">
        <v>0</v>
      </c>
      <c r="W626">
        <v>1</v>
      </c>
      <c r="X626">
        <v>3</v>
      </c>
      <c r="Y626">
        <v>0</v>
      </c>
      <c r="Z626" t="s">
        <v>8</v>
      </c>
      <c r="AA626" t="s">
        <v>4</v>
      </c>
      <c r="AB626" t="s">
        <v>6</v>
      </c>
      <c r="AC626" t="s">
        <v>7</v>
      </c>
      <c r="AD626" t="s">
        <v>8</v>
      </c>
      <c r="AE626" t="s">
        <v>6</v>
      </c>
      <c r="AF626" t="s">
        <v>3</v>
      </c>
      <c r="AG626" t="s">
        <v>3</v>
      </c>
      <c r="AH626" t="s">
        <v>3</v>
      </c>
      <c r="AI626" t="s">
        <v>3</v>
      </c>
      <c r="AJ626" t="s">
        <v>3</v>
      </c>
      <c r="AK626" t="s">
        <v>7</v>
      </c>
      <c r="AL626">
        <v>0</v>
      </c>
      <c r="AM626">
        <v>0</v>
      </c>
      <c r="AN626">
        <v>0</v>
      </c>
      <c r="AO626">
        <v>0</v>
      </c>
      <c r="AP626">
        <v>0</v>
      </c>
      <c r="AQ626" t="s">
        <v>9</v>
      </c>
      <c r="AR626" s="1">
        <v>7.4015687599999998E-6</v>
      </c>
      <c r="AS626" s="1">
        <v>5.5358808699999996E-28</v>
      </c>
      <c r="AT626">
        <v>26</v>
      </c>
      <c r="AU626" t="s">
        <v>10</v>
      </c>
      <c r="AV626">
        <v>0</v>
      </c>
      <c r="AW626">
        <v>0</v>
      </c>
      <c r="AX626">
        <v>1</v>
      </c>
      <c r="AY626">
        <v>3</v>
      </c>
      <c r="AZ626">
        <v>0</v>
      </c>
      <c r="BA626" t="s">
        <v>8</v>
      </c>
      <c r="BB626" t="s">
        <v>4</v>
      </c>
      <c r="BC626" t="s">
        <v>10</v>
      </c>
      <c r="BD626">
        <v>0</v>
      </c>
      <c r="BE626">
        <v>0</v>
      </c>
      <c r="BF626">
        <v>0</v>
      </c>
      <c r="BG626">
        <v>0</v>
      </c>
      <c r="BH626">
        <v>0</v>
      </c>
      <c r="BI626" t="s">
        <v>9</v>
      </c>
      <c r="BJ626">
        <v>-4.9599999999999999E-6</v>
      </c>
      <c r="BK626">
        <v>0</v>
      </c>
      <c r="BL626">
        <v>5.49E-6</v>
      </c>
      <c r="BM626" s="2">
        <f t="shared" si="9"/>
        <v>3.333785405116649E-9</v>
      </c>
    </row>
    <row r="627" spans="1:65" x14ac:dyDescent="0.35">
      <c r="A627">
        <v>0</v>
      </c>
      <c r="B627" t="s">
        <v>11</v>
      </c>
      <c r="C627" t="s">
        <v>4</v>
      </c>
      <c r="D627">
        <v>0</v>
      </c>
      <c r="E627" t="s">
        <v>3</v>
      </c>
      <c r="F627" t="s">
        <v>5</v>
      </c>
      <c r="G627">
        <v>4165.9464589999998</v>
      </c>
      <c r="H627" t="s">
        <v>4</v>
      </c>
      <c r="I627">
        <v>990.16341899999998</v>
      </c>
      <c r="J627">
        <v>3175.7830399999998</v>
      </c>
      <c r="K627" t="s">
        <v>6</v>
      </c>
      <c r="L627" t="s">
        <v>7</v>
      </c>
      <c r="M627" t="s">
        <v>8</v>
      </c>
      <c r="N627" t="s">
        <v>6</v>
      </c>
      <c r="O627" t="s">
        <v>3</v>
      </c>
      <c r="P627" t="s">
        <v>3</v>
      </c>
      <c r="Q627" t="s">
        <v>3</v>
      </c>
      <c r="R627" t="s">
        <v>3</v>
      </c>
      <c r="S627" t="s">
        <v>11</v>
      </c>
      <c r="T627" t="s">
        <v>7</v>
      </c>
      <c r="U627">
        <v>0</v>
      </c>
      <c r="V627">
        <v>0</v>
      </c>
      <c r="W627">
        <v>0</v>
      </c>
      <c r="X627">
        <v>2</v>
      </c>
      <c r="Y627">
        <v>2</v>
      </c>
      <c r="Z627" t="s">
        <v>14</v>
      </c>
      <c r="AA627" t="s">
        <v>4</v>
      </c>
      <c r="AB627" t="s">
        <v>6</v>
      </c>
      <c r="AC627" t="s">
        <v>7</v>
      </c>
      <c r="AD627" t="s">
        <v>8</v>
      </c>
      <c r="AE627" t="s">
        <v>6</v>
      </c>
      <c r="AF627" t="s">
        <v>3</v>
      </c>
      <c r="AG627" t="s">
        <v>3</v>
      </c>
      <c r="AH627" t="s">
        <v>3</v>
      </c>
      <c r="AI627" t="s">
        <v>3</v>
      </c>
      <c r="AJ627" t="s">
        <v>3</v>
      </c>
      <c r="AK627" t="s">
        <v>7</v>
      </c>
      <c r="AL627">
        <v>0</v>
      </c>
      <c r="AM627">
        <v>0</v>
      </c>
      <c r="AN627">
        <v>0</v>
      </c>
      <c r="AO627">
        <v>0</v>
      </c>
      <c r="AP627">
        <v>0</v>
      </c>
      <c r="AQ627" t="s">
        <v>9</v>
      </c>
      <c r="AR627" s="1">
        <v>1.41124462E-6</v>
      </c>
      <c r="AS627" s="1">
        <v>1.6993056E-29</v>
      </c>
      <c r="AT627">
        <v>30</v>
      </c>
      <c r="AU627" t="s">
        <v>10</v>
      </c>
      <c r="AV627">
        <v>0</v>
      </c>
      <c r="AW627">
        <v>0</v>
      </c>
      <c r="AX627">
        <v>0</v>
      </c>
      <c r="AY627">
        <v>2</v>
      </c>
      <c r="AZ627">
        <v>2</v>
      </c>
      <c r="BA627" t="s">
        <v>14</v>
      </c>
      <c r="BB627" t="s">
        <v>4</v>
      </c>
      <c r="BC627" t="s">
        <v>10</v>
      </c>
      <c r="BD627">
        <v>0</v>
      </c>
      <c r="BE627">
        <v>0</v>
      </c>
      <c r="BF627">
        <v>0</v>
      </c>
      <c r="BG627">
        <v>0</v>
      </c>
      <c r="BH627">
        <v>0</v>
      </c>
      <c r="BI627" t="s">
        <v>9</v>
      </c>
      <c r="BJ627">
        <v>0</v>
      </c>
      <c r="BK627">
        <v>-1.4100000000000001E-6</v>
      </c>
      <c r="BL627">
        <v>0</v>
      </c>
      <c r="BM627" s="2">
        <f t="shared" si="9"/>
        <v>1.023345758542848E-10</v>
      </c>
    </row>
    <row r="628" spans="1:65" x14ac:dyDescent="0.35">
      <c r="A628">
        <v>0</v>
      </c>
      <c r="B628" t="s">
        <v>11</v>
      </c>
      <c r="C628" t="s">
        <v>4</v>
      </c>
      <c r="D628">
        <v>0</v>
      </c>
      <c r="E628" t="s">
        <v>3</v>
      </c>
      <c r="F628" t="s">
        <v>5</v>
      </c>
      <c r="G628">
        <v>4249.1382620000004</v>
      </c>
      <c r="H628" t="s">
        <v>4</v>
      </c>
      <c r="I628">
        <v>990.16341899999998</v>
      </c>
      <c r="J628">
        <v>3258.974843</v>
      </c>
      <c r="K628" t="s">
        <v>6</v>
      </c>
      <c r="L628" t="s">
        <v>7</v>
      </c>
      <c r="M628" t="s">
        <v>8</v>
      </c>
      <c r="N628" t="s">
        <v>6</v>
      </c>
      <c r="O628" t="s">
        <v>3</v>
      </c>
      <c r="P628" t="s">
        <v>3</v>
      </c>
      <c r="Q628" t="s">
        <v>3</v>
      </c>
      <c r="R628" t="s">
        <v>3</v>
      </c>
      <c r="S628" t="s">
        <v>11</v>
      </c>
      <c r="T628" t="s">
        <v>7</v>
      </c>
      <c r="U628">
        <v>1</v>
      </c>
      <c r="V628">
        <v>0</v>
      </c>
      <c r="W628">
        <v>0</v>
      </c>
      <c r="X628">
        <v>1</v>
      </c>
      <c r="Y628">
        <v>0</v>
      </c>
      <c r="Z628" t="s">
        <v>16</v>
      </c>
      <c r="AA628" t="s">
        <v>4</v>
      </c>
      <c r="AB628" t="s">
        <v>6</v>
      </c>
      <c r="AC628" t="s">
        <v>7</v>
      </c>
      <c r="AD628" t="s">
        <v>8</v>
      </c>
      <c r="AE628" t="s">
        <v>6</v>
      </c>
      <c r="AF628" t="s">
        <v>3</v>
      </c>
      <c r="AG628" t="s">
        <v>3</v>
      </c>
      <c r="AH628" t="s">
        <v>3</v>
      </c>
      <c r="AI628" t="s">
        <v>3</v>
      </c>
      <c r="AJ628" t="s">
        <v>3</v>
      </c>
      <c r="AK628" t="s">
        <v>7</v>
      </c>
      <c r="AL628">
        <v>0</v>
      </c>
      <c r="AM628">
        <v>0</v>
      </c>
      <c r="AN628">
        <v>0</v>
      </c>
      <c r="AO628">
        <v>0</v>
      </c>
      <c r="AP628">
        <v>0</v>
      </c>
      <c r="AQ628" t="s">
        <v>9</v>
      </c>
      <c r="AR628" s="1">
        <v>2.9103853999999998E-5</v>
      </c>
      <c r="AS628" s="1">
        <v>7.4164848399999998E-27</v>
      </c>
      <c r="AT628">
        <v>26</v>
      </c>
      <c r="AU628" t="s">
        <v>10</v>
      </c>
      <c r="AV628">
        <v>1</v>
      </c>
      <c r="AW628">
        <v>0</v>
      </c>
      <c r="AX628">
        <v>0</v>
      </c>
      <c r="AY628">
        <v>1</v>
      </c>
      <c r="AZ628">
        <v>0</v>
      </c>
      <c r="BA628" t="s">
        <v>16</v>
      </c>
      <c r="BB628" t="s">
        <v>4</v>
      </c>
      <c r="BC628" t="s">
        <v>10</v>
      </c>
      <c r="BD628">
        <v>0</v>
      </c>
      <c r="BE628">
        <v>0</v>
      </c>
      <c r="BF628">
        <v>0</v>
      </c>
      <c r="BG628">
        <v>0</v>
      </c>
      <c r="BH628">
        <v>0</v>
      </c>
      <c r="BI628" t="s">
        <v>9</v>
      </c>
      <c r="BJ628">
        <v>0</v>
      </c>
      <c r="BK628">
        <v>-2.9099999999999999E-5</v>
      </c>
      <c r="BL628">
        <v>0</v>
      </c>
      <c r="BM628" s="2">
        <f t="shared" si="9"/>
        <v>4.4663115947545471E-8</v>
      </c>
    </row>
    <row r="629" spans="1:65" x14ac:dyDescent="0.35">
      <c r="A629">
        <v>0</v>
      </c>
      <c r="B629" t="s">
        <v>3</v>
      </c>
      <c r="C629" t="s">
        <v>4</v>
      </c>
      <c r="D629">
        <v>0</v>
      </c>
      <c r="E629" t="s">
        <v>3</v>
      </c>
      <c r="F629" t="s">
        <v>5</v>
      </c>
      <c r="G629">
        <v>4858.924755</v>
      </c>
      <c r="H629" t="s">
        <v>4</v>
      </c>
      <c r="I629">
        <v>990.16341899999998</v>
      </c>
      <c r="J629">
        <v>3868.761336</v>
      </c>
      <c r="K629" t="s">
        <v>6</v>
      </c>
      <c r="L629" t="s">
        <v>7</v>
      </c>
      <c r="M629" t="s">
        <v>8</v>
      </c>
      <c r="N629" t="s">
        <v>6</v>
      </c>
      <c r="O629" t="s">
        <v>3</v>
      </c>
      <c r="P629" t="s">
        <v>3</v>
      </c>
      <c r="Q629" t="s">
        <v>3</v>
      </c>
      <c r="R629" t="s">
        <v>3</v>
      </c>
      <c r="S629" t="s">
        <v>3</v>
      </c>
      <c r="T629" t="s">
        <v>7</v>
      </c>
      <c r="U629">
        <v>1</v>
      </c>
      <c r="V629">
        <v>1</v>
      </c>
      <c r="W629">
        <v>0</v>
      </c>
      <c r="X629">
        <v>0</v>
      </c>
      <c r="Y629">
        <v>2</v>
      </c>
      <c r="Z629" t="s">
        <v>9</v>
      </c>
      <c r="AA629" t="s">
        <v>4</v>
      </c>
      <c r="AB629" t="s">
        <v>6</v>
      </c>
      <c r="AC629" t="s">
        <v>7</v>
      </c>
      <c r="AD629" t="s">
        <v>8</v>
      </c>
      <c r="AE629" t="s">
        <v>6</v>
      </c>
      <c r="AF629" t="s">
        <v>3</v>
      </c>
      <c r="AG629" t="s">
        <v>3</v>
      </c>
      <c r="AH629" t="s">
        <v>3</v>
      </c>
      <c r="AI629" t="s">
        <v>3</v>
      </c>
      <c r="AJ629" t="s">
        <v>3</v>
      </c>
      <c r="AK629" t="s">
        <v>7</v>
      </c>
      <c r="AL629">
        <v>0</v>
      </c>
      <c r="AM629">
        <v>0</v>
      </c>
      <c r="AN629">
        <v>0</v>
      </c>
      <c r="AO629">
        <v>0</v>
      </c>
      <c r="AP629">
        <v>0</v>
      </c>
      <c r="AQ629" t="s">
        <v>9</v>
      </c>
      <c r="AR629" s="1">
        <v>9.1878865399999996E-5</v>
      </c>
      <c r="AS629" s="1">
        <v>8.7744387299999995E-26</v>
      </c>
      <c r="AT629">
        <v>27</v>
      </c>
      <c r="AU629" t="s">
        <v>10</v>
      </c>
      <c r="AV629">
        <v>1</v>
      </c>
      <c r="AW629">
        <v>1</v>
      </c>
      <c r="AX629">
        <v>0</v>
      </c>
      <c r="AY629">
        <v>0</v>
      </c>
      <c r="AZ629">
        <v>2</v>
      </c>
      <c r="BA629" t="s">
        <v>9</v>
      </c>
      <c r="BB629" t="s">
        <v>4</v>
      </c>
      <c r="BC629" t="s">
        <v>10</v>
      </c>
      <c r="BD629">
        <v>0</v>
      </c>
      <c r="BE629">
        <v>0</v>
      </c>
      <c r="BF629">
        <v>0</v>
      </c>
      <c r="BG629">
        <v>0</v>
      </c>
      <c r="BH629">
        <v>0</v>
      </c>
      <c r="BI629" t="s">
        <v>9</v>
      </c>
      <c r="BJ629">
        <v>5.4150000000000002E-5</v>
      </c>
      <c r="BK629">
        <v>0</v>
      </c>
      <c r="BL629">
        <v>7.4229999999999999E-5</v>
      </c>
      <c r="BM629" s="2">
        <f t="shared" si="9"/>
        <v>5.2840905473033183E-7</v>
      </c>
    </row>
    <row r="630" spans="1:65" x14ac:dyDescent="0.35">
      <c r="A630">
        <v>0</v>
      </c>
      <c r="B630" t="s">
        <v>11</v>
      </c>
      <c r="C630" t="s">
        <v>4</v>
      </c>
      <c r="D630">
        <v>0</v>
      </c>
      <c r="E630" t="s">
        <v>3</v>
      </c>
      <c r="F630" t="s">
        <v>5</v>
      </c>
      <c r="G630">
        <v>4629.0036030000001</v>
      </c>
      <c r="H630" t="s">
        <v>4</v>
      </c>
      <c r="I630">
        <v>990.16341899999998</v>
      </c>
      <c r="J630">
        <v>3638.8401840000001</v>
      </c>
      <c r="K630" t="s">
        <v>6</v>
      </c>
      <c r="L630" t="s">
        <v>7</v>
      </c>
      <c r="M630" t="s">
        <v>8</v>
      </c>
      <c r="N630" t="s">
        <v>6</v>
      </c>
      <c r="O630" t="s">
        <v>3</v>
      </c>
      <c r="P630" t="s">
        <v>3</v>
      </c>
      <c r="Q630" t="s">
        <v>3</v>
      </c>
      <c r="R630" t="s">
        <v>3</v>
      </c>
      <c r="S630" t="s">
        <v>11</v>
      </c>
      <c r="T630" t="s">
        <v>7</v>
      </c>
      <c r="U630">
        <v>0</v>
      </c>
      <c r="V630">
        <v>0</v>
      </c>
      <c r="W630">
        <v>0</v>
      </c>
      <c r="X630">
        <v>1</v>
      </c>
      <c r="Y630">
        <v>0</v>
      </c>
      <c r="Z630" t="s">
        <v>32</v>
      </c>
      <c r="AA630" t="s">
        <v>4</v>
      </c>
      <c r="AB630" t="s">
        <v>6</v>
      </c>
      <c r="AC630" t="s">
        <v>7</v>
      </c>
      <c r="AD630" t="s">
        <v>8</v>
      </c>
      <c r="AE630" t="s">
        <v>6</v>
      </c>
      <c r="AF630" t="s">
        <v>3</v>
      </c>
      <c r="AG630" t="s">
        <v>3</v>
      </c>
      <c r="AH630" t="s">
        <v>3</v>
      </c>
      <c r="AI630" t="s">
        <v>3</v>
      </c>
      <c r="AJ630" t="s">
        <v>3</v>
      </c>
      <c r="AK630" t="s">
        <v>7</v>
      </c>
      <c r="AL630">
        <v>0</v>
      </c>
      <c r="AM630">
        <v>0</v>
      </c>
      <c r="AN630">
        <v>0</v>
      </c>
      <c r="AO630">
        <v>0</v>
      </c>
      <c r="AP630">
        <v>0</v>
      </c>
      <c r="AQ630" t="s">
        <v>9</v>
      </c>
      <c r="AR630" s="1">
        <v>3.55640178E-5</v>
      </c>
      <c r="AS630" s="1">
        <v>1.2365189399999999E-26</v>
      </c>
      <c r="AT630">
        <v>30</v>
      </c>
      <c r="AU630" t="s">
        <v>10</v>
      </c>
      <c r="AV630">
        <v>0</v>
      </c>
      <c r="AW630">
        <v>0</v>
      </c>
      <c r="AX630">
        <v>0</v>
      </c>
      <c r="AY630">
        <v>1</v>
      </c>
      <c r="AZ630">
        <v>0</v>
      </c>
      <c r="BA630" t="s">
        <v>32</v>
      </c>
      <c r="BB630" t="s">
        <v>4</v>
      </c>
      <c r="BC630" t="s">
        <v>10</v>
      </c>
      <c r="BD630">
        <v>0</v>
      </c>
      <c r="BE630">
        <v>0</v>
      </c>
      <c r="BF630">
        <v>0</v>
      </c>
      <c r="BG630">
        <v>0</v>
      </c>
      <c r="BH630">
        <v>0</v>
      </c>
      <c r="BI630" t="s">
        <v>9</v>
      </c>
      <c r="BJ630">
        <v>0</v>
      </c>
      <c r="BK630">
        <v>-3.5559999999999998E-5</v>
      </c>
      <c r="BL630">
        <v>0</v>
      </c>
      <c r="BM630" s="2">
        <f t="shared" si="9"/>
        <v>7.4464911585467512E-8</v>
      </c>
    </row>
    <row r="631" spans="1:65" x14ac:dyDescent="0.35">
      <c r="A631">
        <v>0</v>
      </c>
      <c r="B631" t="s">
        <v>11</v>
      </c>
      <c r="C631" t="s">
        <v>4</v>
      </c>
      <c r="D631">
        <v>0</v>
      </c>
      <c r="E631" t="s">
        <v>3</v>
      </c>
      <c r="F631" t="s">
        <v>5</v>
      </c>
      <c r="G631">
        <v>4396.9439259999999</v>
      </c>
      <c r="H631" t="s">
        <v>4</v>
      </c>
      <c r="I631">
        <v>990.16341899999998</v>
      </c>
      <c r="J631">
        <v>3406.7805069999999</v>
      </c>
      <c r="K631" t="s">
        <v>6</v>
      </c>
      <c r="L631" t="s">
        <v>7</v>
      </c>
      <c r="M631" t="s">
        <v>8</v>
      </c>
      <c r="N631" t="s">
        <v>6</v>
      </c>
      <c r="O631" t="s">
        <v>3</v>
      </c>
      <c r="P631" t="s">
        <v>3</v>
      </c>
      <c r="Q631" t="s">
        <v>3</v>
      </c>
      <c r="R631" t="s">
        <v>3</v>
      </c>
      <c r="S631" t="s">
        <v>11</v>
      </c>
      <c r="T631" t="s">
        <v>7</v>
      </c>
      <c r="U631">
        <v>0</v>
      </c>
      <c r="V631">
        <v>1</v>
      </c>
      <c r="W631">
        <v>0</v>
      </c>
      <c r="X631">
        <v>2</v>
      </c>
      <c r="Y631">
        <v>0</v>
      </c>
      <c r="Z631" t="s">
        <v>12</v>
      </c>
      <c r="AA631" t="s">
        <v>4</v>
      </c>
      <c r="AB631" t="s">
        <v>6</v>
      </c>
      <c r="AC631" t="s">
        <v>7</v>
      </c>
      <c r="AD631" t="s">
        <v>8</v>
      </c>
      <c r="AE631" t="s">
        <v>6</v>
      </c>
      <c r="AF631" t="s">
        <v>3</v>
      </c>
      <c r="AG631" t="s">
        <v>3</v>
      </c>
      <c r="AH631" t="s">
        <v>3</v>
      </c>
      <c r="AI631" t="s">
        <v>3</v>
      </c>
      <c r="AJ631" t="s">
        <v>3</v>
      </c>
      <c r="AK631" t="s">
        <v>7</v>
      </c>
      <c r="AL631">
        <v>0</v>
      </c>
      <c r="AM631">
        <v>0</v>
      </c>
      <c r="AN631">
        <v>0</v>
      </c>
      <c r="AO631">
        <v>0</v>
      </c>
      <c r="AP631">
        <v>0</v>
      </c>
      <c r="AQ631" t="s">
        <v>9</v>
      </c>
      <c r="AR631" s="1">
        <v>2.0541951900000001E-5</v>
      </c>
      <c r="AS631" s="1">
        <v>3.8622795299999998E-27</v>
      </c>
      <c r="AT631">
        <v>26</v>
      </c>
      <c r="AU631" t="s">
        <v>10</v>
      </c>
      <c r="AV631">
        <v>0</v>
      </c>
      <c r="AW631">
        <v>1</v>
      </c>
      <c r="AX631">
        <v>0</v>
      </c>
      <c r="AY631">
        <v>2</v>
      </c>
      <c r="AZ631">
        <v>0</v>
      </c>
      <c r="BA631" t="s">
        <v>12</v>
      </c>
      <c r="BB631" t="s">
        <v>4</v>
      </c>
      <c r="BC631" t="s">
        <v>10</v>
      </c>
      <c r="BD631">
        <v>0</v>
      </c>
      <c r="BE631">
        <v>0</v>
      </c>
      <c r="BF631">
        <v>0</v>
      </c>
      <c r="BG631">
        <v>0</v>
      </c>
      <c r="BH631">
        <v>0</v>
      </c>
      <c r="BI631" t="s">
        <v>9</v>
      </c>
      <c r="BJ631">
        <v>0</v>
      </c>
      <c r="BK631">
        <v>-2.054E-5</v>
      </c>
      <c r="BL631">
        <v>0</v>
      </c>
      <c r="BM631" s="2">
        <f t="shared" si="9"/>
        <v>2.3259191138617823E-8</v>
      </c>
    </row>
    <row r="632" spans="1:65" x14ac:dyDescent="0.35">
      <c r="A632">
        <v>0</v>
      </c>
      <c r="B632" t="s">
        <v>11</v>
      </c>
      <c r="C632" t="s">
        <v>4</v>
      </c>
      <c r="D632">
        <v>0</v>
      </c>
      <c r="E632" t="s">
        <v>3</v>
      </c>
      <c r="F632" t="s">
        <v>5</v>
      </c>
      <c r="G632">
        <v>3568.4015180000001</v>
      </c>
      <c r="H632" t="s">
        <v>4</v>
      </c>
      <c r="I632">
        <v>990.16341899999998</v>
      </c>
      <c r="J632">
        <v>2578.2380990000001</v>
      </c>
      <c r="K632" t="s">
        <v>6</v>
      </c>
      <c r="L632" t="s">
        <v>7</v>
      </c>
      <c r="M632" t="s">
        <v>8</v>
      </c>
      <c r="N632" t="s">
        <v>6</v>
      </c>
      <c r="O632" t="s">
        <v>3</v>
      </c>
      <c r="P632" t="s">
        <v>3</v>
      </c>
      <c r="Q632" t="s">
        <v>3</v>
      </c>
      <c r="R632" t="s">
        <v>3</v>
      </c>
      <c r="S632" t="s">
        <v>11</v>
      </c>
      <c r="T632" t="s">
        <v>7</v>
      </c>
      <c r="U632">
        <v>0</v>
      </c>
      <c r="V632">
        <v>0</v>
      </c>
      <c r="W632">
        <v>0</v>
      </c>
      <c r="X632">
        <v>0</v>
      </c>
      <c r="Y632">
        <v>2</v>
      </c>
      <c r="Z632" t="s">
        <v>13</v>
      </c>
      <c r="AA632" t="s">
        <v>4</v>
      </c>
      <c r="AB632" t="s">
        <v>6</v>
      </c>
      <c r="AC632" t="s">
        <v>7</v>
      </c>
      <c r="AD632" t="s">
        <v>8</v>
      </c>
      <c r="AE632" t="s">
        <v>6</v>
      </c>
      <c r="AF632" t="s">
        <v>3</v>
      </c>
      <c r="AG632" t="s">
        <v>3</v>
      </c>
      <c r="AH632" t="s">
        <v>3</v>
      </c>
      <c r="AI632" t="s">
        <v>3</v>
      </c>
      <c r="AJ632" t="s">
        <v>3</v>
      </c>
      <c r="AK632" t="s">
        <v>7</v>
      </c>
      <c r="AL632">
        <v>0</v>
      </c>
      <c r="AM632">
        <v>0</v>
      </c>
      <c r="AN632">
        <v>0</v>
      </c>
      <c r="AO632">
        <v>0</v>
      </c>
      <c r="AP632">
        <v>0</v>
      </c>
      <c r="AQ632" t="s">
        <v>9</v>
      </c>
      <c r="AR632" s="1">
        <v>1.44808425E-4</v>
      </c>
      <c r="AS632" s="1">
        <v>1.4525300899999999E-25</v>
      </c>
      <c r="AT632">
        <v>26</v>
      </c>
      <c r="AU632" t="s">
        <v>10</v>
      </c>
      <c r="AV632">
        <v>0</v>
      </c>
      <c r="AW632">
        <v>0</v>
      </c>
      <c r="AX632">
        <v>0</v>
      </c>
      <c r="AY632">
        <v>0</v>
      </c>
      <c r="AZ632">
        <v>2</v>
      </c>
      <c r="BA632" t="s">
        <v>13</v>
      </c>
      <c r="BB632" t="s">
        <v>4</v>
      </c>
      <c r="BC632" t="s">
        <v>10</v>
      </c>
      <c r="BD632">
        <v>0</v>
      </c>
      <c r="BE632">
        <v>0</v>
      </c>
      <c r="BF632">
        <v>0</v>
      </c>
      <c r="BG632">
        <v>0</v>
      </c>
      <c r="BH632">
        <v>0</v>
      </c>
      <c r="BI632" t="s">
        <v>9</v>
      </c>
      <c r="BJ632">
        <v>0</v>
      </c>
      <c r="BK632">
        <v>1.4480999999999999E-4</v>
      </c>
      <c r="BL632">
        <v>0</v>
      </c>
      <c r="BM632" s="2">
        <f t="shared" si="9"/>
        <v>8.7473407182166706E-7</v>
      </c>
    </row>
    <row r="633" spans="1:65" x14ac:dyDescent="0.35">
      <c r="A633">
        <v>0</v>
      </c>
      <c r="B633" t="s">
        <v>11</v>
      </c>
      <c r="C633" t="s">
        <v>4</v>
      </c>
      <c r="D633">
        <v>0</v>
      </c>
      <c r="E633" t="s">
        <v>3</v>
      </c>
      <c r="F633" t="s">
        <v>5</v>
      </c>
      <c r="G633">
        <v>3458.085986</v>
      </c>
      <c r="H633" t="s">
        <v>4</v>
      </c>
      <c r="I633">
        <v>990.16341899999998</v>
      </c>
      <c r="J633">
        <v>2467.9225670000001</v>
      </c>
      <c r="K633" t="s">
        <v>6</v>
      </c>
      <c r="L633" t="s">
        <v>7</v>
      </c>
      <c r="M633" t="s">
        <v>8</v>
      </c>
      <c r="N633" t="s">
        <v>6</v>
      </c>
      <c r="O633" t="s">
        <v>3</v>
      </c>
      <c r="P633" t="s">
        <v>3</v>
      </c>
      <c r="Q633" t="s">
        <v>3</v>
      </c>
      <c r="R633" t="s">
        <v>3</v>
      </c>
      <c r="S633" t="s">
        <v>11</v>
      </c>
      <c r="T633" t="s">
        <v>7</v>
      </c>
      <c r="U633">
        <v>3</v>
      </c>
      <c r="V633">
        <v>0</v>
      </c>
      <c r="W633">
        <v>0</v>
      </c>
      <c r="X633">
        <v>1</v>
      </c>
      <c r="Y633">
        <v>0</v>
      </c>
      <c r="Z633" t="s">
        <v>18</v>
      </c>
      <c r="AA633" t="s">
        <v>4</v>
      </c>
      <c r="AB633" t="s">
        <v>6</v>
      </c>
      <c r="AC633" t="s">
        <v>7</v>
      </c>
      <c r="AD633" t="s">
        <v>8</v>
      </c>
      <c r="AE633" t="s">
        <v>6</v>
      </c>
      <c r="AF633" t="s">
        <v>3</v>
      </c>
      <c r="AG633" t="s">
        <v>3</v>
      </c>
      <c r="AH633" t="s">
        <v>3</v>
      </c>
      <c r="AI633" t="s">
        <v>3</v>
      </c>
      <c r="AJ633" t="s">
        <v>3</v>
      </c>
      <c r="AK633" t="s">
        <v>7</v>
      </c>
      <c r="AL633">
        <v>0</v>
      </c>
      <c r="AM633">
        <v>0</v>
      </c>
      <c r="AN633">
        <v>0</v>
      </c>
      <c r="AO633">
        <v>0</v>
      </c>
      <c r="AP633">
        <v>0</v>
      </c>
      <c r="AQ633" t="s">
        <v>9</v>
      </c>
      <c r="AR633" s="1">
        <v>1.74580468E-5</v>
      </c>
      <c r="AS633" s="1">
        <v>2.02085939E-27</v>
      </c>
      <c r="AT633">
        <v>30</v>
      </c>
      <c r="AU633" t="s">
        <v>10</v>
      </c>
      <c r="AV633">
        <v>3</v>
      </c>
      <c r="AW633">
        <v>0</v>
      </c>
      <c r="AX633">
        <v>0</v>
      </c>
      <c r="AY633">
        <v>1</v>
      </c>
      <c r="AZ633">
        <v>0</v>
      </c>
      <c r="BA633" t="s">
        <v>18</v>
      </c>
      <c r="BB633" t="s">
        <v>4</v>
      </c>
      <c r="BC633" t="s">
        <v>10</v>
      </c>
      <c r="BD633">
        <v>0</v>
      </c>
      <c r="BE633">
        <v>0</v>
      </c>
      <c r="BF633">
        <v>0</v>
      </c>
      <c r="BG633">
        <v>0</v>
      </c>
      <c r="BH633">
        <v>0</v>
      </c>
      <c r="BI633" t="s">
        <v>9</v>
      </c>
      <c r="BJ633">
        <v>0</v>
      </c>
      <c r="BK633">
        <v>-1.7459999999999999E-5</v>
      </c>
      <c r="BL633">
        <v>0</v>
      </c>
      <c r="BM633" s="2">
        <f t="shared" si="9"/>
        <v>1.2169899783582111E-8</v>
      </c>
    </row>
    <row r="634" spans="1:65" x14ac:dyDescent="0.35">
      <c r="A634">
        <v>0</v>
      </c>
      <c r="B634" t="s">
        <v>11</v>
      </c>
      <c r="C634" t="s">
        <v>4</v>
      </c>
      <c r="D634">
        <v>0</v>
      </c>
      <c r="E634" t="s">
        <v>3</v>
      </c>
      <c r="F634" t="s">
        <v>5</v>
      </c>
      <c r="G634">
        <v>4050.191174</v>
      </c>
      <c r="H634" t="s">
        <v>4</v>
      </c>
      <c r="I634">
        <v>990.16341899999998</v>
      </c>
      <c r="J634">
        <v>3060.0277550000001</v>
      </c>
      <c r="K634" t="s">
        <v>6</v>
      </c>
      <c r="L634" t="s">
        <v>7</v>
      </c>
      <c r="M634" t="s">
        <v>8</v>
      </c>
      <c r="N634" t="s">
        <v>6</v>
      </c>
      <c r="O634" t="s">
        <v>3</v>
      </c>
      <c r="P634" t="s">
        <v>3</v>
      </c>
      <c r="Q634" t="s">
        <v>3</v>
      </c>
      <c r="R634" t="s">
        <v>3</v>
      </c>
      <c r="S634" t="s">
        <v>11</v>
      </c>
      <c r="T634" t="s">
        <v>7</v>
      </c>
      <c r="U634">
        <v>0</v>
      </c>
      <c r="V634">
        <v>0</v>
      </c>
      <c r="W634">
        <v>0</v>
      </c>
      <c r="X634">
        <v>5</v>
      </c>
      <c r="Y634">
        <v>0</v>
      </c>
      <c r="Z634" t="s">
        <v>14</v>
      </c>
      <c r="AA634" t="s">
        <v>4</v>
      </c>
      <c r="AB634" t="s">
        <v>6</v>
      </c>
      <c r="AC634" t="s">
        <v>7</v>
      </c>
      <c r="AD634" t="s">
        <v>8</v>
      </c>
      <c r="AE634" t="s">
        <v>6</v>
      </c>
      <c r="AF634" t="s">
        <v>3</v>
      </c>
      <c r="AG634" t="s">
        <v>3</v>
      </c>
      <c r="AH634" t="s">
        <v>3</v>
      </c>
      <c r="AI634" t="s">
        <v>3</v>
      </c>
      <c r="AJ634" t="s">
        <v>3</v>
      </c>
      <c r="AK634" t="s">
        <v>7</v>
      </c>
      <c r="AL634">
        <v>0</v>
      </c>
      <c r="AM634">
        <v>0</v>
      </c>
      <c r="AN634">
        <v>0</v>
      </c>
      <c r="AO634">
        <v>0</v>
      </c>
      <c r="AP634">
        <v>0</v>
      </c>
      <c r="AQ634" t="s">
        <v>9</v>
      </c>
      <c r="AR634" s="1">
        <v>3.93096646E-6</v>
      </c>
      <c r="AS634" s="1">
        <v>1.2703987E-28</v>
      </c>
      <c r="AT634">
        <v>27</v>
      </c>
      <c r="AU634" t="s">
        <v>10</v>
      </c>
      <c r="AV634">
        <v>0</v>
      </c>
      <c r="AW634">
        <v>0</v>
      </c>
      <c r="AX634">
        <v>0</v>
      </c>
      <c r="AY634">
        <v>5</v>
      </c>
      <c r="AZ634">
        <v>0</v>
      </c>
      <c r="BA634" t="s">
        <v>14</v>
      </c>
      <c r="BB634" t="s">
        <v>4</v>
      </c>
      <c r="BC634" t="s">
        <v>10</v>
      </c>
      <c r="BD634">
        <v>0</v>
      </c>
      <c r="BE634">
        <v>0</v>
      </c>
      <c r="BF634">
        <v>0</v>
      </c>
      <c r="BG634">
        <v>0</v>
      </c>
      <c r="BH634">
        <v>0</v>
      </c>
      <c r="BI634" t="s">
        <v>9</v>
      </c>
      <c r="BJ634">
        <v>0</v>
      </c>
      <c r="BK634">
        <v>3.9299999999999996E-6</v>
      </c>
      <c r="BL634">
        <v>0</v>
      </c>
      <c r="BM634" s="2">
        <f t="shared" si="9"/>
        <v>7.6505198435369609E-10</v>
      </c>
    </row>
    <row r="635" spans="1:65" x14ac:dyDescent="0.35">
      <c r="A635">
        <v>0</v>
      </c>
      <c r="B635" t="s">
        <v>3</v>
      </c>
      <c r="C635" t="s">
        <v>4</v>
      </c>
      <c r="D635">
        <v>0</v>
      </c>
      <c r="E635" t="s">
        <v>3</v>
      </c>
      <c r="F635" t="s">
        <v>5</v>
      </c>
      <c r="G635">
        <v>2445.7394380000001</v>
      </c>
      <c r="H635" t="s">
        <v>4</v>
      </c>
      <c r="I635">
        <v>990.16341899999998</v>
      </c>
      <c r="J635">
        <v>1455.5760190000001</v>
      </c>
      <c r="K635" t="s">
        <v>6</v>
      </c>
      <c r="L635" t="s">
        <v>7</v>
      </c>
      <c r="M635" t="s">
        <v>8</v>
      </c>
      <c r="N635" t="s">
        <v>6</v>
      </c>
      <c r="O635" t="s">
        <v>3</v>
      </c>
      <c r="P635" t="s">
        <v>3</v>
      </c>
      <c r="Q635" t="s">
        <v>3</v>
      </c>
      <c r="R635" t="s">
        <v>3</v>
      </c>
      <c r="S635" t="s">
        <v>3</v>
      </c>
      <c r="T635" t="s">
        <v>7</v>
      </c>
      <c r="U635">
        <v>0</v>
      </c>
      <c r="V635">
        <v>1</v>
      </c>
      <c r="W635">
        <v>0</v>
      </c>
      <c r="X635">
        <v>3</v>
      </c>
      <c r="Y635">
        <v>0</v>
      </c>
      <c r="Z635" t="s">
        <v>8</v>
      </c>
      <c r="AA635" t="s">
        <v>4</v>
      </c>
      <c r="AB635" t="s">
        <v>6</v>
      </c>
      <c r="AC635" t="s">
        <v>7</v>
      </c>
      <c r="AD635" t="s">
        <v>8</v>
      </c>
      <c r="AE635" t="s">
        <v>6</v>
      </c>
      <c r="AF635" t="s">
        <v>3</v>
      </c>
      <c r="AG635" t="s">
        <v>3</v>
      </c>
      <c r="AH635" t="s">
        <v>3</v>
      </c>
      <c r="AI635" t="s">
        <v>3</v>
      </c>
      <c r="AJ635" t="s">
        <v>3</v>
      </c>
      <c r="AK635" t="s">
        <v>7</v>
      </c>
      <c r="AL635">
        <v>0</v>
      </c>
      <c r="AM635">
        <v>0</v>
      </c>
      <c r="AN635">
        <v>0</v>
      </c>
      <c r="AO635">
        <v>0</v>
      </c>
      <c r="AP635">
        <v>0</v>
      </c>
      <c r="AQ635" t="s">
        <v>9</v>
      </c>
      <c r="AR635" s="1">
        <v>4.2764544199999999E-6</v>
      </c>
      <c r="AS635" s="1">
        <v>7.1455119199999996E-29</v>
      </c>
      <c r="AT635">
        <v>26</v>
      </c>
      <c r="AU635" t="s">
        <v>10</v>
      </c>
      <c r="AV635">
        <v>0</v>
      </c>
      <c r="AW635">
        <v>1</v>
      </c>
      <c r="AX635">
        <v>0</v>
      </c>
      <c r="AY635">
        <v>3</v>
      </c>
      <c r="AZ635">
        <v>0</v>
      </c>
      <c r="BA635" t="s">
        <v>8</v>
      </c>
      <c r="BB635" t="s">
        <v>4</v>
      </c>
      <c r="BC635" t="s">
        <v>10</v>
      </c>
      <c r="BD635">
        <v>0</v>
      </c>
      <c r="BE635">
        <v>0</v>
      </c>
      <c r="BF635">
        <v>0</v>
      </c>
      <c r="BG635">
        <v>0</v>
      </c>
      <c r="BH635">
        <v>0</v>
      </c>
      <c r="BI635" t="s">
        <v>9</v>
      </c>
      <c r="BJ635">
        <v>-4.9999999999999998E-8</v>
      </c>
      <c r="BK635">
        <v>0</v>
      </c>
      <c r="BL635">
        <v>-4.2799999999999997E-6</v>
      </c>
      <c r="BM635" s="2">
        <f t="shared" si="9"/>
        <v>4.3031278870318331E-10</v>
      </c>
    </row>
    <row r="636" spans="1:65" x14ac:dyDescent="0.35">
      <c r="A636">
        <v>0</v>
      </c>
      <c r="B636" t="s">
        <v>3</v>
      </c>
      <c r="C636" t="s">
        <v>4</v>
      </c>
      <c r="D636">
        <v>0</v>
      </c>
      <c r="E636" t="s">
        <v>3</v>
      </c>
      <c r="F636" t="s">
        <v>5</v>
      </c>
      <c r="G636">
        <v>3271.8657440000002</v>
      </c>
      <c r="H636" t="s">
        <v>4</v>
      </c>
      <c r="I636">
        <v>990.16341899999998</v>
      </c>
      <c r="J636">
        <v>2281.7023250000002</v>
      </c>
      <c r="K636" t="s">
        <v>6</v>
      </c>
      <c r="L636" t="s">
        <v>7</v>
      </c>
      <c r="M636" t="s">
        <v>8</v>
      </c>
      <c r="N636" t="s">
        <v>6</v>
      </c>
      <c r="O636" t="s">
        <v>3</v>
      </c>
      <c r="P636" t="s">
        <v>3</v>
      </c>
      <c r="Q636" t="s">
        <v>3</v>
      </c>
      <c r="R636" t="s">
        <v>3</v>
      </c>
      <c r="S636" t="s">
        <v>3</v>
      </c>
      <c r="T636" t="s">
        <v>7</v>
      </c>
      <c r="U636">
        <v>0</v>
      </c>
      <c r="V636">
        <v>0</v>
      </c>
      <c r="W636">
        <v>0</v>
      </c>
      <c r="X636">
        <v>3</v>
      </c>
      <c r="Y636">
        <v>1</v>
      </c>
      <c r="Z636" t="s">
        <v>15</v>
      </c>
      <c r="AA636" t="s">
        <v>4</v>
      </c>
      <c r="AB636" t="s">
        <v>6</v>
      </c>
      <c r="AC636" t="s">
        <v>7</v>
      </c>
      <c r="AD636" t="s">
        <v>8</v>
      </c>
      <c r="AE636" t="s">
        <v>6</v>
      </c>
      <c r="AF636" t="s">
        <v>3</v>
      </c>
      <c r="AG636" t="s">
        <v>3</v>
      </c>
      <c r="AH636" t="s">
        <v>3</v>
      </c>
      <c r="AI636" t="s">
        <v>3</v>
      </c>
      <c r="AJ636" t="s">
        <v>3</v>
      </c>
      <c r="AK636" t="s">
        <v>7</v>
      </c>
      <c r="AL636">
        <v>0</v>
      </c>
      <c r="AM636">
        <v>0</v>
      </c>
      <c r="AN636">
        <v>0</v>
      </c>
      <c r="AO636">
        <v>0</v>
      </c>
      <c r="AP636">
        <v>0</v>
      </c>
      <c r="AQ636" t="s">
        <v>9</v>
      </c>
      <c r="AR636" s="1">
        <v>5.6709852199999997E-6</v>
      </c>
      <c r="AS636" s="1">
        <v>1.9714467100000001E-28</v>
      </c>
      <c r="AT636">
        <v>30</v>
      </c>
      <c r="AU636" t="s">
        <v>10</v>
      </c>
      <c r="AV636">
        <v>0</v>
      </c>
      <c r="AW636">
        <v>0</v>
      </c>
      <c r="AX636">
        <v>0</v>
      </c>
      <c r="AY636">
        <v>3</v>
      </c>
      <c r="AZ636">
        <v>1</v>
      </c>
      <c r="BA636" t="s">
        <v>15</v>
      </c>
      <c r="BB636" t="s">
        <v>4</v>
      </c>
      <c r="BC636" t="s">
        <v>10</v>
      </c>
      <c r="BD636">
        <v>0</v>
      </c>
      <c r="BE636">
        <v>0</v>
      </c>
      <c r="BF636">
        <v>0</v>
      </c>
      <c r="BG636">
        <v>0</v>
      </c>
      <c r="BH636">
        <v>0</v>
      </c>
      <c r="BI636" t="s">
        <v>9</v>
      </c>
      <c r="BJ636">
        <v>1.2300000000000001E-6</v>
      </c>
      <c r="BK636">
        <v>0</v>
      </c>
      <c r="BL636">
        <v>-5.5400000000000003E-6</v>
      </c>
      <c r="BM636" s="2">
        <f t="shared" si="9"/>
        <v>1.1872329667316769E-9</v>
      </c>
    </row>
    <row r="637" spans="1:65" x14ac:dyDescent="0.35">
      <c r="A637">
        <v>0</v>
      </c>
      <c r="B637" t="s">
        <v>3</v>
      </c>
      <c r="C637" t="s">
        <v>4</v>
      </c>
      <c r="D637">
        <v>0</v>
      </c>
      <c r="E637" t="s">
        <v>3</v>
      </c>
      <c r="F637" t="s">
        <v>5</v>
      </c>
      <c r="G637">
        <v>3847.6669750000001</v>
      </c>
      <c r="H637" t="s">
        <v>4</v>
      </c>
      <c r="I637">
        <v>990.16341899999998</v>
      </c>
      <c r="J637">
        <v>2857.5035560000001</v>
      </c>
      <c r="K637" t="s">
        <v>6</v>
      </c>
      <c r="L637" t="s">
        <v>7</v>
      </c>
      <c r="M637" t="s">
        <v>8</v>
      </c>
      <c r="N637" t="s">
        <v>6</v>
      </c>
      <c r="O637" t="s">
        <v>3</v>
      </c>
      <c r="P637" t="s">
        <v>3</v>
      </c>
      <c r="Q637" t="s">
        <v>3</v>
      </c>
      <c r="R637" t="s">
        <v>3</v>
      </c>
      <c r="S637" t="s">
        <v>3</v>
      </c>
      <c r="T637" t="s">
        <v>7</v>
      </c>
      <c r="U637">
        <v>3</v>
      </c>
      <c r="V637">
        <v>1</v>
      </c>
      <c r="W637">
        <v>0</v>
      </c>
      <c r="X637">
        <v>0</v>
      </c>
      <c r="Y637">
        <v>0</v>
      </c>
      <c r="Z637" t="s">
        <v>8</v>
      </c>
      <c r="AA637" t="s">
        <v>4</v>
      </c>
      <c r="AB637" t="s">
        <v>6</v>
      </c>
      <c r="AC637" t="s">
        <v>7</v>
      </c>
      <c r="AD637" t="s">
        <v>8</v>
      </c>
      <c r="AE637" t="s">
        <v>6</v>
      </c>
      <c r="AF637" t="s">
        <v>3</v>
      </c>
      <c r="AG637" t="s">
        <v>3</v>
      </c>
      <c r="AH637" t="s">
        <v>3</v>
      </c>
      <c r="AI637" t="s">
        <v>3</v>
      </c>
      <c r="AJ637" t="s">
        <v>3</v>
      </c>
      <c r="AK637" t="s">
        <v>7</v>
      </c>
      <c r="AL637">
        <v>0</v>
      </c>
      <c r="AM637">
        <v>0</v>
      </c>
      <c r="AN637">
        <v>0</v>
      </c>
      <c r="AO637">
        <v>0</v>
      </c>
      <c r="AP637">
        <v>0</v>
      </c>
      <c r="AQ637" t="s">
        <v>9</v>
      </c>
      <c r="AR637" s="1">
        <v>1.7092588899999999E-4</v>
      </c>
      <c r="AS637" s="1">
        <v>2.24294279E-25</v>
      </c>
      <c r="AT637">
        <v>26</v>
      </c>
      <c r="AU637" t="s">
        <v>10</v>
      </c>
      <c r="AV637">
        <v>3</v>
      </c>
      <c r="AW637">
        <v>1</v>
      </c>
      <c r="AX637">
        <v>0</v>
      </c>
      <c r="AY637">
        <v>0</v>
      </c>
      <c r="AZ637">
        <v>0</v>
      </c>
      <c r="BA637" t="s">
        <v>8</v>
      </c>
      <c r="BB637" t="s">
        <v>4</v>
      </c>
      <c r="BC637" t="s">
        <v>10</v>
      </c>
      <c r="BD637">
        <v>0</v>
      </c>
      <c r="BE637">
        <v>0</v>
      </c>
      <c r="BF637">
        <v>0</v>
      </c>
      <c r="BG637">
        <v>0</v>
      </c>
      <c r="BH637">
        <v>0</v>
      </c>
      <c r="BI637" t="s">
        <v>9</v>
      </c>
      <c r="BJ637">
        <v>-1.7090000000000001E-4</v>
      </c>
      <c r="BK637">
        <v>0</v>
      </c>
      <c r="BL637">
        <v>-3.1200000000000002E-6</v>
      </c>
      <c r="BM637" s="2">
        <f t="shared" si="9"/>
        <v>1.3507317287724832E-6</v>
      </c>
    </row>
    <row r="638" spans="1:65" x14ac:dyDescent="0.35">
      <c r="A638">
        <v>0</v>
      </c>
      <c r="B638" t="s">
        <v>11</v>
      </c>
      <c r="C638" t="s">
        <v>4</v>
      </c>
      <c r="D638">
        <v>0</v>
      </c>
      <c r="E638" t="s">
        <v>3</v>
      </c>
      <c r="F638" t="s">
        <v>5</v>
      </c>
      <c r="G638">
        <v>3950.534701</v>
      </c>
      <c r="H638" t="s">
        <v>4</v>
      </c>
      <c r="I638">
        <v>990.16341899999998</v>
      </c>
      <c r="J638">
        <v>2960.3712820000001</v>
      </c>
      <c r="K638" t="s">
        <v>6</v>
      </c>
      <c r="L638" t="s">
        <v>7</v>
      </c>
      <c r="M638" t="s">
        <v>8</v>
      </c>
      <c r="N638" t="s">
        <v>6</v>
      </c>
      <c r="O638" t="s">
        <v>3</v>
      </c>
      <c r="P638" t="s">
        <v>3</v>
      </c>
      <c r="Q638" t="s">
        <v>3</v>
      </c>
      <c r="R638" t="s">
        <v>3</v>
      </c>
      <c r="S638" t="s">
        <v>11</v>
      </c>
      <c r="T638" t="s">
        <v>7</v>
      </c>
      <c r="U638">
        <v>2</v>
      </c>
      <c r="V638">
        <v>0</v>
      </c>
      <c r="W638">
        <v>0</v>
      </c>
      <c r="X638">
        <v>2</v>
      </c>
      <c r="Y638">
        <v>0</v>
      </c>
      <c r="Z638" t="s">
        <v>14</v>
      </c>
      <c r="AA638" t="s">
        <v>4</v>
      </c>
      <c r="AB638" t="s">
        <v>6</v>
      </c>
      <c r="AC638" t="s">
        <v>7</v>
      </c>
      <c r="AD638" t="s">
        <v>8</v>
      </c>
      <c r="AE638" t="s">
        <v>6</v>
      </c>
      <c r="AF638" t="s">
        <v>3</v>
      </c>
      <c r="AG638" t="s">
        <v>3</v>
      </c>
      <c r="AH638" t="s">
        <v>3</v>
      </c>
      <c r="AI638" t="s">
        <v>3</v>
      </c>
      <c r="AJ638" t="s">
        <v>3</v>
      </c>
      <c r="AK638" t="s">
        <v>7</v>
      </c>
      <c r="AL638">
        <v>0</v>
      </c>
      <c r="AM638">
        <v>0</v>
      </c>
      <c r="AN638">
        <v>0</v>
      </c>
      <c r="AO638">
        <v>0</v>
      </c>
      <c r="AP638">
        <v>0</v>
      </c>
      <c r="AQ638" t="s">
        <v>9</v>
      </c>
      <c r="AR638" s="1">
        <v>1.33488941E-5</v>
      </c>
      <c r="AS638" s="1">
        <v>1.41727019E-27</v>
      </c>
      <c r="AT638">
        <v>26</v>
      </c>
      <c r="AU638" t="s">
        <v>10</v>
      </c>
      <c r="AV638">
        <v>2</v>
      </c>
      <c r="AW638">
        <v>0</v>
      </c>
      <c r="AX638">
        <v>0</v>
      </c>
      <c r="AY638">
        <v>2</v>
      </c>
      <c r="AZ638">
        <v>0</v>
      </c>
      <c r="BA638" t="s">
        <v>14</v>
      </c>
      <c r="BB638" t="s">
        <v>4</v>
      </c>
      <c r="BC638" t="s">
        <v>10</v>
      </c>
      <c r="BD638">
        <v>0</v>
      </c>
      <c r="BE638">
        <v>0</v>
      </c>
      <c r="BF638">
        <v>0</v>
      </c>
      <c r="BG638">
        <v>0</v>
      </c>
      <c r="BH638">
        <v>0</v>
      </c>
      <c r="BI638" t="s">
        <v>9</v>
      </c>
      <c r="BJ638">
        <v>0</v>
      </c>
      <c r="BK638">
        <v>-1.3349999999999999E-5</v>
      </c>
      <c r="BL638">
        <v>0</v>
      </c>
      <c r="BM638" s="2">
        <f t="shared" si="9"/>
        <v>8.5350006358227507E-9</v>
      </c>
    </row>
    <row r="639" spans="1:65" x14ac:dyDescent="0.35">
      <c r="A639">
        <v>0</v>
      </c>
      <c r="B639" t="s">
        <v>3</v>
      </c>
      <c r="C639" t="s">
        <v>4</v>
      </c>
      <c r="D639">
        <v>0</v>
      </c>
      <c r="E639" t="s">
        <v>3</v>
      </c>
      <c r="F639" t="s">
        <v>5</v>
      </c>
      <c r="G639">
        <v>1915.6970200000001</v>
      </c>
      <c r="H639" t="s">
        <v>4</v>
      </c>
      <c r="I639">
        <v>990.16341899999998</v>
      </c>
      <c r="J639">
        <v>925.53360099999998</v>
      </c>
      <c r="K639" t="s">
        <v>6</v>
      </c>
      <c r="L639" t="s">
        <v>7</v>
      </c>
      <c r="M639" t="s">
        <v>8</v>
      </c>
      <c r="N639" t="s">
        <v>6</v>
      </c>
      <c r="O639" t="s">
        <v>3</v>
      </c>
      <c r="P639" t="s">
        <v>3</v>
      </c>
      <c r="Q639" t="s">
        <v>3</v>
      </c>
      <c r="R639" t="s">
        <v>3</v>
      </c>
      <c r="S639" t="s">
        <v>3</v>
      </c>
      <c r="T639" t="s">
        <v>7</v>
      </c>
      <c r="U639">
        <v>1</v>
      </c>
      <c r="V639">
        <v>0</v>
      </c>
      <c r="W639">
        <v>0</v>
      </c>
      <c r="X639">
        <v>0</v>
      </c>
      <c r="Y639">
        <v>0</v>
      </c>
      <c r="Z639" t="s">
        <v>15</v>
      </c>
      <c r="AA639" t="s">
        <v>4</v>
      </c>
      <c r="AB639" t="s">
        <v>6</v>
      </c>
      <c r="AC639" t="s">
        <v>7</v>
      </c>
      <c r="AD639" t="s">
        <v>8</v>
      </c>
      <c r="AE639" t="s">
        <v>6</v>
      </c>
      <c r="AF639" t="s">
        <v>3</v>
      </c>
      <c r="AG639" t="s">
        <v>3</v>
      </c>
      <c r="AH639" t="s">
        <v>3</v>
      </c>
      <c r="AI639" t="s">
        <v>3</v>
      </c>
      <c r="AJ639" t="s">
        <v>3</v>
      </c>
      <c r="AK639" t="s">
        <v>7</v>
      </c>
      <c r="AL639">
        <v>0</v>
      </c>
      <c r="AM639">
        <v>0</v>
      </c>
      <c r="AN639">
        <v>0</v>
      </c>
      <c r="AO639">
        <v>0</v>
      </c>
      <c r="AP639">
        <v>0</v>
      </c>
      <c r="AQ639" t="s">
        <v>9</v>
      </c>
      <c r="AR639" s="1">
        <v>9.5892333199999995E-4</v>
      </c>
      <c r="AS639" s="1">
        <v>2.2603132900000001E-24</v>
      </c>
      <c r="AT639">
        <v>31</v>
      </c>
      <c r="AU639" t="s">
        <v>10</v>
      </c>
      <c r="AV639">
        <v>1</v>
      </c>
      <c r="AW639">
        <v>0</v>
      </c>
      <c r="AX639">
        <v>0</v>
      </c>
      <c r="AY639">
        <v>0</v>
      </c>
      <c r="AZ639">
        <v>0</v>
      </c>
      <c r="BA639" t="s">
        <v>15</v>
      </c>
      <c r="BB639" t="s">
        <v>4</v>
      </c>
      <c r="BC639" t="s">
        <v>10</v>
      </c>
      <c r="BD639">
        <v>0</v>
      </c>
      <c r="BE639">
        <v>0</v>
      </c>
      <c r="BF639">
        <v>0</v>
      </c>
      <c r="BG639">
        <v>0</v>
      </c>
      <c r="BH639">
        <v>0</v>
      </c>
      <c r="BI639" t="s">
        <v>9</v>
      </c>
      <c r="BJ639">
        <v>-3.0899999999999999E-5</v>
      </c>
      <c r="BK639">
        <v>0</v>
      </c>
      <c r="BL639">
        <v>-9.5843000000000002E-4</v>
      </c>
      <c r="BM639" s="2">
        <f t="shared" si="9"/>
        <v>1.3611924884491233E-5</v>
      </c>
    </row>
    <row r="640" spans="1:65" x14ac:dyDescent="0.35">
      <c r="A640">
        <v>0</v>
      </c>
      <c r="B640" t="s">
        <v>3</v>
      </c>
      <c r="C640" t="s">
        <v>4</v>
      </c>
      <c r="D640">
        <v>0</v>
      </c>
      <c r="E640" t="s">
        <v>3</v>
      </c>
      <c r="F640" t="s">
        <v>5</v>
      </c>
      <c r="G640">
        <v>4808.5255230000002</v>
      </c>
      <c r="H640" t="s">
        <v>4</v>
      </c>
      <c r="I640">
        <v>990.16341899999998</v>
      </c>
      <c r="J640">
        <v>3818.3621039999998</v>
      </c>
      <c r="K640" t="s">
        <v>6</v>
      </c>
      <c r="L640" t="s">
        <v>7</v>
      </c>
      <c r="M640" t="s">
        <v>8</v>
      </c>
      <c r="N640" t="s">
        <v>6</v>
      </c>
      <c r="O640" t="s">
        <v>3</v>
      </c>
      <c r="P640" t="s">
        <v>3</v>
      </c>
      <c r="Q640" t="s">
        <v>3</v>
      </c>
      <c r="R640" t="s">
        <v>3</v>
      </c>
      <c r="S640" t="s">
        <v>3</v>
      </c>
      <c r="T640" t="s">
        <v>7</v>
      </c>
      <c r="U640">
        <v>0</v>
      </c>
      <c r="V640">
        <v>0</v>
      </c>
      <c r="W640">
        <v>0</v>
      </c>
      <c r="X640">
        <v>7</v>
      </c>
      <c r="Y640">
        <v>1</v>
      </c>
      <c r="Z640" t="s">
        <v>9</v>
      </c>
      <c r="AA640" t="s">
        <v>4</v>
      </c>
      <c r="AB640" t="s">
        <v>6</v>
      </c>
      <c r="AC640" t="s">
        <v>7</v>
      </c>
      <c r="AD640" t="s">
        <v>8</v>
      </c>
      <c r="AE640" t="s">
        <v>6</v>
      </c>
      <c r="AF640" t="s">
        <v>3</v>
      </c>
      <c r="AG640" t="s">
        <v>3</v>
      </c>
      <c r="AH640" t="s">
        <v>3</v>
      </c>
      <c r="AI640" t="s">
        <v>3</v>
      </c>
      <c r="AJ640" t="s">
        <v>3</v>
      </c>
      <c r="AK640" t="s">
        <v>7</v>
      </c>
      <c r="AL640">
        <v>0</v>
      </c>
      <c r="AM640">
        <v>0</v>
      </c>
      <c r="AN640">
        <v>0</v>
      </c>
      <c r="AO640">
        <v>0</v>
      </c>
      <c r="AP640">
        <v>0</v>
      </c>
      <c r="AQ640" t="s">
        <v>9</v>
      </c>
      <c r="AR640" s="1">
        <v>3.1717858599999998E-5</v>
      </c>
      <c r="AS640" s="1">
        <v>1.03205059E-26</v>
      </c>
      <c r="AT640">
        <v>28</v>
      </c>
      <c r="AU640" t="s">
        <v>10</v>
      </c>
      <c r="AV640">
        <v>0</v>
      </c>
      <c r="AW640">
        <v>0</v>
      </c>
      <c r="AX640">
        <v>0</v>
      </c>
      <c r="AY640">
        <v>7</v>
      </c>
      <c r="AZ640">
        <v>1</v>
      </c>
      <c r="BA640" t="s">
        <v>9</v>
      </c>
      <c r="BB640" t="s">
        <v>4</v>
      </c>
      <c r="BC640" t="s">
        <v>10</v>
      </c>
      <c r="BD640">
        <v>0</v>
      </c>
      <c r="BE640">
        <v>0</v>
      </c>
      <c r="BF640">
        <v>0</v>
      </c>
      <c r="BG640">
        <v>0</v>
      </c>
      <c r="BH640">
        <v>0</v>
      </c>
      <c r="BI640" t="s">
        <v>9</v>
      </c>
      <c r="BJ640">
        <v>2.23E-5</v>
      </c>
      <c r="BK640">
        <v>0</v>
      </c>
      <c r="BL640">
        <v>-2.2560000000000001E-5</v>
      </c>
      <c r="BM640" s="2">
        <f t="shared" si="9"/>
        <v>6.215153965703072E-8</v>
      </c>
    </row>
    <row r="641" spans="1:65" x14ac:dyDescent="0.35">
      <c r="A641">
        <v>0</v>
      </c>
      <c r="B641" t="s">
        <v>3</v>
      </c>
      <c r="C641" t="s">
        <v>4</v>
      </c>
      <c r="D641">
        <v>0</v>
      </c>
      <c r="E641" t="s">
        <v>3</v>
      </c>
      <c r="F641" t="s">
        <v>5</v>
      </c>
      <c r="G641">
        <v>4546.0275140000003</v>
      </c>
      <c r="H641" t="s">
        <v>4</v>
      </c>
      <c r="I641">
        <v>990.16341899999998</v>
      </c>
      <c r="J641">
        <v>3555.8640949999999</v>
      </c>
      <c r="K641" t="s">
        <v>6</v>
      </c>
      <c r="L641" t="s">
        <v>7</v>
      </c>
      <c r="M641" t="s">
        <v>8</v>
      </c>
      <c r="N641" t="s">
        <v>6</v>
      </c>
      <c r="O641" t="s">
        <v>3</v>
      </c>
      <c r="P641" t="s">
        <v>3</v>
      </c>
      <c r="Q641" t="s">
        <v>3</v>
      </c>
      <c r="R641" t="s">
        <v>3</v>
      </c>
      <c r="S641" t="s">
        <v>3</v>
      </c>
      <c r="T641" t="s">
        <v>7</v>
      </c>
      <c r="U641">
        <v>4</v>
      </c>
      <c r="V641">
        <v>0</v>
      </c>
      <c r="W641">
        <v>0</v>
      </c>
      <c r="X641">
        <v>3</v>
      </c>
      <c r="Y641">
        <v>0</v>
      </c>
      <c r="Z641" t="s">
        <v>8</v>
      </c>
      <c r="AA641" t="s">
        <v>4</v>
      </c>
      <c r="AB641" t="s">
        <v>6</v>
      </c>
      <c r="AC641" t="s">
        <v>7</v>
      </c>
      <c r="AD641" t="s">
        <v>8</v>
      </c>
      <c r="AE641" t="s">
        <v>6</v>
      </c>
      <c r="AF641" t="s">
        <v>3</v>
      </c>
      <c r="AG641" t="s">
        <v>3</v>
      </c>
      <c r="AH641" t="s">
        <v>3</v>
      </c>
      <c r="AI641" t="s">
        <v>3</v>
      </c>
      <c r="AJ641" t="s">
        <v>3</v>
      </c>
      <c r="AK641" t="s">
        <v>7</v>
      </c>
      <c r="AL641">
        <v>0</v>
      </c>
      <c r="AM641">
        <v>0</v>
      </c>
      <c r="AN641">
        <v>0</v>
      </c>
      <c r="AO641">
        <v>0</v>
      </c>
      <c r="AP641">
        <v>0</v>
      </c>
      <c r="AQ641" t="s">
        <v>9</v>
      </c>
      <c r="AR641" s="1">
        <v>3.3969349400000001E-5</v>
      </c>
      <c r="AS641" s="1">
        <v>1.10239126E-26</v>
      </c>
      <c r="AT641">
        <v>26</v>
      </c>
      <c r="AU641" t="s">
        <v>10</v>
      </c>
      <c r="AV641">
        <v>4</v>
      </c>
      <c r="AW641">
        <v>0</v>
      </c>
      <c r="AX641">
        <v>0</v>
      </c>
      <c r="AY641">
        <v>3</v>
      </c>
      <c r="AZ641">
        <v>0</v>
      </c>
      <c r="BA641" t="s">
        <v>8</v>
      </c>
      <c r="BB641" t="s">
        <v>4</v>
      </c>
      <c r="BC641" t="s">
        <v>10</v>
      </c>
      <c r="BD641">
        <v>0</v>
      </c>
      <c r="BE641">
        <v>0</v>
      </c>
      <c r="BF641">
        <v>0</v>
      </c>
      <c r="BG641">
        <v>0</v>
      </c>
      <c r="BH641">
        <v>0</v>
      </c>
      <c r="BI641" t="s">
        <v>9</v>
      </c>
      <c r="BJ641">
        <v>2.8670000000000002E-5</v>
      </c>
      <c r="BK641">
        <v>0</v>
      </c>
      <c r="BL641">
        <v>-1.823E-5</v>
      </c>
      <c r="BM641" s="2">
        <f t="shared" si="9"/>
        <v>6.6387553844094079E-8</v>
      </c>
    </row>
    <row r="642" spans="1:65" x14ac:dyDescent="0.35">
      <c r="A642">
        <v>0</v>
      </c>
      <c r="B642" t="s">
        <v>11</v>
      </c>
      <c r="C642" t="s">
        <v>4</v>
      </c>
      <c r="D642">
        <v>0</v>
      </c>
      <c r="E642" t="s">
        <v>3</v>
      </c>
      <c r="F642" t="s">
        <v>5</v>
      </c>
      <c r="G642">
        <v>2762.9418879999998</v>
      </c>
      <c r="H642" t="s">
        <v>4</v>
      </c>
      <c r="I642">
        <v>990.16341899999998</v>
      </c>
      <c r="J642">
        <v>1772.7784690000001</v>
      </c>
      <c r="K642" t="s">
        <v>6</v>
      </c>
      <c r="L642" t="s">
        <v>7</v>
      </c>
      <c r="M642" t="s">
        <v>8</v>
      </c>
      <c r="N642" t="s">
        <v>6</v>
      </c>
      <c r="O642" t="s">
        <v>3</v>
      </c>
      <c r="P642" t="s">
        <v>3</v>
      </c>
      <c r="Q642" t="s">
        <v>3</v>
      </c>
      <c r="R642" t="s">
        <v>3</v>
      </c>
      <c r="S642" t="s">
        <v>11</v>
      </c>
      <c r="T642" t="s">
        <v>7</v>
      </c>
      <c r="U642">
        <v>0</v>
      </c>
      <c r="V642">
        <v>0</v>
      </c>
      <c r="W642">
        <v>0</v>
      </c>
      <c r="X642">
        <v>3</v>
      </c>
      <c r="Y642">
        <v>0</v>
      </c>
      <c r="Z642" t="s">
        <v>13</v>
      </c>
      <c r="AA642" t="s">
        <v>4</v>
      </c>
      <c r="AB642" t="s">
        <v>6</v>
      </c>
      <c r="AC642" t="s">
        <v>7</v>
      </c>
      <c r="AD642" t="s">
        <v>8</v>
      </c>
      <c r="AE642" t="s">
        <v>6</v>
      </c>
      <c r="AF642" t="s">
        <v>3</v>
      </c>
      <c r="AG642" t="s">
        <v>3</v>
      </c>
      <c r="AH642" t="s">
        <v>3</v>
      </c>
      <c r="AI642" t="s">
        <v>3</v>
      </c>
      <c r="AJ642" t="s">
        <v>3</v>
      </c>
      <c r="AK642" t="s">
        <v>7</v>
      </c>
      <c r="AL642">
        <v>0</v>
      </c>
      <c r="AM642">
        <v>0</v>
      </c>
      <c r="AN642">
        <v>0</v>
      </c>
      <c r="AO642">
        <v>0</v>
      </c>
      <c r="AP642">
        <v>0</v>
      </c>
      <c r="AQ642" t="s">
        <v>9</v>
      </c>
      <c r="AR642" s="1">
        <v>1.26712135E-5</v>
      </c>
      <c r="AS642" s="1">
        <v>7.6458143599999996E-28</v>
      </c>
      <c r="AT642">
        <v>26</v>
      </c>
      <c r="AU642" t="s">
        <v>10</v>
      </c>
      <c r="AV642">
        <v>0</v>
      </c>
      <c r="AW642">
        <v>0</v>
      </c>
      <c r="AX642">
        <v>0</v>
      </c>
      <c r="AY642">
        <v>3</v>
      </c>
      <c r="AZ642">
        <v>0</v>
      </c>
      <c r="BA642" t="s">
        <v>13</v>
      </c>
      <c r="BB642" t="s">
        <v>4</v>
      </c>
      <c r="BC642" t="s">
        <v>10</v>
      </c>
      <c r="BD642">
        <v>0</v>
      </c>
      <c r="BE642">
        <v>0</v>
      </c>
      <c r="BF642">
        <v>0</v>
      </c>
      <c r="BG642">
        <v>0</v>
      </c>
      <c r="BH642">
        <v>0</v>
      </c>
      <c r="BI642" t="s">
        <v>9</v>
      </c>
      <c r="BJ642">
        <v>0</v>
      </c>
      <c r="BK642">
        <v>-1.2670000000000001E-5</v>
      </c>
      <c r="BL642">
        <v>0</v>
      </c>
      <c r="BM642" s="2">
        <f t="shared" ref="BM642:BM705" si="10">AS642*10^(-5)*6.0221408*10^(23)</f>
        <v>4.6044170606581883E-9</v>
      </c>
    </row>
    <row r="643" spans="1:65" x14ac:dyDescent="0.35">
      <c r="A643">
        <v>0</v>
      </c>
      <c r="B643" t="s">
        <v>3</v>
      </c>
      <c r="C643" t="s">
        <v>4</v>
      </c>
      <c r="D643">
        <v>0</v>
      </c>
      <c r="E643" t="s">
        <v>3</v>
      </c>
      <c r="F643" t="s">
        <v>5</v>
      </c>
      <c r="G643">
        <v>3066.1908589999998</v>
      </c>
      <c r="H643" t="s">
        <v>4</v>
      </c>
      <c r="I643">
        <v>990.16341899999998</v>
      </c>
      <c r="J643">
        <v>2076.0274399999998</v>
      </c>
      <c r="K643" t="s">
        <v>6</v>
      </c>
      <c r="L643" t="s">
        <v>7</v>
      </c>
      <c r="M643" t="s">
        <v>8</v>
      </c>
      <c r="N643" t="s">
        <v>6</v>
      </c>
      <c r="O643" t="s">
        <v>3</v>
      </c>
      <c r="P643" t="s">
        <v>3</v>
      </c>
      <c r="Q643" t="s">
        <v>3</v>
      </c>
      <c r="R643" t="s">
        <v>3</v>
      </c>
      <c r="S643" t="s">
        <v>3</v>
      </c>
      <c r="T643" t="s">
        <v>7</v>
      </c>
      <c r="U643">
        <v>0</v>
      </c>
      <c r="V643">
        <v>0</v>
      </c>
      <c r="W643">
        <v>0</v>
      </c>
      <c r="X643">
        <v>0</v>
      </c>
      <c r="Y643">
        <v>0</v>
      </c>
      <c r="Z643" t="s">
        <v>27</v>
      </c>
      <c r="AA643" t="s">
        <v>4</v>
      </c>
      <c r="AB643" t="s">
        <v>6</v>
      </c>
      <c r="AC643" t="s">
        <v>7</v>
      </c>
      <c r="AD643" t="s">
        <v>8</v>
      </c>
      <c r="AE643" t="s">
        <v>6</v>
      </c>
      <c r="AF643" t="s">
        <v>3</v>
      </c>
      <c r="AG643" t="s">
        <v>3</v>
      </c>
      <c r="AH643" t="s">
        <v>3</v>
      </c>
      <c r="AI643" t="s">
        <v>3</v>
      </c>
      <c r="AJ643" t="s">
        <v>3</v>
      </c>
      <c r="AK643" t="s">
        <v>7</v>
      </c>
      <c r="AL643">
        <v>0</v>
      </c>
      <c r="AM643">
        <v>0</v>
      </c>
      <c r="AN643">
        <v>0</v>
      </c>
      <c r="AO643">
        <v>0</v>
      </c>
      <c r="AP643">
        <v>0</v>
      </c>
      <c r="AQ643" t="s">
        <v>9</v>
      </c>
      <c r="AR643" s="1">
        <v>2.9614074600000002E-4</v>
      </c>
      <c r="AS643" s="1">
        <v>4.8913227300000004E-25</v>
      </c>
      <c r="AT643">
        <v>28</v>
      </c>
      <c r="AU643" t="s">
        <v>10</v>
      </c>
      <c r="AV643">
        <v>0</v>
      </c>
      <c r="AW643">
        <v>0</v>
      </c>
      <c r="AX643">
        <v>0</v>
      </c>
      <c r="AY643">
        <v>0</v>
      </c>
      <c r="AZ643">
        <v>0</v>
      </c>
      <c r="BA643" t="s">
        <v>27</v>
      </c>
      <c r="BB643" t="s">
        <v>4</v>
      </c>
      <c r="BC643" t="s">
        <v>10</v>
      </c>
      <c r="BD643">
        <v>0</v>
      </c>
      <c r="BE643">
        <v>0</v>
      </c>
      <c r="BF643">
        <v>0</v>
      </c>
      <c r="BG643">
        <v>0</v>
      </c>
      <c r="BH643">
        <v>0</v>
      </c>
      <c r="BI643" t="s">
        <v>9</v>
      </c>
      <c r="BJ643">
        <v>-1.9112E-4</v>
      </c>
      <c r="BK643">
        <v>0</v>
      </c>
      <c r="BL643">
        <v>-2.2620999999999999E-4</v>
      </c>
      <c r="BM643" s="2">
        <f t="shared" si="10"/>
        <v>2.9456234178300384E-6</v>
      </c>
    </row>
    <row r="644" spans="1:65" x14ac:dyDescent="0.35">
      <c r="A644">
        <v>0</v>
      </c>
      <c r="B644" t="s">
        <v>11</v>
      </c>
      <c r="C644" t="s">
        <v>4</v>
      </c>
      <c r="D644">
        <v>0</v>
      </c>
      <c r="E644" t="s">
        <v>3</v>
      </c>
      <c r="F644" t="s">
        <v>5</v>
      </c>
      <c r="G644">
        <v>4690.2683800000004</v>
      </c>
      <c r="H644" t="s">
        <v>4</v>
      </c>
      <c r="I644">
        <v>990.16341899999998</v>
      </c>
      <c r="J644">
        <v>3700.104961</v>
      </c>
      <c r="K644" t="s">
        <v>6</v>
      </c>
      <c r="L644" t="s">
        <v>7</v>
      </c>
      <c r="M644" t="s">
        <v>8</v>
      </c>
      <c r="N644" t="s">
        <v>6</v>
      </c>
      <c r="O644" t="s">
        <v>3</v>
      </c>
      <c r="P644" t="s">
        <v>3</v>
      </c>
      <c r="Q644" t="s">
        <v>3</v>
      </c>
      <c r="R644" t="s">
        <v>3</v>
      </c>
      <c r="S644" t="s">
        <v>11</v>
      </c>
      <c r="T644" t="s">
        <v>7</v>
      </c>
      <c r="U644">
        <v>4</v>
      </c>
      <c r="V644">
        <v>0</v>
      </c>
      <c r="W644">
        <v>0</v>
      </c>
      <c r="X644">
        <v>2</v>
      </c>
      <c r="Y644">
        <v>0</v>
      </c>
      <c r="Z644" t="s">
        <v>18</v>
      </c>
      <c r="AA644" t="s">
        <v>4</v>
      </c>
      <c r="AB644" t="s">
        <v>6</v>
      </c>
      <c r="AC644" t="s">
        <v>7</v>
      </c>
      <c r="AD644" t="s">
        <v>8</v>
      </c>
      <c r="AE644" t="s">
        <v>6</v>
      </c>
      <c r="AF644" t="s">
        <v>3</v>
      </c>
      <c r="AG644" t="s">
        <v>3</v>
      </c>
      <c r="AH644" t="s">
        <v>3</v>
      </c>
      <c r="AI644" t="s">
        <v>3</v>
      </c>
      <c r="AJ644" t="s">
        <v>3</v>
      </c>
      <c r="AK644" t="s">
        <v>7</v>
      </c>
      <c r="AL644">
        <v>0</v>
      </c>
      <c r="AM644">
        <v>0</v>
      </c>
      <c r="AN644">
        <v>0</v>
      </c>
      <c r="AO644">
        <v>0</v>
      </c>
      <c r="AP644">
        <v>0</v>
      </c>
      <c r="AQ644" t="s">
        <v>9</v>
      </c>
      <c r="AR644" s="1">
        <v>5.0991398799999998E-6</v>
      </c>
      <c r="AS644" s="1">
        <v>2.5847827800000002E-28</v>
      </c>
      <c r="AT644">
        <v>27</v>
      </c>
      <c r="AU644" t="s">
        <v>10</v>
      </c>
      <c r="AV644">
        <v>4</v>
      </c>
      <c r="AW644">
        <v>0</v>
      </c>
      <c r="AX644">
        <v>0</v>
      </c>
      <c r="AY644">
        <v>2</v>
      </c>
      <c r="AZ644">
        <v>0</v>
      </c>
      <c r="BA644" t="s">
        <v>18</v>
      </c>
      <c r="BB644" t="s">
        <v>4</v>
      </c>
      <c r="BC644" t="s">
        <v>10</v>
      </c>
      <c r="BD644">
        <v>0</v>
      </c>
      <c r="BE644">
        <v>0</v>
      </c>
      <c r="BF644">
        <v>0</v>
      </c>
      <c r="BG644">
        <v>0</v>
      </c>
      <c r="BH644">
        <v>0</v>
      </c>
      <c r="BI644" t="s">
        <v>9</v>
      </c>
      <c r="BJ644">
        <v>0</v>
      </c>
      <c r="BK644">
        <v>-5.1000000000000003E-6</v>
      </c>
      <c r="BL644">
        <v>0</v>
      </c>
      <c r="BM644" s="2">
        <f t="shared" si="10"/>
        <v>1.5565925838575423E-9</v>
      </c>
    </row>
    <row r="645" spans="1:65" x14ac:dyDescent="0.35">
      <c r="A645">
        <v>0</v>
      </c>
      <c r="B645" t="s">
        <v>3</v>
      </c>
      <c r="C645" t="s">
        <v>4</v>
      </c>
      <c r="D645">
        <v>0</v>
      </c>
      <c r="E645" t="s">
        <v>3</v>
      </c>
      <c r="F645" t="s">
        <v>5</v>
      </c>
      <c r="G645">
        <v>3742.285269</v>
      </c>
      <c r="H645" t="s">
        <v>4</v>
      </c>
      <c r="I645">
        <v>990.16341899999998</v>
      </c>
      <c r="J645">
        <v>2752.12185</v>
      </c>
      <c r="K645" t="s">
        <v>6</v>
      </c>
      <c r="L645" t="s">
        <v>7</v>
      </c>
      <c r="M645" t="s">
        <v>8</v>
      </c>
      <c r="N645" t="s">
        <v>6</v>
      </c>
      <c r="O645" t="s">
        <v>3</v>
      </c>
      <c r="P645" t="s">
        <v>3</v>
      </c>
      <c r="Q645" t="s">
        <v>3</v>
      </c>
      <c r="R645" t="s">
        <v>3</v>
      </c>
      <c r="S645" t="s">
        <v>3</v>
      </c>
      <c r="T645" t="s">
        <v>7</v>
      </c>
      <c r="U645">
        <v>0</v>
      </c>
      <c r="V645">
        <v>1</v>
      </c>
      <c r="W645">
        <v>0</v>
      </c>
      <c r="X645">
        <v>1</v>
      </c>
      <c r="Y645">
        <v>1</v>
      </c>
      <c r="Z645" t="s">
        <v>15</v>
      </c>
      <c r="AA645" t="s">
        <v>4</v>
      </c>
      <c r="AB645" t="s">
        <v>6</v>
      </c>
      <c r="AC645" t="s">
        <v>7</v>
      </c>
      <c r="AD645" t="s">
        <v>8</v>
      </c>
      <c r="AE645" t="s">
        <v>6</v>
      </c>
      <c r="AF645" t="s">
        <v>3</v>
      </c>
      <c r="AG645" t="s">
        <v>3</v>
      </c>
      <c r="AH645" t="s">
        <v>3</v>
      </c>
      <c r="AI645" t="s">
        <v>3</v>
      </c>
      <c r="AJ645" t="s">
        <v>3</v>
      </c>
      <c r="AK645" t="s">
        <v>7</v>
      </c>
      <c r="AL645">
        <v>0</v>
      </c>
      <c r="AM645">
        <v>0</v>
      </c>
      <c r="AN645">
        <v>0</v>
      </c>
      <c r="AO645">
        <v>0</v>
      </c>
      <c r="AP645">
        <v>0</v>
      </c>
      <c r="AQ645" t="s">
        <v>9</v>
      </c>
      <c r="AR645" s="1">
        <v>1.46639148E-5</v>
      </c>
      <c r="AS645" s="1">
        <v>1.58994808E-27</v>
      </c>
      <c r="AT645">
        <v>31</v>
      </c>
      <c r="AU645" t="s">
        <v>10</v>
      </c>
      <c r="AV645">
        <v>0</v>
      </c>
      <c r="AW645">
        <v>1</v>
      </c>
      <c r="AX645">
        <v>0</v>
      </c>
      <c r="AY645">
        <v>1</v>
      </c>
      <c r="AZ645">
        <v>1</v>
      </c>
      <c r="BA645" t="s">
        <v>15</v>
      </c>
      <c r="BB645" t="s">
        <v>4</v>
      </c>
      <c r="BC645" t="s">
        <v>10</v>
      </c>
      <c r="BD645">
        <v>0</v>
      </c>
      <c r="BE645">
        <v>0</v>
      </c>
      <c r="BF645">
        <v>0</v>
      </c>
      <c r="BG645">
        <v>0</v>
      </c>
      <c r="BH645">
        <v>0</v>
      </c>
      <c r="BI645" t="s">
        <v>9</v>
      </c>
      <c r="BJ645">
        <v>5.1699999999999996E-6</v>
      </c>
      <c r="BK645">
        <v>0</v>
      </c>
      <c r="BL645">
        <v>1.3720000000000001E-5</v>
      </c>
      <c r="BM645" s="2">
        <f t="shared" si="10"/>
        <v>9.5748912024496637E-9</v>
      </c>
    </row>
    <row r="646" spans="1:65" x14ac:dyDescent="0.35">
      <c r="A646">
        <v>0</v>
      </c>
      <c r="B646" t="s">
        <v>11</v>
      </c>
      <c r="C646" t="s">
        <v>4</v>
      </c>
      <c r="D646">
        <v>0</v>
      </c>
      <c r="E646" t="s">
        <v>3</v>
      </c>
      <c r="F646" t="s">
        <v>5</v>
      </c>
      <c r="G646">
        <v>4334.2448510000004</v>
      </c>
      <c r="H646" t="s">
        <v>4</v>
      </c>
      <c r="I646">
        <v>990.16341899999998</v>
      </c>
      <c r="J646">
        <v>3344.0814319999999</v>
      </c>
      <c r="K646" t="s">
        <v>6</v>
      </c>
      <c r="L646" t="s">
        <v>7</v>
      </c>
      <c r="M646" t="s">
        <v>8</v>
      </c>
      <c r="N646" t="s">
        <v>6</v>
      </c>
      <c r="O646" t="s">
        <v>3</v>
      </c>
      <c r="P646" t="s">
        <v>3</v>
      </c>
      <c r="Q646" t="s">
        <v>3</v>
      </c>
      <c r="R646" t="s">
        <v>3</v>
      </c>
      <c r="S646" t="s">
        <v>11</v>
      </c>
      <c r="T646" t="s">
        <v>7</v>
      </c>
      <c r="U646">
        <v>1</v>
      </c>
      <c r="V646">
        <v>0</v>
      </c>
      <c r="W646">
        <v>0</v>
      </c>
      <c r="X646">
        <v>6</v>
      </c>
      <c r="Y646">
        <v>0</v>
      </c>
      <c r="Z646" t="s">
        <v>18</v>
      </c>
      <c r="AA646" t="s">
        <v>4</v>
      </c>
      <c r="AB646" t="s">
        <v>6</v>
      </c>
      <c r="AC646" t="s">
        <v>7</v>
      </c>
      <c r="AD646" t="s">
        <v>8</v>
      </c>
      <c r="AE646" t="s">
        <v>6</v>
      </c>
      <c r="AF646" t="s">
        <v>3</v>
      </c>
      <c r="AG646" t="s">
        <v>3</v>
      </c>
      <c r="AH646" t="s">
        <v>3</v>
      </c>
      <c r="AI646" t="s">
        <v>3</v>
      </c>
      <c r="AJ646" t="s">
        <v>3</v>
      </c>
      <c r="AK646" t="s">
        <v>7</v>
      </c>
      <c r="AL646">
        <v>0</v>
      </c>
      <c r="AM646">
        <v>0</v>
      </c>
      <c r="AN646">
        <v>0</v>
      </c>
      <c r="AO646">
        <v>0</v>
      </c>
      <c r="AP646">
        <v>0</v>
      </c>
      <c r="AQ646" t="s">
        <v>9</v>
      </c>
      <c r="AR646" s="1">
        <v>1.95081108E-6</v>
      </c>
      <c r="AS646" s="1">
        <v>3.4191912399999998E-29</v>
      </c>
      <c r="AT646">
        <v>27</v>
      </c>
      <c r="AU646" t="s">
        <v>10</v>
      </c>
      <c r="AV646">
        <v>1</v>
      </c>
      <c r="AW646">
        <v>0</v>
      </c>
      <c r="AX646">
        <v>0</v>
      </c>
      <c r="AY646">
        <v>6</v>
      </c>
      <c r="AZ646">
        <v>0</v>
      </c>
      <c r="BA646" t="s">
        <v>18</v>
      </c>
      <c r="BB646" t="s">
        <v>4</v>
      </c>
      <c r="BC646" t="s">
        <v>10</v>
      </c>
      <c r="BD646">
        <v>0</v>
      </c>
      <c r="BE646">
        <v>0</v>
      </c>
      <c r="BF646">
        <v>0</v>
      </c>
      <c r="BG646">
        <v>0</v>
      </c>
      <c r="BH646">
        <v>0</v>
      </c>
      <c r="BI646" t="s">
        <v>9</v>
      </c>
      <c r="BJ646">
        <v>0</v>
      </c>
      <c r="BK646">
        <v>1.95E-6</v>
      </c>
      <c r="BL646">
        <v>0</v>
      </c>
      <c r="BM646" s="2">
        <f t="shared" si="10"/>
        <v>2.0590851069406592E-10</v>
      </c>
    </row>
    <row r="647" spans="1:65" x14ac:dyDescent="0.35">
      <c r="A647">
        <v>0</v>
      </c>
      <c r="B647" t="s">
        <v>3</v>
      </c>
      <c r="C647" t="s">
        <v>4</v>
      </c>
      <c r="D647">
        <v>0</v>
      </c>
      <c r="E647" t="s">
        <v>3</v>
      </c>
      <c r="F647" t="s">
        <v>5</v>
      </c>
      <c r="G647">
        <v>4981.5922700000001</v>
      </c>
      <c r="H647" t="s">
        <v>4</v>
      </c>
      <c r="I647">
        <v>990.16341899999998</v>
      </c>
      <c r="J647">
        <v>3991.4288510000001</v>
      </c>
      <c r="K647" t="s">
        <v>6</v>
      </c>
      <c r="L647" t="s">
        <v>7</v>
      </c>
      <c r="M647" t="s">
        <v>8</v>
      </c>
      <c r="N647" t="s">
        <v>6</v>
      </c>
      <c r="O647" t="s">
        <v>3</v>
      </c>
      <c r="P647" t="s">
        <v>3</v>
      </c>
      <c r="Q647" t="s">
        <v>3</v>
      </c>
      <c r="R647" t="s">
        <v>3</v>
      </c>
      <c r="S647" t="s">
        <v>3</v>
      </c>
      <c r="T647" t="s">
        <v>7</v>
      </c>
      <c r="U647">
        <v>0</v>
      </c>
      <c r="V647">
        <v>1</v>
      </c>
      <c r="W647">
        <v>0</v>
      </c>
      <c r="X647">
        <v>6</v>
      </c>
      <c r="Y647">
        <v>0</v>
      </c>
      <c r="Z647" t="s">
        <v>9</v>
      </c>
      <c r="AA647" t="s">
        <v>4</v>
      </c>
      <c r="AB647" t="s">
        <v>6</v>
      </c>
      <c r="AC647" t="s">
        <v>7</v>
      </c>
      <c r="AD647" t="s">
        <v>8</v>
      </c>
      <c r="AE647" t="s">
        <v>6</v>
      </c>
      <c r="AF647" t="s">
        <v>3</v>
      </c>
      <c r="AG647" t="s">
        <v>3</v>
      </c>
      <c r="AH647" t="s">
        <v>3</v>
      </c>
      <c r="AI647" t="s">
        <v>3</v>
      </c>
      <c r="AJ647" t="s">
        <v>3</v>
      </c>
      <c r="AK647" t="s">
        <v>7</v>
      </c>
      <c r="AL647">
        <v>0</v>
      </c>
      <c r="AM647">
        <v>0</v>
      </c>
      <c r="AN647">
        <v>0</v>
      </c>
      <c r="AO647">
        <v>0</v>
      </c>
      <c r="AP647">
        <v>0</v>
      </c>
      <c r="AQ647" t="s">
        <v>9</v>
      </c>
      <c r="AR647" s="1">
        <v>1.0504318599999999E-5</v>
      </c>
      <c r="AS647" s="1">
        <v>1.18326039E-27</v>
      </c>
      <c r="AT647">
        <v>28</v>
      </c>
      <c r="AU647" t="s">
        <v>10</v>
      </c>
      <c r="AV647">
        <v>0</v>
      </c>
      <c r="AW647">
        <v>1</v>
      </c>
      <c r="AX647">
        <v>0</v>
      </c>
      <c r="AY647">
        <v>6</v>
      </c>
      <c r="AZ647">
        <v>0</v>
      </c>
      <c r="BA647" t="s">
        <v>9</v>
      </c>
      <c r="BB647" t="s">
        <v>4</v>
      </c>
      <c r="BC647" t="s">
        <v>10</v>
      </c>
      <c r="BD647">
        <v>0</v>
      </c>
      <c r="BE647">
        <v>0</v>
      </c>
      <c r="BF647">
        <v>0</v>
      </c>
      <c r="BG647">
        <v>0</v>
      </c>
      <c r="BH647">
        <v>0</v>
      </c>
      <c r="BI647" t="s">
        <v>9</v>
      </c>
      <c r="BJ647">
        <v>6.7100000000000001E-6</v>
      </c>
      <c r="BK647">
        <v>0</v>
      </c>
      <c r="BL647">
        <v>-8.0800000000000006E-6</v>
      </c>
      <c r="BM647" s="2">
        <f t="shared" si="10"/>
        <v>7.1257606716429113E-9</v>
      </c>
    </row>
    <row r="648" spans="1:65" x14ac:dyDescent="0.35">
      <c r="A648">
        <v>0</v>
      </c>
      <c r="B648" t="s">
        <v>3</v>
      </c>
      <c r="C648" t="s">
        <v>4</v>
      </c>
      <c r="D648">
        <v>0</v>
      </c>
      <c r="E648" t="s">
        <v>3</v>
      </c>
      <c r="F648" t="s">
        <v>5</v>
      </c>
      <c r="G648">
        <v>4918.1215789999997</v>
      </c>
      <c r="H648" t="s">
        <v>4</v>
      </c>
      <c r="I648">
        <v>990.16341899999998</v>
      </c>
      <c r="J648">
        <v>3927.9581600000001</v>
      </c>
      <c r="K648" t="s">
        <v>6</v>
      </c>
      <c r="L648" t="s">
        <v>7</v>
      </c>
      <c r="M648" t="s">
        <v>8</v>
      </c>
      <c r="N648" t="s">
        <v>6</v>
      </c>
      <c r="O648" t="s">
        <v>3</v>
      </c>
      <c r="P648" t="s">
        <v>3</v>
      </c>
      <c r="Q648" t="s">
        <v>3</v>
      </c>
      <c r="R648" t="s">
        <v>3</v>
      </c>
      <c r="S648" t="s">
        <v>3</v>
      </c>
      <c r="T648" t="s">
        <v>7</v>
      </c>
      <c r="U648">
        <v>1</v>
      </c>
      <c r="V648">
        <v>0</v>
      </c>
      <c r="W648">
        <v>0</v>
      </c>
      <c r="X648">
        <v>0</v>
      </c>
      <c r="Y648">
        <v>2</v>
      </c>
      <c r="Z648" t="s">
        <v>24</v>
      </c>
      <c r="AA648" t="s">
        <v>4</v>
      </c>
      <c r="AB648" t="s">
        <v>6</v>
      </c>
      <c r="AC648" t="s">
        <v>7</v>
      </c>
      <c r="AD648" t="s">
        <v>8</v>
      </c>
      <c r="AE648" t="s">
        <v>6</v>
      </c>
      <c r="AF648" t="s">
        <v>3</v>
      </c>
      <c r="AG648" t="s">
        <v>3</v>
      </c>
      <c r="AH648" t="s">
        <v>3</v>
      </c>
      <c r="AI648" t="s">
        <v>3</v>
      </c>
      <c r="AJ648" t="s">
        <v>3</v>
      </c>
      <c r="AK648" t="s">
        <v>7</v>
      </c>
      <c r="AL648">
        <v>0</v>
      </c>
      <c r="AM648">
        <v>0</v>
      </c>
      <c r="AN648">
        <v>0</v>
      </c>
      <c r="AO648">
        <v>0</v>
      </c>
      <c r="AP648">
        <v>0</v>
      </c>
      <c r="AQ648" t="s">
        <v>9</v>
      </c>
      <c r="AR648" s="1">
        <v>5.1542511200000003E-5</v>
      </c>
      <c r="AS648" s="1">
        <v>2.8035878099999998E-26</v>
      </c>
      <c r="AT648">
        <v>28</v>
      </c>
      <c r="AU648" t="s">
        <v>10</v>
      </c>
      <c r="AV648">
        <v>1</v>
      </c>
      <c r="AW648">
        <v>0</v>
      </c>
      <c r="AX648">
        <v>0</v>
      </c>
      <c r="AY648">
        <v>0</v>
      </c>
      <c r="AZ648">
        <v>2</v>
      </c>
      <c r="BA648" t="s">
        <v>24</v>
      </c>
      <c r="BB648" t="s">
        <v>4</v>
      </c>
      <c r="BC648" t="s">
        <v>10</v>
      </c>
      <c r="BD648">
        <v>0</v>
      </c>
      <c r="BE648">
        <v>0</v>
      </c>
      <c r="BF648">
        <v>0</v>
      </c>
      <c r="BG648">
        <v>0</v>
      </c>
      <c r="BH648">
        <v>0</v>
      </c>
      <c r="BI648" t="s">
        <v>9</v>
      </c>
      <c r="BJ648">
        <v>-4.4870000000000002E-5</v>
      </c>
      <c r="BK648">
        <v>0</v>
      </c>
      <c r="BL648">
        <v>2.5369999999999999E-5</v>
      </c>
      <c r="BM648" s="2">
        <f t="shared" si="10"/>
        <v>1.6883600536983646E-7</v>
      </c>
    </row>
    <row r="649" spans="1:65" x14ac:dyDescent="0.35">
      <c r="A649">
        <v>0</v>
      </c>
      <c r="B649" t="s">
        <v>3</v>
      </c>
      <c r="C649" t="s">
        <v>4</v>
      </c>
      <c r="D649">
        <v>0</v>
      </c>
      <c r="E649" t="s">
        <v>3</v>
      </c>
      <c r="F649" t="s">
        <v>5</v>
      </c>
      <c r="G649">
        <v>4168.6742869999998</v>
      </c>
      <c r="H649" t="s">
        <v>4</v>
      </c>
      <c r="I649">
        <v>990.16341899999998</v>
      </c>
      <c r="J649">
        <v>3178.5108679999998</v>
      </c>
      <c r="K649" t="s">
        <v>6</v>
      </c>
      <c r="L649" t="s">
        <v>7</v>
      </c>
      <c r="M649" t="s">
        <v>8</v>
      </c>
      <c r="N649" t="s">
        <v>6</v>
      </c>
      <c r="O649" t="s">
        <v>3</v>
      </c>
      <c r="P649" t="s">
        <v>3</v>
      </c>
      <c r="Q649" t="s">
        <v>3</v>
      </c>
      <c r="R649" t="s">
        <v>3</v>
      </c>
      <c r="S649" t="s">
        <v>3</v>
      </c>
      <c r="T649" t="s">
        <v>7</v>
      </c>
      <c r="U649">
        <v>0</v>
      </c>
      <c r="V649">
        <v>1</v>
      </c>
      <c r="W649">
        <v>0</v>
      </c>
      <c r="X649">
        <v>4</v>
      </c>
      <c r="Y649">
        <v>2</v>
      </c>
      <c r="Z649" t="s">
        <v>8</v>
      </c>
      <c r="AA649" t="s">
        <v>4</v>
      </c>
      <c r="AB649" t="s">
        <v>6</v>
      </c>
      <c r="AC649" t="s">
        <v>7</v>
      </c>
      <c r="AD649" t="s">
        <v>8</v>
      </c>
      <c r="AE649" t="s">
        <v>6</v>
      </c>
      <c r="AF649" t="s">
        <v>3</v>
      </c>
      <c r="AG649" t="s">
        <v>3</v>
      </c>
      <c r="AH649" t="s">
        <v>3</v>
      </c>
      <c r="AI649" t="s">
        <v>3</v>
      </c>
      <c r="AJ649" t="s">
        <v>3</v>
      </c>
      <c r="AK649" t="s">
        <v>7</v>
      </c>
      <c r="AL649">
        <v>0</v>
      </c>
      <c r="AM649">
        <v>0</v>
      </c>
      <c r="AN649">
        <v>0</v>
      </c>
      <c r="AO649">
        <v>0</v>
      </c>
      <c r="AP649">
        <v>0</v>
      </c>
      <c r="AQ649" t="s">
        <v>9</v>
      </c>
      <c r="AR649" s="1">
        <v>1.08846077E-4</v>
      </c>
      <c r="AS649" s="1">
        <v>1.01173163E-25</v>
      </c>
      <c r="AT649">
        <v>31</v>
      </c>
      <c r="AU649" t="s">
        <v>10</v>
      </c>
      <c r="AV649">
        <v>0</v>
      </c>
      <c r="AW649">
        <v>1</v>
      </c>
      <c r="AX649">
        <v>0</v>
      </c>
      <c r="AY649">
        <v>4</v>
      </c>
      <c r="AZ649">
        <v>2</v>
      </c>
      <c r="BA649" t="s">
        <v>8</v>
      </c>
      <c r="BB649" t="s">
        <v>4</v>
      </c>
      <c r="BC649" t="s">
        <v>10</v>
      </c>
      <c r="BD649">
        <v>0</v>
      </c>
      <c r="BE649">
        <v>0</v>
      </c>
      <c r="BF649">
        <v>0</v>
      </c>
      <c r="BG649">
        <v>0</v>
      </c>
      <c r="BH649">
        <v>0</v>
      </c>
      <c r="BI649" t="s">
        <v>9</v>
      </c>
      <c r="BJ649">
        <v>-1.0836E-4</v>
      </c>
      <c r="BK649">
        <v>0</v>
      </c>
      <c r="BL649">
        <v>-1.028E-5</v>
      </c>
      <c r="BM649" s="2">
        <f t="shared" si="10"/>
        <v>6.0927903276735033E-7</v>
      </c>
    </row>
    <row r="650" spans="1:65" x14ac:dyDescent="0.35">
      <c r="A650">
        <v>0</v>
      </c>
      <c r="B650" t="s">
        <v>3</v>
      </c>
      <c r="C650" t="s">
        <v>4</v>
      </c>
      <c r="D650">
        <v>0</v>
      </c>
      <c r="E650" t="s">
        <v>3</v>
      </c>
      <c r="F650" t="s">
        <v>5</v>
      </c>
      <c r="G650">
        <v>4440.7711950000003</v>
      </c>
      <c r="H650" t="s">
        <v>4</v>
      </c>
      <c r="I650">
        <v>990.16341899999998</v>
      </c>
      <c r="J650">
        <v>3450.6077759999998</v>
      </c>
      <c r="K650" t="s">
        <v>6</v>
      </c>
      <c r="L650" t="s">
        <v>7</v>
      </c>
      <c r="M650" t="s">
        <v>8</v>
      </c>
      <c r="N650" t="s">
        <v>6</v>
      </c>
      <c r="O650" t="s">
        <v>3</v>
      </c>
      <c r="P650" t="s">
        <v>3</v>
      </c>
      <c r="Q650" t="s">
        <v>3</v>
      </c>
      <c r="R650" t="s">
        <v>3</v>
      </c>
      <c r="S650" t="s">
        <v>3</v>
      </c>
      <c r="T650" t="s">
        <v>7</v>
      </c>
      <c r="U650">
        <v>3</v>
      </c>
      <c r="V650">
        <v>0</v>
      </c>
      <c r="W650">
        <v>0</v>
      </c>
      <c r="X650">
        <v>0</v>
      </c>
      <c r="Y650">
        <v>1</v>
      </c>
      <c r="Z650" t="s">
        <v>9</v>
      </c>
      <c r="AA650" t="s">
        <v>4</v>
      </c>
      <c r="AB650" t="s">
        <v>6</v>
      </c>
      <c r="AC650" t="s">
        <v>7</v>
      </c>
      <c r="AD650" t="s">
        <v>8</v>
      </c>
      <c r="AE650" t="s">
        <v>6</v>
      </c>
      <c r="AF650" t="s">
        <v>3</v>
      </c>
      <c r="AG650" t="s">
        <v>3</v>
      </c>
      <c r="AH650" t="s">
        <v>3</v>
      </c>
      <c r="AI650" t="s">
        <v>3</v>
      </c>
      <c r="AJ650" t="s">
        <v>3</v>
      </c>
      <c r="AK650" t="s">
        <v>7</v>
      </c>
      <c r="AL650">
        <v>0</v>
      </c>
      <c r="AM650">
        <v>0</v>
      </c>
      <c r="AN650">
        <v>0</v>
      </c>
      <c r="AO650">
        <v>0</v>
      </c>
      <c r="AP650">
        <v>0</v>
      </c>
      <c r="AQ650" t="s">
        <v>9</v>
      </c>
      <c r="AR650" s="1">
        <v>9.8953445200000007E-5</v>
      </c>
      <c r="AS650" s="1">
        <v>9.0776529100000004E-26</v>
      </c>
      <c r="AT650">
        <v>13</v>
      </c>
      <c r="AU650" t="s">
        <v>10</v>
      </c>
      <c r="AV650">
        <v>3</v>
      </c>
      <c r="AW650">
        <v>0</v>
      </c>
      <c r="AX650">
        <v>0</v>
      </c>
      <c r="AY650">
        <v>0</v>
      </c>
      <c r="AZ650">
        <v>1</v>
      </c>
      <c r="BA650" t="s">
        <v>9</v>
      </c>
      <c r="BB650" t="s">
        <v>4</v>
      </c>
      <c r="BC650" t="s">
        <v>10</v>
      </c>
      <c r="BD650">
        <v>0</v>
      </c>
      <c r="BE650">
        <v>0</v>
      </c>
      <c r="BF650">
        <v>0</v>
      </c>
      <c r="BG650">
        <v>0</v>
      </c>
      <c r="BH650">
        <v>0</v>
      </c>
      <c r="BI650" t="s">
        <v>9</v>
      </c>
      <c r="BJ650">
        <v>9.8659999999999994E-5</v>
      </c>
      <c r="BK650">
        <v>0</v>
      </c>
      <c r="BL650">
        <v>7.5599999999999996E-6</v>
      </c>
      <c r="BM650" s="2">
        <f t="shared" si="10"/>
        <v>5.4666903957549728E-7</v>
      </c>
    </row>
    <row r="651" spans="1:65" x14ac:dyDescent="0.35">
      <c r="A651">
        <v>0</v>
      </c>
      <c r="B651" t="s">
        <v>11</v>
      </c>
      <c r="C651" t="s">
        <v>4</v>
      </c>
      <c r="D651">
        <v>0</v>
      </c>
      <c r="E651" t="s">
        <v>3</v>
      </c>
      <c r="F651" t="s">
        <v>5</v>
      </c>
      <c r="G651">
        <v>4630.0882920000004</v>
      </c>
      <c r="H651" t="s">
        <v>4</v>
      </c>
      <c r="I651">
        <v>990.16341899999998</v>
      </c>
      <c r="J651">
        <v>3639.9248729999999</v>
      </c>
      <c r="K651" t="s">
        <v>6</v>
      </c>
      <c r="L651" t="s">
        <v>7</v>
      </c>
      <c r="M651" t="s">
        <v>8</v>
      </c>
      <c r="N651" t="s">
        <v>6</v>
      </c>
      <c r="O651" t="s">
        <v>3</v>
      </c>
      <c r="P651" t="s">
        <v>3</v>
      </c>
      <c r="Q651" t="s">
        <v>3</v>
      </c>
      <c r="R651" t="s">
        <v>3</v>
      </c>
      <c r="S651" t="s">
        <v>11</v>
      </c>
      <c r="T651" t="s">
        <v>7</v>
      </c>
      <c r="U651">
        <v>0</v>
      </c>
      <c r="V651">
        <v>0</v>
      </c>
      <c r="W651">
        <v>0</v>
      </c>
      <c r="X651">
        <v>7</v>
      </c>
      <c r="Y651">
        <v>0</v>
      </c>
      <c r="Z651" t="s">
        <v>14</v>
      </c>
      <c r="AA651" t="s">
        <v>4</v>
      </c>
      <c r="AB651" t="s">
        <v>6</v>
      </c>
      <c r="AC651" t="s">
        <v>7</v>
      </c>
      <c r="AD651" t="s">
        <v>8</v>
      </c>
      <c r="AE651" t="s">
        <v>6</v>
      </c>
      <c r="AF651" t="s">
        <v>3</v>
      </c>
      <c r="AG651" t="s">
        <v>3</v>
      </c>
      <c r="AH651" t="s">
        <v>3</v>
      </c>
      <c r="AI651" t="s">
        <v>3</v>
      </c>
      <c r="AJ651" t="s">
        <v>3</v>
      </c>
      <c r="AK651" t="s">
        <v>7</v>
      </c>
      <c r="AL651">
        <v>0</v>
      </c>
      <c r="AM651">
        <v>0</v>
      </c>
      <c r="AN651">
        <v>0</v>
      </c>
      <c r="AO651">
        <v>0</v>
      </c>
      <c r="AP651">
        <v>0</v>
      </c>
      <c r="AQ651" t="s">
        <v>9</v>
      </c>
      <c r="AR651" s="1">
        <v>7.5833339600000003E-6</v>
      </c>
      <c r="AS651" s="1">
        <v>5.6237879500000002E-28</v>
      </c>
      <c r="AT651">
        <v>31</v>
      </c>
      <c r="AU651" t="s">
        <v>10</v>
      </c>
      <c r="AV651">
        <v>0</v>
      </c>
      <c r="AW651">
        <v>0</v>
      </c>
      <c r="AX651">
        <v>0</v>
      </c>
      <c r="AY651">
        <v>7</v>
      </c>
      <c r="AZ651">
        <v>0</v>
      </c>
      <c r="BA651" t="s">
        <v>14</v>
      </c>
      <c r="BB651" t="s">
        <v>4</v>
      </c>
      <c r="BC651" t="s">
        <v>10</v>
      </c>
      <c r="BD651">
        <v>0</v>
      </c>
      <c r="BE651">
        <v>0</v>
      </c>
      <c r="BF651">
        <v>0</v>
      </c>
      <c r="BG651">
        <v>0</v>
      </c>
      <c r="BH651">
        <v>0</v>
      </c>
      <c r="BI651" t="s">
        <v>9</v>
      </c>
      <c r="BJ651">
        <v>0</v>
      </c>
      <c r="BK651">
        <v>7.5800000000000003E-6</v>
      </c>
      <c r="BL651">
        <v>0</v>
      </c>
      <c r="BM651" s="2">
        <f t="shared" si="10"/>
        <v>3.3867242864243364E-9</v>
      </c>
    </row>
    <row r="652" spans="1:65" x14ac:dyDescent="0.35">
      <c r="A652">
        <v>0</v>
      </c>
      <c r="B652" t="s">
        <v>3</v>
      </c>
      <c r="C652" t="s">
        <v>4</v>
      </c>
      <c r="D652">
        <v>0</v>
      </c>
      <c r="E652" t="s">
        <v>3</v>
      </c>
      <c r="F652" t="s">
        <v>5</v>
      </c>
      <c r="G652">
        <v>4753.7524219999996</v>
      </c>
      <c r="H652" t="s">
        <v>4</v>
      </c>
      <c r="I652">
        <v>990.16341899999998</v>
      </c>
      <c r="J652">
        <v>3763.589003</v>
      </c>
      <c r="K652" t="s">
        <v>6</v>
      </c>
      <c r="L652" t="s">
        <v>7</v>
      </c>
      <c r="M652" t="s">
        <v>8</v>
      </c>
      <c r="N652" t="s">
        <v>6</v>
      </c>
      <c r="O652" t="s">
        <v>3</v>
      </c>
      <c r="P652" t="s">
        <v>3</v>
      </c>
      <c r="Q652" t="s">
        <v>3</v>
      </c>
      <c r="R652" t="s">
        <v>3</v>
      </c>
      <c r="S652" t="s">
        <v>3</v>
      </c>
      <c r="T652" t="s">
        <v>7</v>
      </c>
      <c r="U652">
        <v>0</v>
      </c>
      <c r="V652">
        <v>1</v>
      </c>
      <c r="W652">
        <v>0</v>
      </c>
      <c r="X652">
        <v>7</v>
      </c>
      <c r="Y652">
        <v>1</v>
      </c>
      <c r="Z652" t="s">
        <v>8</v>
      </c>
      <c r="AA652" t="s">
        <v>4</v>
      </c>
      <c r="AB652" t="s">
        <v>6</v>
      </c>
      <c r="AC652" t="s">
        <v>7</v>
      </c>
      <c r="AD652" t="s">
        <v>8</v>
      </c>
      <c r="AE652" t="s">
        <v>6</v>
      </c>
      <c r="AF652" t="s">
        <v>3</v>
      </c>
      <c r="AG652" t="s">
        <v>3</v>
      </c>
      <c r="AH652" t="s">
        <v>3</v>
      </c>
      <c r="AI652" t="s">
        <v>3</v>
      </c>
      <c r="AJ652" t="s">
        <v>3</v>
      </c>
      <c r="AK652" t="s">
        <v>7</v>
      </c>
      <c r="AL652">
        <v>0</v>
      </c>
      <c r="AM652">
        <v>0</v>
      </c>
      <c r="AN652">
        <v>0</v>
      </c>
      <c r="AO652">
        <v>0</v>
      </c>
      <c r="AP652">
        <v>0</v>
      </c>
      <c r="AQ652" t="s">
        <v>9</v>
      </c>
      <c r="AR652" s="1">
        <v>4.9626620200000001E-5</v>
      </c>
      <c r="AS652" s="1">
        <v>2.4902775E-26</v>
      </c>
      <c r="AT652">
        <v>27</v>
      </c>
      <c r="AU652" t="s">
        <v>10</v>
      </c>
      <c r="AV652">
        <v>0</v>
      </c>
      <c r="AW652">
        <v>1</v>
      </c>
      <c r="AX652">
        <v>0</v>
      </c>
      <c r="AY652">
        <v>7</v>
      </c>
      <c r="AZ652">
        <v>1</v>
      </c>
      <c r="BA652" t="s">
        <v>8</v>
      </c>
      <c r="BB652" t="s">
        <v>4</v>
      </c>
      <c r="BC652" t="s">
        <v>10</v>
      </c>
      <c r="BD652">
        <v>0</v>
      </c>
      <c r="BE652">
        <v>0</v>
      </c>
      <c r="BF652">
        <v>0</v>
      </c>
      <c r="BG652">
        <v>0</v>
      </c>
      <c r="BH652">
        <v>0</v>
      </c>
      <c r="BI652" t="s">
        <v>9</v>
      </c>
      <c r="BJ652">
        <v>2.618E-5</v>
      </c>
      <c r="BK652">
        <v>0</v>
      </c>
      <c r="BL652">
        <v>-4.2160000000000003E-5</v>
      </c>
      <c r="BM652" s="2">
        <f t="shared" si="10"/>
        <v>1.4996801736072001E-7</v>
      </c>
    </row>
    <row r="653" spans="1:65" x14ac:dyDescent="0.35">
      <c r="A653">
        <v>0</v>
      </c>
      <c r="B653" t="s">
        <v>11</v>
      </c>
      <c r="C653" t="s">
        <v>4</v>
      </c>
      <c r="D653">
        <v>0</v>
      </c>
      <c r="E653" t="s">
        <v>3</v>
      </c>
      <c r="F653" t="s">
        <v>5</v>
      </c>
      <c r="G653">
        <v>4858.9639029999998</v>
      </c>
      <c r="H653" t="s">
        <v>4</v>
      </c>
      <c r="I653">
        <v>990.16341899999998</v>
      </c>
      <c r="J653">
        <v>3868.8004839999999</v>
      </c>
      <c r="K653" t="s">
        <v>6</v>
      </c>
      <c r="L653" t="s">
        <v>7</v>
      </c>
      <c r="M653" t="s">
        <v>8</v>
      </c>
      <c r="N653" t="s">
        <v>6</v>
      </c>
      <c r="O653" t="s">
        <v>3</v>
      </c>
      <c r="P653" t="s">
        <v>3</v>
      </c>
      <c r="Q653" t="s">
        <v>3</v>
      </c>
      <c r="R653" t="s">
        <v>3</v>
      </c>
      <c r="S653" t="s">
        <v>11</v>
      </c>
      <c r="T653" t="s">
        <v>7</v>
      </c>
      <c r="U653">
        <v>2</v>
      </c>
      <c r="V653">
        <v>0</v>
      </c>
      <c r="W653">
        <v>0</v>
      </c>
      <c r="X653">
        <v>4</v>
      </c>
      <c r="Y653">
        <v>0</v>
      </c>
      <c r="Z653" t="s">
        <v>14</v>
      </c>
      <c r="AA653" t="s">
        <v>4</v>
      </c>
      <c r="AB653" t="s">
        <v>6</v>
      </c>
      <c r="AC653" t="s">
        <v>7</v>
      </c>
      <c r="AD653" t="s">
        <v>8</v>
      </c>
      <c r="AE653" t="s">
        <v>6</v>
      </c>
      <c r="AF653" t="s">
        <v>3</v>
      </c>
      <c r="AG653" t="s">
        <v>3</v>
      </c>
      <c r="AH653" t="s">
        <v>3</v>
      </c>
      <c r="AI653" t="s">
        <v>3</v>
      </c>
      <c r="AJ653" t="s">
        <v>3</v>
      </c>
      <c r="AK653" t="s">
        <v>7</v>
      </c>
      <c r="AL653">
        <v>0</v>
      </c>
      <c r="AM653">
        <v>0</v>
      </c>
      <c r="AN653">
        <v>0</v>
      </c>
      <c r="AO653">
        <v>0</v>
      </c>
      <c r="AP653">
        <v>0</v>
      </c>
      <c r="AQ653" t="s">
        <v>9</v>
      </c>
      <c r="AR653" s="1">
        <v>4.8260534399999999E-6</v>
      </c>
      <c r="AS653" s="1">
        <v>2.42089942E-28</v>
      </c>
      <c r="AT653">
        <v>28</v>
      </c>
      <c r="AU653" t="s">
        <v>10</v>
      </c>
      <c r="AV653">
        <v>2</v>
      </c>
      <c r="AW653">
        <v>0</v>
      </c>
      <c r="AX653">
        <v>0</v>
      </c>
      <c r="AY653">
        <v>4</v>
      </c>
      <c r="AZ653">
        <v>0</v>
      </c>
      <c r="BA653" t="s">
        <v>14</v>
      </c>
      <c r="BB653" t="s">
        <v>4</v>
      </c>
      <c r="BC653" t="s">
        <v>10</v>
      </c>
      <c r="BD653">
        <v>0</v>
      </c>
      <c r="BE653">
        <v>0</v>
      </c>
      <c r="BF653">
        <v>0</v>
      </c>
      <c r="BG653">
        <v>0</v>
      </c>
      <c r="BH653">
        <v>0</v>
      </c>
      <c r="BI653" t="s">
        <v>9</v>
      </c>
      <c r="BJ653">
        <v>0</v>
      </c>
      <c r="BK653">
        <v>4.8300000000000003E-6</v>
      </c>
      <c r="BL653">
        <v>0</v>
      </c>
      <c r="BM653" s="2">
        <f t="shared" si="10"/>
        <v>1.4578997169878335E-9</v>
      </c>
    </row>
    <row r="654" spans="1:65" x14ac:dyDescent="0.35">
      <c r="A654">
        <v>0</v>
      </c>
      <c r="B654" t="s">
        <v>3</v>
      </c>
      <c r="C654" t="s">
        <v>4</v>
      </c>
      <c r="D654">
        <v>0</v>
      </c>
      <c r="E654" t="s">
        <v>3</v>
      </c>
      <c r="F654" t="s">
        <v>5</v>
      </c>
      <c r="G654">
        <v>4249.8089490000002</v>
      </c>
      <c r="H654" t="s">
        <v>4</v>
      </c>
      <c r="I654">
        <v>990.16341899999998</v>
      </c>
      <c r="J654">
        <v>3259.6455299999998</v>
      </c>
      <c r="K654" t="s">
        <v>6</v>
      </c>
      <c r="L654" t="s">
        <v>7</v>
      </c>
      <c r="M654" t="s">
        <v>8</v>
      </c>
      <c r="N654" t="s">
        <v>6</v>
      </c>
      <c r="O654" t="s">
        <v>3</v>
      </c>
      <c r="P654" t="s">
        <v>3</v>
      </c>
      <c r="Q654" t="s">
        <v>3</v>
      </c>
      <c r="R654" t="s">
        <v>3</v>
      </c>
      <c r="S654" t="s">
        <v>3</v>
      </c>
      <c r="T654" t="s">
        <v>7</v>
      </c>
      <c r="U654">
        <v>5</v>
      </c>
      <c r="V654">
        <v>0</v>
      </c>
      <c r="W654">
        <v>0</v>
      </c>
      <c r="X654">
        <v>0</v>
      </c>
      <c r="Y654">
        <v>0</v>
      </c>
      <c r="Z654" t="s">
        <v>8</v>
      </c>
      <c r="AA654" t="s">
        <v>4</v>
      </c>
      <c r="AB654" t="s">
        <v>6</v>
      </c>
      <c r="AC654" t="s">
        <v>7</v>
      </c>
      <c r="AD654" t="s">
        <v>8</v>
      </c>
      <c r="AE654" t="s">
        <v>6</v>
      </c>
      <c r="AF654" t="s">
        <v>3</v>
      </c>
      <c r="AG654" t="s">
        <v>3</v>
      </c>
      <c r="AH654" t="s">
        <v>3</v>
      </c>
      <c r="AI654" t="s">
        <v>3</v>
      </c>
      <c r="AJ654" t="s">
        <v>3</v>
      </c>
      <c r="AK654" t="s">
        <v>7</v>
      </c>
      <c r="AL654">
        <v>0</v>
      </c>
      <c r="AM654">
        <v>0</v>
      </c>
      <c r="AN654">
        <v>0</v>
      </c>
      <c r="AO654">
        <v>0</v>
      </c>
      <c r="AP654">
        <v>0</v>
      </c>
      <c r="AQ654" t="s">
        <v>9</v>
      </c>
      <c r="AR654" s="1">
        <v>2.8850573700000003E-4</v>
      </c>
      <c r="AS654" s="1">
        <v>7.2894604000000002E-25</v>
      </c>
      <c r="AT654">
        <v>27</v>
      </c>
      <c r="AU654" t="s">
        <v>10</v>
      </c>
      <c r="AV654">
        <v>5</v>
      </c>
      <c r="AW654">
        <v>0</v>
      </c>
      <c r="AX654">
        <v>0</v>
      </c>
      <c r="AY654">
        <v>0</v>
      </c>
      <c r="AZ654">
        <v>0</v>
      </c>
      <c r="BA654" t="s">
        <v>8</v>
      </c>
      <c r="BB654" t="s">
        <v>4</v>
      </c>
      <c r="BC654" t="s">
        <v>10</v>
      </c>
      <c r="BD654">
        <v>0</v>
      </c>
      <c r="BE654">
        <v>0</v>
      </c>
      <c r="BF654">
        <v>0</v>
      </c>
      <c r="BG654">
        <v>0</v>
      </c>
      <c r="BH654">
        <v>0</v>
      </c>
      <c r="BI654" t="s">
        <v>9</v>
      </c>
      <c r="BJ654">
        <v>2.7783000000000001E-4</v>
      </c>
      <c r="BK654">
        <v>0</v>
      </c>
      <c r="BL654">
        <v>7.7760000000000001E-5</v>
      </c>
      <c r="BM654" s="2">
        <f t="shared" si="10"/>
        <v>4.3898156884824319E-6</v>
      </c>
    </row>
    <row r="655" spans="1:65" x14ac:dyDescent="0.35">
      <c r="A655">
        <v>0</v>
      </c>
      <c r="B655" t="s">
        <v>3</v>
      </c>
      <c r="C655" t="s">
        <v>4</v>
      </c>
      <c r="D655">
        <v>0</v>
      </c>
      <c r="E655" t="s">
        <v>3</v>
      </c>
      <c r="F655" t="s">
        <v>5</v>
      </c>
      <c r="G655">
        <v>3468.7711370000002</v>
      </c>
      <c r="H655" t="s">
        <v>4</v>
      </c>
      <c r="I655">
        <v>990.16341899999998</v>
      </c>
      <c r="J655">
        <v>2478.6077180000002</v>
      </c>
      <c r="K655" t="s">
        <v>6</v>
      </c>
      <c r="L655" t="s">
        <v>7</v>
      </c>
      <c r="M655" t="s">
        <v>8</v>
      </c>
      <c r="N655" t="s">
        <v>6</v>
      </c>
      <c r="O655" t="s">
        <v>3</v>
      </c>
      <c r="P655" t="s">
        <v>3</v>
      </c>
      <c r="Q655" t="s">
        <v>3</v>
      </c>
      <c r="R655" t="s">
        <v>3</v>
      </c>
      <c r="S655" t="s">
        <v>3</v>
      </c>
      <c r="T655" t="s">
        <v>7</v>
      </c>
      <c r="U655">
        <v>0</v>
      </c>
      <c r="V655">
        <v>0</v>
      </c>
      <c r="W655">
        <v>0</v>
      </c>
      <c r="X655">
        <v>6</v>
      </c>
      <c r="Y655">
        <v>0</v>
      </c>
      <c r="Z655" t="s">
        <v>15</v>
      </c>
      <c r="AA655" t="s">
        <v>4</v>
      </c>
      <c r="AB655" t="s">
        <v>6</v>
      </c>
      <c r="AC655" t="s">
        <v>7</v>
      </c>
      <c r="AD655" t="s">
        <v>8</v>
      </c>
      <c r="AE655" t="s">
        <v>6</v>
      </c>
      <c r="AF655" t="s">
        <v>3</v>
      </c>
      <c r="AG655" t="s">
        <v>3</v>
      </c>
      <c r="AH655" t="s">
        <v>3</v>
      </c>
      <c r="AI655" t="s">
        <v>3</v>
      </c>
      <c r="AJ655" t="s">
        <v>3</v>
      </c>
      <c r="AK655" t="s">
        <v>7</v>
      </c>
      <c r="AL655">
        <v>0</v>
      </c>
      <c r="AM655">
        <v>0</v>
      </c>
      <c r="AN655">
        <v>0</v>
      </c>
      <c r="AO655">
        <v>0</v>
      </c>
      <c r="AP655">
        <v>0</v>
      </c>
      <c r="AQ655" t="s">
        <v>9</v>
      </c>
      <c r="AR655" s="1">
        <v>3.5839766699999997E-5</v>
      </c>
      <c r="AS655" s="1">
        <v>8.5536514900000006E-27</v>
      </c>
      <c r="AT655">
        <v>31</v>
      </c>
      <c r="AU655" t="s">
        <v>10</v>
      </c>
      <c r="AV655">
        <v>0</v>
      </c>
      <c r="AW655">
        <v>0</v>
      </c>
      <c r="AX655">
        <v>0</v>
      </c>
      <c r="AY655">
        <v>6</v>
      </c>
      <c r="AZ655">
        <v>0</v>
      </c>
      <c r="BA655" t="s">
        <v>15</v>
      </c>
      <c r="BB655" t="s">
        <v>4</v>
      </c>
      <c r="BC655" t="s">
        <v>10</v>
      </c>
      <c r="BD655">
        <v>0</v>
      </c>
      <c r="BE655">
        <v>0</v>
      </c>
      <c r="BF655">
        <v>0</v>
      </c>
      <c r="BG655">
        <v>0</v>
      </c>
      <c r="BH655">
        <v>0</v>
      </c>
      <c r="BI655" t="s">
        <v>9</v>
      </c>
      <c r="BJ655">
        <v>-3.5169999999999997E-5</v>
      </c>
      <c r="BK655">
        <v>0</v>
      </c>
      <c r="BL655">
        <v>-6.8900000000000001E-6</v>
      </c>
      <c r="BM655" s="2">
        <f t="shared" si="10"/>
        <v>5.1511293626909791E-8</v>
      </c>
    </row>
    <row r="656" spans="1:65" x14ac:dyDescent="0.35">
      <c r="A656">
        <v>0</v>
      </c>
      <c r="B656" t="s">
        <v>3</v>
      </c>
      <c r="C656" t="s">
        <v>4</v>
      </c>
      <c r="D656">
        <v>0</v>
      </c>
      <c r="E656" t="s">
        <v>3</v>
      </c>
      <c r="F656" t="s">
        <v>5</v>
      </c>
      <c r="G656">
        <v>4399.7420110000003</v>
      </c>
      <c r="H656" t="s">
        <v>4</v>
      </c>
      <c r="I656">
        <v>990.16341899999998</v>
      </c>
      <c r="J656">
        <v>3409.5785919999998</v>
      </c>
      <c r="K656" t="s">
        <v>6</v>
      </c>
      <c r="L656" t="s">
        <v>7</v>
      </c>
      <c r="M656" t="s">
        <v>8</v>
      </c>
      <c r="N656" t="s">
        <v>6</v>
      </c>
      <c r="O656" t="s">
        <v>3</v>
      </c>
      <c r="P656" t="s">
        <v>3</v>
      </c>
      <c r="Q656" t="s">
        <v>3</v>
      </c>
      <c r="R656" t="s">
        <v>3</v>
      </c>
      <c r="S656" t="s">
        <v>3</v>
      </c>
      <c r="T656" t="s">
        <v>7</v>
      </c>
      <c r="U656">
        <v>2</v>
      </c>
      <c r="V656">
        <v>0</v>
      </c>
      <c r="W656">
        <v>0</v>
      </c>
      <c r="X656">
        <v>0</v>
      </c>
      <c r="Y656">
        <v>2</v>
      </c>
      <c r="Z656" t="s">
        <v>9</v>
      </c>
      <c r="AA656" t="s">
        <v>4</v>
      </c>
      <c r="AB656" t="s">
        <v>6</v>
      </c>
      <c r="AC656" t="s">
        <v>7</v>
      </c>
      <c r="AD656" t="s">
        <v>8</v>
      </c>
      <c r="AE656" t="s">
        <v>6</v>
      </c>
      <c r="AF656" t="s">
        <v>3</v>
      </c>
      <c r="AG656" t="s">
        <v>3</v>
      </c>
      <c r="AH656" t="s">
        <v>3</v>
      </c>
      <c r="AI656" t="s">
        <v>3</v>
      </c>
      <c r="AJ656" t="s">
        <v>3</v>
      </c>
      <c r="AK656" t="s">
        <v>7</v>
      </c>
      <c r="AL656">
        <v>0</v>
      </c>
      <c r="AM656">
        <v>0</v>
      </c>
      <c r="AN656">
        <v>0</v>
      </c>
      <c r="AO656">
        <v>0</v>
      </c>
      <c r="AP656">
        <v>0</v>
      </c>
      <c r="AQ656" t="s">
        <v>9</v>
      </c>
      <c r="AR656" s="1">
        <v>2.5008800700000001E-4</v>
      </c>
      <c r="AS656" s="1">
        <v>5.7293132700000003E-25</v>
      </c>
      <c r="AT656">
        <v>27</v>
      </c>
      <c r="AU656" t="s">
        <v>10</v>
      </c>
      <c r="AV656">
        <v>2</v>
      </c>
      <c r="AW656">
        <v>0</v>
      </c>
      <c r="AX656">
        <v>0</v>
      </c>
      <c r="AY656">
        <v>0</v>
      </c>
      <c r="AZ656">
        <v>2</v>
      </c>
      <c r="BA656" t="s">
        <v>9</v>
      </c>
      <c r="BB656" t="s">
        <v>4</v>
      </c>
      <c r="BC656" t="s">
        <v>10</v>
      </c>
      <c r="BD656">
        <v>0</v>
      </c>
      <c r="BE656">
        <v>0</v>
      </c>
      <c r="BF656">
        <v>0</v>
      </c>
      <c r="BG656">
        <v>0</v>
      </c>
      <c r="BH656">
        <v>0</v>
      </c>
      <c r="BI656" t="s">
        <v>9</v>
      </c>
      <c r="BJ656">
        <v>-2.4998000000000002E-4</v>
      </c>
      <c r="BK656">
        <v>0</v>
      </c>
      <c r="BL656">
        <v>-7.5000000000000002E-6</v>
      </c>
      <c r="BM656" s="2">
        <f t="shared" si="10"/>
        <v>3.4502731199248416E-6</v>
      </c>
    </row>
    <row r="657" spans="1:65" x14ac:dyDescent="0.35">
      <c r="A657">
        <v>0</v>
      </c>
      <c r="B657" t="s">
        <v>11</v>
      </c>
      <c r="C657" t="s">
        <v>4</v>
      </c>
      <c r="D657">
        <v>0</v>
      </c>
      <c r="E657" t="s">
        <v>3</v>
      </c>
      <c r="F657" t="s">
        <v>5</v>
      </c>
      <c r="G657">
        <v>4051.0931759999999</v>
      </c>
      <c r="H657" t="s">
        <v>4</v>
      </c>
      <c r="I657">
        <v>990.16341899999998</v>
      </c>
      <c r="J657">
        <v>3060.9297569999999</v>
      </c>
      <c r="K657" t="s">
        <v>6</v>
      </c>
      <c r="L657" t="s">
        <v>7</v>
      </c>
      <c r="M657" t="s">
        <v>8</v>
      </c>
      <c r="N657" t="s">
        <v>6</v>
      </c>
      <c r="O657" t="s">
        <v>3</v>
      </c>
      <c r="P657" t="s">
        <v>3</v>
      </c>
      <c r="Q657" t="s">
        <v>3</v>
      </c>
      <c r="R657" t="s">
        <v>3</v>
      </c>
      <c r="S657" t="s">
        <v>11</v>
      </c>
      <c r="T657" t="s">
        <v>7</v>
      </c>
      <c r="U657">
        <v>2</v>
      </c>
      <c r="V657">
        <v>0</v>
      </c>
      <c r="W657">
        <v>0</v>
      </c>
      <c r="X657">
        <v>2</v>
      </c>
      <c r="Y657">
        <v>0</v>
      </c>
      <c r="Z657" t="s">
        <v>13</v>
      </c>
      <c r="AA657" t="s">
        <v>4</v>
      </c>
      <c r="AB657" t="s">
        <v>6</v>
      </c>
      <c r="AC657" t="s">
        <v>7</v>
      </c>
      <c r="AD657" t="s">
        <v>8</v>
      </c>
      <c r="AE657" t="s">
        <v>6</v>
      </c>
      <c r="AF657" t="s">
        <v>3</v>
      </c>
      <c r="AG657" t="s">
        <v>3</v>
      </c>
      <c r="AH657" t="s">
        <v>3</v>
      </c>
      <c r="AI657" t="s">
        <v>3</v>
      </c>
      <c r="AJ657" t="s">
        <v>3</v>
      </c>
      <c r="AK657" t="s">
        <v>7</v>
      </c>
      <c r="AL657">
        <v>0</v>
      </c>
      <c r="AM657">
        <v>0</v>
      </c>
      <c r="AN657">
        <v>0</v>
      </c>
      <c r="AO657">
        <v>0</v>
      </c>
      <c r="AP657">
        <v>0</v>
      </c>
      <c r="AQ657" t="s">
        <v>9</v>
      </c>
      <c r="AR657" s="1">
        <v>5.0117491399999998E-5</v>
      </c>
      <c r="AS657" s="1">
        <v>2.06560849E-26</v>
      </c>
      <c r="AT657">
        <v>28</v>
      </c>
      <c r="AU657" t="s">
        <v>10</v>
      </c>
      <c r="AV657">
        <v>2</v>
      </c>
      <c r="AW657">
        <v>0</v>
      </c>
      <c r="AX657">
        <v>0</v>
      </c>
      <c r="AY657">
        <v>2</v>
      </c>
      <c r="AZ657">
        <v>0</v>
      </c>
      <c r="BA657" t="s">
        <v>13</v>
      </c>
      <c r="BB657" t="s">
        <v>4</v>
      </c>
      <c r="BC657" t="s">
        <v>10</v>
      </c>
      <c r="BD657">
        <v>0</v>
      </c>
      <c r="BE657">
        <v>0</v>
      </c>
      <c r="BF657">
        <v>0</v>
      </c>
      <c r="BG657">
        <v>0</v>
      </c>
      <c r="BH657">
        <v>0</v>
      </c>
      <c r="BI657" t="s">
        <v>9</v>
      </c>
      <c r="BJ657">
        <v>0</v>
      </c>
      <c r="BK657">
        <v>-5.0120000000000001E-5</v>
      </c>
      <c r="BL657">
        <v>0</v>
      </c>
      <c r="BM657" s="2">
        <f t="shared" si="10"/>
        <v>1.2439385164455391E-7</v>
      </c>
    </row>
    <row r="658" spans="1:65" x14ac:dyDescent="0.35">
      <c r="A658">
        <v>0</v>
      </c>
      <c r="B658" t="s">
        <v>3</v>
      </c>
      <c r="C658" t="s">
        <v>4</v>
      </c>
      <c r="D658">
        <v>0</v>
      </c>
      <c r="E658" t="s">
        <v>3</v>
      </c>
      <c r="F658" t="s">
        <v>5</v>
      </c>
      <c r="G658">
        <v>3568.5321049999998</v>
      </c>
      <c r="H658" t="s">
        <v>4</v>
      </c>
      <c r="I658">
        <v>990.16341899999998</v>
      </c>
      <c r="J658">
        <v>2578.3686859999998</v>
      </c>
      <c r="K658" t="s">
        <v>6</v>
      </c>
      <c r="L658" t="s">
        <v>7</v>
      </c>
      <c r="M658" t="s">
        <v>8</v>
      </c>
      <c r="N658" t="s">
        <v>6</v>
      </c>
      <c r="O658" t="s">
        <v>3</v>
      </c>
      <c r="P658" t="s">
        <v>3</v>
      </c>
      <c r="Q658" t="s">
        <v>3</v>
      </c>
      <c r="R658" t="s">
        <v>3</v>
      </c>
      <c r="S658" t="s">
        <v>3</v>
      </c>
      <c r="T658" t="s">
        <v>7</v>
      </c>
      <c r="U658">
        <v>1</v>
      </c>
      <c r="V658">
        <v>0</v>
      </c>
      <c r="W658">
        <v>0</v>
      </c>
      <c r="X658">
        <v>0</v>
      </c>
      <c r="Y658">
        <v>2</v>
      </c>
      <c r="Z658" t="s">
        <v>9</v>
      </c>
      <c r="AA658" t="s">
        <v>4</v>
      </c>
      <c r="AB658" t="s">
        <v>6</v>
      </c>
      <c r="AC658" t="s">
        <v>7</v>
      </c>
      <c r="AD658" t="s">
        <v>8</v>
      </c>
      <c r="AE658" t="s">
        <v>6</v>
      </c>
      <c r="AF658" t="s">
        <v>3</v>
      </c>
      <c r="AG658" t="s">
        <v>3</v>
      </c>
      <c r="AH658" t="s">
        <v>3</v>
      </c>
      <c r="AI658" t="s">
        <v>3</v>
      </c>
      <c r="AJ658" t="s">
        <v>3</v>
      </c>
      <c r="AK658" t="s">
        <v>7</v>
      </c>
      <c r="AL658">
        <v>0</v>
      </c>
      <c r="AM658">
        <v>0</v>
      </c>
      <c r="AN658">
        <v>0</v>
      </c>
      <c r="AO658">
        <v>0</v>
      </c>
      <c r="AP658">
        <v>0</v>
      </c>
      <c r="AQ658" t="s">
        <v>9</v>
      </c>
      <c r="AR658" s="1">
        <v>2.498901E-3</v>
      </c>
      <c r="AS658" s="1">
        <v>4.3257117799999999E-23</v>
      </c>
      <c r="AT658">
        <v>27</v>
      </c>
      <c r="AU658" t="s">
        <v>10</v>
      </c>
      <c r="AV658">
        <v>1</v>
      </c>
      <c r="AW658">
        <v>0</v>
      </c>
      <c r="AX658">
        <v>0</v>
      </c>
      <c r="AY658">
        <v>0</v>
      </c>
      <c r="AZ658">
        <v>2</v>
      </c>
      <c r="BA658" t="s">
        <v>9</v>
      </c>
      <c r="BB658" t="s">
        <v>4</v>
      </c>
      <c r="BC658" t="s">
        <v>10</v>
      </c>
      <c r="BD658">
        <v>0</v>
      </c>
      <c r="BE658">
        <v>0</v>
      </c>
      <c r="BF658">
        <v>0</v>
      </c>
      <c r="BG658">
        <v>0</v>
      </c>
      <c r="BH658">
        <v>0</v>
      </c>
      <c r="BI658" t="s">
        <v>9</v>
      </c>
      <c r="BJ658">
        <v>-2.4918900000000001E-3</v>
      </c>
      <c r="BK658">
        <v>0</v>
      </c>
      <c r="BL658">
        <v>-1.8705999999999999E-4</v>
      </c>
      <c r="BM658" s="2">
        <f t="shared" si="10"/>
        <v>2.6050045399378624E-4</v>
      </c>
    </row>
    <row r="659" spans="1:65" x14ac:dyDescent="0.35">
      <c r="A659">
        <v>0</v>
      </c>
      <c r="B659" t="s">
        <v>3</v>
      </c>
      <c r="C659" t="s">
        <v>4</v>
      </c>
      <c r="D659">
        <v>0</v>
      </c>
      <c r="E659" t="s">
        <v>3</v>
      </c>
      <c r="F659" t="s">
        <v>5</v>
      </c>
      <c r="G659">
        <v>3277.2262040000001</v>
      </c>
      <c r="H659" t="s">
        <v>4</v>
      </c>
      <c r="I659">
        <v>990.16341899999998</v>
      </c>
      <c r="J659">
        <v>2287.0627850000001</v>
      </c>
      <c r="K659" t="s">
        <v>6</v>
      </c>
      <c r="L659" t="s">
        <v>7</v>
      </c>
      <c r="M659" t="s">
        <v>8</v>
      </c>
      <c r="N659" t="s">
        <v>6</v>
      </c>
      <c r="O659" t="s">
        <v>3</v>
      </c>
      <c r="P659" t="s">
        <v>3</v>
      </c>
      <c r="Q659" t="s">
        <v>3</v>
      </c>
      <c r="R659" t="s">
        <v>3</v>
      </c>
      <c r="S659" t="s">
        <v>3</v>
      </c>
      <c r="T659" t="s">
        <v>7</v>
      </c>
      <c r="U659">
        <v>0</v>
      </c>
      <c r="V659">
        <v>0</v>
      </c>
      <c r="W659">
        <v>0</v>
      </c>
      <c r="X659">
        <v>1</v>
      </c>
      <c r="Y659">
        <v>1</v>
      </c>
      <c r="Z659" t="s">
        <v>21</v>
      </c>
      <c r="AA659" t="s">
        <v>4</v>
      </c>
      <c r="AB659" t="s">
        <v>6</v>
      </c>
      <c r="AC659" t="s">
        <v>7</v>
      </c>
      <c r="AD659" t="s">
        <v>8</v>
      </c>
      <c r="AE659" t="s">
        <v>6</v>
      </c>
      <c r="AF659" t="s">
        <v>3</v>
      </c>
      <c r="AG659" t="s">
        <v>3</v>
      </c>
      <c r="AH659" t="s">
        <v>3</v>
      </c>
      <c r="AI659" t="s">
        <v>3</v>
      </c>
      <c r="AJ659" t="s">
        <v>3</v>
      </c>
      <c r="AK659" t="s">
        <v>7</v>
      </c>
      <c r="AL659">
        <v>0</v>
      </c>
      <c r="AM659">
        <v>0</v>
      </c>
      <c r="AN659">
        <v>0</v>
      </c>
      <c r="AO659">
        <v>0</v>
      </c>
      <c r="AP659">
        <v>0</v>
      </c>
      <c r="AQ659" t="s">
        <v>9</v>
      </c>
      <c r="AR659" s="1">
        <v>3.84601742E-4</v>
      </c>
      <c r="AS659" s="1">
        <v>9.0888678699999991E-25</v>
      </c>
      <c r="AT659">
        <v>31</v>
      </c>
      <c r="AU659" t="s">
        <v>10</v>
      </c>
      <c r="AV659">
        <v>0</v>
      </c>
      <c r="AW659">
        <v>0</v>
      </c>
      <c r="AX659">
        <v>0</v>
      </c>
      <c r="AY659">
        <v>1</v>
      </c>
      <c r="AZ659">
        <v>1</v>
      </c>
      <c r="BA659" t="s">
        <v>21</v>
      </c>
      <c r="BB659" t="s">
        <v>4</v>
      </c>
      <c r="BC659" t="s">
        <v>10</v>
      </c>
      <c r="BD659">
        <v>0</v>
      </c>
      <c r="BE659">
        <v>0</v>
      </c>
      <c r="BF659">
        <v>0</v>
      </c>
      <c r="BG659">
        <v>0</v>
      </c>
      <c r="BH659">
        <v>0</v>
      </c>
      <c r="BI659" t="s">
        <v>9</v>
      </c>
      <c r="BJ659">
        <v>3.7059000000000001E-4</v>
      </c>
      <c r="BK659">
        <v>0</v>
      </c>
      <c r="BL659">
        <v>-1.0286E-4</v>
      </c>
      <c r="BM659" s="2">
        <f t="shared" si="10"/>
        <v>5.473444202573609E-6</v>
      </c>
    </row>
    <row r="660" spans="1:65" x14ac:dyDescent="0.35">
      <c r="A660">
        <v>0</v>
      </c>
      <c r="B660" t="s">
        <v>3</v>
      </c>
      <c r="C660" t="s">
        <v>4</v>
      </c>
      <c r="D660">
        <v>0</v>
      </c>
      <c r="E660" t="s">
        <v>3</v>
      </c>
      <c r="F660" t="s">
        <v>5</v>
      </c>
      <c r="G660">
        <v>2477.164131</v>
      </c>
      <c r="H660" t="s">
        <v>4</v>
      </c>
      <c r="I660">
        <v>990.16341899999998</v>
      </c>
      <c r="J660">
        <v>1487.000712</v>
      </c>
      <c r="K660" t="s">
        <v>6</v>
      </c>
      <c r="L660" t="s">
        <v>7</v>
      </c>
      <c r="M660" t="s">
        <v>8</v>
      </c>
      <c r="N660" t="s">
        <v>6</v>
      </c>
      <c r="O660" t="s">
        <v>3</v>
      </c>
      <c r="P660" t="s">
        <v>3</v>
      </c>
      <c r="Q660" t="s">
        <v>3</v>
      </c>
      <c r="R660" t="s">
        <v>3</v>
      </c>
      <c r="S660" t="s">
        <v>3</v>
      </c>
      <c r="T660" t="s">
        <v>7</v>
      </c>
      <c r="U660">
        <v>0</v>
      </c>
      <c r="V660">
        <v>0</v>
      </c>
      <c r="W660">
        <v>0</v>
      </c>
      <c r="X660">
        <v>1</v>
      </c>
      <c r="Y660">
        <v>1</v>
      </c>
      <c r="Z660" t="s">
        <v>15</v>
      </c>
      <c r="AA660" t="s">
        <v>4</v>
      </c>
      <c r="AB660" t="s">
        <v>6</v>
      </c>
      <c r="AC660" t="s">
        <v>7</v>
      </c>
      <c r="AD660" t="s">
        <v>8</v>
      </c>
      <c r="AE660" t="s">
        <v>6</v>
      </c>
      <c r="AF660" t="s">
        <v>3</v>
      </c>
      <c r="AG660" t="s">
        <v>3</v>
      </c>
      <c r="AH660" t="s">
        <v>3</v>
      </c>
      <c r="AI660" t="s">
        <v>3</v>
      </c>
      <c r="AJ660" t="s">
        <v>3</v>
      </c>
      <c r="AK660" t="s">
        <v>7</v>
      </c>
      <c r="AL660">
        <v>0</v>
      </c>
      <c r="AM660">
        <v>0</v>
      </c>
      <c r="AN660">
        <v>0</v>
      </c>
      <c r="AO660">
        <v>0</v>
      </c>
      <c r="AP660">
        <v>0</v>
      </c>
      <c r="AQ660" t="s">
        <v>9</v>
      </c>
      <c r="AR660" s="1">
        <v>1.65676684E-4</v>
      </c>
      <c r="AS660" s="1">
        <v>1.0957689800000001E-25</v>
      </c>
      <c r="AT660">
        <v>27</v>
      </c>
      <c r="AU660" t="s">
        <v>10</v>
      </c>
      <c r="AV660">
        <v>0</v>
      </c>
      <c r="AW660">
        <v>0</v>
      </c>
      <c r="AX660">
        <v>0</v>
      </c>
      <c r="AY660">
        <v>1</v>
      </c>
      <c r="AZ660">
        <v>1</v>
      </c>
      <c r="BA660" t="s">
        <v>15</v>
      </c>
      <c r="BB660" t="s">
        <v>4</v>
      </c>
      <c r="BC660" t="s">
        <v>10</v>
      </c>
      <c r="BD660">
        <v>0</v>
      </c>
      <c r="BE660">
        <v>0</v>
      </c>
      <c r="BF660">
        <v>0</v>
      </c>
      <c r="BG660">
        <v>0</v>
      </c>
      <c r="BH660">
        <v>0</v>
      </c>
      <c r="BI660" t="s">
        <v>9</v>
      </c>
      <c r="BJ660">
        <v>-3.0020000000000001E-5</v>
      </c>
      <c r="BK660">
        <v>0</v>
      </c>
      <c r="BL660">
        <v>-1.6292999999999999E-4</v>
      </c>
      <c r="BM660" s="2">
        <f t="shared" si="10"/>
        <v>6.5988750818323835E-7</v>
      </c>
    </row>
    <row r="661" spans="1:65" x14ac:dyDescent="0.35">
      <c r="A661">
        <v>0</v>
      </c>
      <c r="B661" t="s">
        <v>11</v>
      </c>
      <c r="C661" t="s">
        <v>4</v>
      </c>
      <c r="D661">
        <v>0</v>
      </c>
      <c r="E661" t="s">
        <v>3</v>
      </c>
      <c r="F661" t="s">
        <v>5</v>
      </c>
      <c r="G661">
        <v>3848.0580669999999</v>
      </c>
      <c r="H661" t="s">
        <v>4</v>
      </c>
      <c r="I661">
        <v>990.16341899999998</v>
      </c>
      <c r="J661">
        <v>2857.894648</v>
      </c>
      <c r="K661" t="s">
        <v>6</v>
      </c>
      <c r="L661" t="s">
        <v>7</v>
      </c>
      <c r="M661" t="s">
        <v>8</v>
      </c>
      <c r="N661" t="s">
        <v>6</v>
      </c>
      <c r="O661" t="s">
        <v>3</v>
      </c>
      <c r="P661" t="s">
        <v>3</v>
      </c>
      <c r="Q661" t="s">
        <v>3</v>
      </c>
      <c r="R661" t="s">
        <v>3</v>
      </c>
      <c r="S661" t="s">
        <v>11</v>
      </c>
      <c r="T661" t="s">
        <v>7</v>
      </c>
      <c r="U661">
        <v>0</v>
      </c>
      <c r="V661">
        <v>2</v>
      </c>
      <c r="W661">
        <v>0</v>
      </c>
      <c r="X661">
        <v>2</v>
      </c>
      <c r="Y661">
        <v>0</v>
      </c>
      <c r="Z661" t="s">
        <v>18</v>
      </c>
      <c r="AA661" t="s">
        <v>4</v>
      </c>
      <c r="AB661" t="s">
        <v>6</v>
      </c>
      <c r="AC661" t="s">
        <v>7</v>
      </c>
      <c r="AD661" t="s">
        <v>8</v>
      </c>
      <c r="AE661" t="s">
        <v>6</v>
      </c>
      <c r="AF661" t="s">
        <v>3</v>
      </c>
      <c r="AG661" t="s">
        <v>3</v>
      </c>
      <c r="AH661" t="s">
        <v>3</v>
      </c>
      <c r="AI661" t="s">
        <v>3</v>
      </c>
      <c r="AJ661" t="s">
        <v>3</v>
      </c>
      <c r="AK661" t="s">
        <v>7</v>
      </c>
      <c r="AL661">
        <v>0</v>
      </c>
      <c r="AM661">
        <v>0</v>
      </c>
      <c r="AN661">
        <v>0</v>
      </c>
      <c r="AO661">
        <v>0</v>
      </c>
      <c r="AP661">
        <v>0</v>
      </c>
      <c r="AQ661" t="s">
        <v>9</v>
      </c>
      <c r="AR661" s="1">
        <v>8.3417658599999997E-6</v>
      </c>
      <c r="AS661" s="1">
        <v>5.3429108500000004E-28</v>
      </c>
      <c r="AT661">
        <v>27</v>
      </c>
      <c r="AU661" t="s">
        <v>10</v>
      </c>
      <c r="AV661">
        <v>0</v>
      </c>
      <c r="AW661">
        <v>2</v>
      </c>
      <c r="AX661">
        <v>0</v>
      </c>
      <c r="AY661">
        <v>2</v>
      </c>
      <c r="AZ661">
        <v>0</v>
      </c>
      <c r="BA661" t="s">
        <v>18</v>
      </c>
      <c r="BB661" t="s">
        <v>4</v>
      </c>
      <c r="BC661" t="s">
        <v>10</v>
      </c>
      <c r="BD661">
        <v>0</v>
      </c>
      <c r="BE661">
        <v>0</v>
      </c>
      <c r="BF661">
        <v>0</v>
      </c>
      <c r="BG661">
        <v>0</v>
      </c>
      <c r="BH661">
        <v>0</v>
      </c>
      <c r="BI661" t="s">
        <v>9</v>
      </c>
      <c r="BJ661">
        <v>0</v>
      </c>
      <c r="BK661">
        <v>8.3399999999999998E-6</v>
      </c>
      <c r="BL661">
        <v>0</v>
      </c>
      <c r="BM661" s="2">
        <f t="shared" si="10"/>
        <v>3.2175761420547685E-9</v>
      </c>
    </row>
    <row r="662" spans="1:65" x14ac:dyDescent="0.35">
      <c r="A662">
        <v>0</v>
      </c>
      <c r="B662" t="s">
        <v>3</v>
      </c>
      <c r="C662" t="s">
        <v>4</v>
      </c>
      <c r="D662">
        <v>0</v>
      </c>
      <c r="E662" t="s">
        <v>3</v>
      </c>
      <c r="F662" t="s">
        <v>5</v>
      </c>
      <c r="G662">
        <v>1927.338129</v>
      </c>
      <c r="H662" t="s">
        <v>4</v>
      </c>
      <c r="I662">
        <v>990.16341899999998</v>
      </c>
      <c r="J662">
        <v>937.17471</v>
      </c>
      <c r="K662" t="s">
        <v>6</v>
      </c>
      <c r="L662" t="s">
        <v>7</v>
      </c>
      <c r="M662" t="s">
        <v>8</v>
      </c>
      <c r="N662" t="s">
        <v>6</v>
      </c>
      <c r="O662" t="s">
        <v>3</v>
      </c>
      <c r="P662" t="s">
        <v>3</v>
      </c>
      <c r="Q662" t="s">
        <v>3</v>
      </c>
      <c r="R662" t="s">
        <v>3</v>
      </c>
      <c r="S662" t="s">
        <v>3</v>
      </c>
      <c r="T662" t="s">
        <v>7</v>
      </c>
      <c r="U662">
        <v>0</v>
      </c>
      <c r="V662">
        <v>0</v>
      </c>
      <c r="W662">
        <v>0</v>
      </c>
      <c r="X662">
        <v>0</v>
      </c>
      <c r="Y662">
        <v>1</v>
      </c>
      <c r="Z662" t="s">
        <v>9</v>
      </c>
      <c r="AA662" t="s">
        <v>4</v>
      </c>
      <c r="AB662" t="s">
        <v>6</v>
      </c>
      <c r="AC662" t="s">
        <v>7</v>
      </c>
      <c r="AD662" t="s">
        <v>8</v>
      </c>
      <c r="AE662" t="s">
        <v>6</v>
      </c>
      <c r="AF662" t="s">
        <v>3</v>
      </c>
      <c r="AG662" t="s">
        <v>3</v>
      </c>
      <c r="AH662" t="s">
        <v>3</v>
      </c>
      <c r="AI662" t="s">
        <v>3</v>
      </c>
      <c r="AJ662" t="s">
        <v>3</v>
      </c>
      <c r="AK662" t="s">
        <v>7</v>
      </c>
      <c r="AL662">
        <v>0</v>
      </c>
      <c r="AM662">
        <v>0</v>
      </c>
      <c r="AN662">
        <v>0</v>
      </c>
      <c r="AO662">
        <v>0</v>
      </c>
      <c r="AP662">
        <v>0</v>
      </c>
      <c r="AQ662" t="s">
        <v>9</v>
      </c>
      <c r="AR662" s="1">
        <v>0.25786430399999999</v>
      </c>
      <c r="AS662" s="1">
        <v>1.6561011900000001E-19</v>
      </c>
      <c r="AT662">
        <v>32</v>
      </c>
      <c r="AU662" t="s">
        <v>10</v>
      </c>
      <c r="AV662">
        <v>0</v>
      </c>
      <c r="AW662">
        <v>0</v>
      </c>
      <c r="AX662">
        <v>0</v>
      </c>
      <c r="AY662">
        <v>0</v>
      </c>
      <c r="AZ662">
        <v>1</v>
      </c>
      <c r="BA662" t="s">
        <v>9</v>
      </c>
      <c r="BB662" t="s">
        <v>4</v>
      </c>
      <c r="BC662" t="s">
        <v>10</v>
      </c>
      <c r="BD662">
        <v>0</v>
      </c>
      <c r="BE662">
        <v>0</v>
      </c>
      <c r="BF662">
        <v>0</v>
      </c>
      <c r="BG662">
        <v>0</v>
      </c>
      <c r="BH662">
        <v>0</v>
      </c>
      <c r="BI662" t="s">
        <v>9</v>
      </c>
      <c r="BJ662">
        <v>-7.9969700000000008E-3</v>
      </c>
      <c r="BK662">
        <v>0</v>
      </c>
      <c r="BL662">
        <v>0.25774026999999999</v>
      </c>
      <c r="BM662" s="2">
        <f t="shared" si="10"/>
        <v>0.99732745452275529</v>
      </c>
    </row>
    <row r="663" spans="1:65" x14ac:dyDescent="0.35">
      <c r="A663">
        <v>0</v>
      </c>
      <c r="B663" t="s">
        <v>11</v>
      </c>
      <c r="C663" t="s">
        <v>4</v>
      </c>
      <c r="D663">
        <v>0</v>
      </c>
      <c r="E663" t="s">
        <v>3</v>
      </c>
      <c r="F663" t="s">
        <v>5</v>
      </c>
      <c r="G663">
        <v>4809.2739089999995</v>
      </c>
      <c r="H663" t="s">
        <v>4</v>
      </c>
      <c r="I663">
        <v>990.16341899999998</v>
      </c>
      <c r="J663">
        <v>3819.11049</v>
      </c>
      <c r="K663" t="s">
        <v>6</v>
      </c>
      <c r="L663" t="s">
        <v>7</v>
      </c>
      <c r="M663" t="s">
        <v>8</v>
      </c>
      <c r="N663" t="s">
        <v>6</v>
      </c>
      <c r="O663" t="s">
        <v>3</v>
      </c>
      <c r="P663" t="s">
        <v>3</v>
      </c>
      <c r="Q663" t="s">
        <v>3</v>
      </c>
      <c r="R663" t="s">
        <v>3</v>
      </c>
      <c r="S663" t="s">
        <v>11</v>
      </c>
      <c r="T663" t="s">
        <v>7</v>
      </c>
      <c r="U663">
        <v>2</v>
      </c>
      <c r="V663">
        <v>2</v>
      </c>
      <c r="W663">
        <v>0</v>
      </c>
      <c r="X663">
        <v>0</v>
      </c>
      <c r="Y663">
        <v>0</v>
      </c>
      <c r="Z663" t="s">
        <v>18</v>
      </c>
      <c r="AA663" t="s">
        <v>4</v>
      </c>
      <c r="AB663" t="s">
        <v>6</v>
      </c>
      <c r="AC663" t="s">
        <v>7</v>
      </c>
      <c r="AD663" t="s">
        <v>8</v>
      </c>
      <c r="AE663" t="s">
        <v>6</v>
      </c>
      <c r="AF663" t="s">
        <v>3</v>
      </c>
      <c r="AG663" t="s">
        <v>3</v>
      </c>
      <c r="AH663" t="s">
        <v>3</v>
      </c>
      <c r="AI663" t="s">
        <v>3</v>
      </c>
      <c r="AJ663" t="s">
        <v>3</v>
      </c>
      <c r="AK663" t="s">
        <v>7</v>
      </c>
      <c r="AL663">
        <v>0</v>
      </c>
      <c r="AM663">
        <v>0</v>
      </c>
      <c r="AN663">
        <v>0</v>
      </c>
      <c r="AO663">
        <v>0</v>
      </c>
      <c r="AP663">
        <v>0</v>
      </c>
      <c r="AQ663" t="s">
        <v>9</v>
      </c>
      <c r="AR663" s="1">
        <v>7.1008047900000001E-7</v>
      </c>
      <c r="AS663" s="1">
        <v>5.1736081100000001E-30</v>
      </c>
      <c r="AT663">
        <v>29</v>
      </c>
      <c r="AU663" t="s">
        <v>10</v>
      </c>
      <c r="AV663">
        <v>2</v>
      </c>
      <c r="AW663">
        <v>2</v>
      </c>
      <c r="AX663">
        <v>0</v>
      </c>
      <c r="AY663">
        <v>0</v>
      </c>
      <c r="AZ663">
        <v>0</v>
      </c>
      <c r="BA663" t="s">
        <v>18</v>
      </c>
      <c r="BB663" t="s">
        <v>4</v>
      </c>
      <c r="BC663" t="s">
        <v>10</v>
      </c>
      <c r="BD663">
        <v>0</v>
      </c>
      <c r="BE663">
        <v>0</v>
      </c>
      <c r="BF663">
        <v>0</v>
      </c>
      <c r="BG663">
        <v>0</v>
      </c>
      <c r="BH663">
        <v>0</v>
      </c>
      <c r="BI663" t="s">
        <v>9</v>
      </c>
      <c r="BJ663">
        <v>0</v>
      </c>
      <c r="BK663">
        <v>7.0999999999999998E-7</v>
      </c>
      <c r="BL663">
        <v>0</v>
      </c>
      <c r="BM663" s="2">
        <f t="shared" si="10"/>
        <v>3.1156196482441887E-11</v>
      </c>
    </row>
    <row r="664" spans="1:65" x14ac:dyDescent="0.35">
      <c r="A664">
        <v>0</v>
      </c>
      <c r="B664" t="s">
        <v>3</v>
      </c>
      <c r="C664" t="s">
        <v>4</v>
      </c>
      <c r="D664">
        <v>0</v>
      </c>
      <c r="E664" t="s">
        <v>3</v>
      </c>
      <c r="F664" t="s">
        <v>5</v>
      </c>
      <c r="G664">
        <v>3951.821582</v>
      </c>
      <c r="H664" t="s">
        <v>4</v>
      </c>
      <c r="I664">
        <v>990.16341899999998</v>
      </c>
      <c r="J664">
        <v>2961.6581630000001</v>
      </c>
      <c r="K664" t="s">
        <v>6</v>
      </c>
      <c r="L664" t="s">
        <v>7</v>
      </c>
      <c r="M664" t="s">
        <v>8</v>
      </c>
      <c r="N664" t="s">
        <v>6</v>
      </c>
      <c r="O664" t="s">
        <v>3</v>
      </c>
      <c r="P664" t="s">
        <v>3</v>
      </c>
      <c r="Q664" t="s">
        <v>3</v>
      </c>
      <c r="R664" t="s">
        <v>3</v>
      </c>
      <c r="S664" t="s">
        <v>3</v>
      </c>
      <c r="T664" t="s">
        <v>7</v>
      </c>
      <c r="U664">
        <v>2</v>
      </c>
      <c r="V664">
        <v>1</v>
      </c>
      <c r="W664">
        <v>0</v>
      </c>
      <c r="X664">
        <v>0</v>
      </c>
      <c r="Y664">
        <v>0</v>
      </c>
      <c r="Z664" t="s">
        <v>9</v>
      </c>
      <c r="AA664" t="s">
        <v>4</v>
      </c>
      <c r="AB664" t="s">
        <v>6</v>
      </c>
      <c r="AC664" t="s">
        <v>7</v>
      </c>
      <c r="AD664" t="s">
        <v>8</v>
      </c>
      <c r="AE664" t="s">
        <v>6</v>
      </c>
      <c r="AF664" t="s">
        <v>3</v>
      </c>
      <c r="AG664" t="s">
        <v>3</v>
      </c>
      <c r="AH664" t="s">
        <v>3</v>
      </c>
      <c r="AI664" t="s">
        <v>3</v>
      </c>
      <c r="AJ664" t="s">
        <v>3</v>
      </c>
      <c r="AK664" t="s">
        <v>7</v>
      </c>
      <c r="AL664">
        <v>0</v>
      </c>
      <c r="AM664">
        <v>0</v>
      </c>
      <c r="AN664">
        <v>0</v>
      </c>
      <c r="AO664">
        <v>0</v>
      </c>
      <c r="AP664">
        <v>0</v>
      </c>
      <c r="AQ664" t="s">
        <v>9</v>
      </c>
      <c r="AR664" s="1">
        <v>1.8272027200000001E-4</v>
      </c>
      <c r="AS664" s="1">
        <v>2.6565885300000001E-25</v>
      </c>
      <c r="AT664">
        <v>27</v>
      </c>
      <c r="AU664" t="s">
        <v>10</v>
      </c>
      <c r="AV664">
        <v>2</v>
      </c>
      <c r="AW664">
        <v>1</v>
      </c>
      <c r="AX664">
        <v>0</v>
      </c>
      <c r="AY664">
        <v>0</v>
      </c>
      <c r="AZ664">
        <v>0</v>
      </c>
      <c r="BA664" t="s">
        <v>9</v>
      </c>
      <c r="BB664" t="s">
        <v>4</v>
      </c>
      <c r="BC664" t="s">
        <v>10</v>
      </c>
      <c r="BD664">
        <v>0</v>
      </c>
      <c r="BE664">
        <v>0</v>
      </c>
      <c r="BF664">
        <v>0</v>
      </c>
      <c r="BG664">
        <v>0</v>
      </c>
      <c r="BH664">
        <v>0</v>
      </c>
      <c r="BI664" t="s">
        <v>9</v>
      </c>
      <c r="BJ664">
        <v>-1.7644000000000001E-4</v>
      </c>
      <c r="BK664">
        <v>0</v>
      </c>
      <c r="BL664">
        <v>4.7479999999999999E-5</v>
      </c>
      <c r="BM664" s="2">
        <f t="shared" si="10"/>
        <v>1.5998350175325025E-6</v>
      </c>
    </row>
    <row r="665" spans="1:65" x14ac:dyDescent="0.35">
      <c r="A665">
        <v>0</v>
      </c>
      <c r="B665" t="s">
        <v>11</v>
      </c>
      <c r="C665" t="s">
        <v>4</v>
      </c>
      <c r="D665">
        <v>0</v>
      </c>
      <c r="E665" t="s">
        <v>3</v>
      </c>
      <c r="F665" t="s">
        <v>5</v>
      </c>
      <c r="G665">
        <v>4548.6470760000002</v>
      </c>
      <c r="H665" t="s">
        <v>4</v>
      </c>
      <c r="I665">
        <v>990.16341899999998</v>
      </c>
      <c r="J665">
        <v>3558.4836570000002</v>
      </c>
      <c r="K665" t="s">
        <v>6</v>
      </c>
      <c r="L665" t="s">
        <v>7</v>
      </c>
      <c r="M665" t="s">
        <v>8</v>
      </c>
      <c r="N665" t="s">
        <v>6</v>
      </c>
      <c r="O665" t="s">
        <v>3</v>
      </c>
      <c r="P665" t="s">
        <v>3</v>
      </c>
      <c r="Q665" t="s">
        <v>3</v>
      </c>
      <c r="R665" t="s">
        <v>3</v>
      </c>
      <c r="S665" t="s">
        <v>11</v>
      </c>
      <c r="T665" t="s">
        <v>7</v>
      </c>
      <c r="U665">
        <v>0</v>
      </c>
      <c r="V665">
        <v>1</v>
      </c>
      <c r="W665">
        <v>0</v>
      </c>
      <c r="X665">
        <v>1</v>
      </c>
      <c r="Y665">
        <v>0</v>
      </c>
      <c r="Z665" t="s">
        <v>23</v>
      </c>
      <c r="AA665" t="s">
        <v>4</v>
      </c>
      <c r="AB665" t="s">
        <v>6</v>
      </c>
      <c r="AC665" t="s">
        <v>7</v>
      </c>
      <c r="AD665" t="s">
        <v>8</v>
      </c>
      <c r="AE665" t="s">
        <v>6</v>
      </c>
      <c r="AF665" t="s">
        <v>3</v>
      </c>
      <c r="AG665" t="s">
        <v>3</v>
      </c>
      <c r="AH665" t="s">
        <v>3</v>
      </c>
      <c r="AI665" t="s">
        <v>3</v>
      </c>
      <c r="AJ665" t="s">
        <v>3</v>
      </c>
      <c r="AK665" t="s">
        <v>7</v>
      </c>
      <c r="AL665">
        <v>0</v>
      </c>
      <c r="AM665">
        <v>0</v>
      </c>
      <c r="AN665">
        <v>0</v>
      </c>
      <c r="AO665">
        <v>0</v>
      </c>
      <c r="AP665">
        <v>0</v>
      </c>
      <c r="AQ665" t="s">
        <v>9</v>
      </c>
      <c r="AR665" s="1">
        <v>7.7481363799999998E-6</v>
      </c>
      <c r="AS665" s="1">
        <v>5.7395208300000001E-28</v>
      </c>
      <c r="AT665">
        <v>27</v>
      </c>
      <c r="AU665" t="s">
        <v>10</v>
      </c>
      <c r="AV665">
        <v>0</v>
      </c>
      <c r="AW665">
        <v>1</v>
      </c>
      <c r="AX665">
        <v>0</v>
      </c>
      <c r="AY665">
        <v>1</v>
      </c>
      <c r="AZ665">
        <v>0</v>
      </c>
      <c r="BA665" t="s">
        <v>23</v>
      </c>
      <c r="BB665" t="s">
        <v>4</v>
      </c>
      <c r="BC665" t="s">
        <v>10</v>
      </c>
      <c r="BD665">
        <v>0</v>
      </c>
      <c r="BE665">
        <v>0</v>
      </c>
      <c r="BF665">
        <v>0</v>
      </c>
      <c r="BG665">
        <v>0</v>
      </c>
      <c r="BH665">
        <v>0</v>
      </c>
      <c r="BI665" t="s">
        <v>9</v>
      </c>
      <c r="BJ665">
        <v>0</v>
      </c>
      <c r="BK665">
        <v>-7.7500000000000003E-6</v>
      </c>
      <c r="BL665">
        <v>0</v>
      </c>
      <c r="BM665" s="2">
        <f t="shared" si="10"/>
        <v>3.4564202562792865E-9</v>
      </c>
    </row>
    <row r="666" spans="1:65" x14ac:dyDescent="0.35">
      <c r="A666">
        <v>0</v>
      </c>
      <c r="B666" t="s">
        <v>11</v>
      </c>
      <c r="C666" t="s">
        <v>4</v>
      </c>
      <c r="D666">
        <v>0</v>
      </c>
      <c r="E666" t="s">
        <v>3</v>
      </c>
      <c r="F666" t="s">
        <v>5</v>
      </c>
      <c r="G666">
        <v>3745.182139</v>
      </c>
      <c r="H666" t="s">
        <v>4</v>
      </c>
      <c r="I666">
        <v>990.16341899999998</v>
      </c>
      <c r="J666">
        <v>2755.01872</v>
      </c>
      <c r="K666" t="s">
        <v>6</v>
      </c>
      <c r="L666" t="s">
        <v>7</v>
      </c>
      <c r="M666" t="s">
        <v>8</v>
      </c>
      <c r="N666" t="s">
        <v>6</v>
      </c>
      <c r="O666" t="s">
        <v>3</v>
      </c>
      <c r="P666" t="s">
        <v>3</v>
      </c>
      <c r="Q666" t="s">
        <v>3</v>
      </c>
      <c r="R666" t="s">
        <v>3</v>
      </c>
      <c r="S666" t="s">
        <v>11</v>
      </c>
      <c r="T666" t="s">
        <v>7</v>
      </c>
      <c r="U666">
        <v>1</v>
      </c>
      <c r="V666">
        <v>0</v>
      </c>
      <c r="W666">
        <v>0</v>
      </c>
      <c r="X666">
        <v>0</v>
      </c>
      <c r="Y666">
        <v>0</v>
      </c>
      <c r="Z666" t="s">
        <v>16</v>
      </c>
      <c r="AA666" t="s">
        <v>4</v>
      </c>
      <c r="AB666" t="s">
        <v>6</v>
      </c>
      <c r="AC666" t="s">
        <v>7</v>
      </c>
      <c r="AD666" t="s">
        <v>8</v>
      </c>
      <c r="AE666" t="s">
        <v>6</v>
      </c>
      <c r="AF666" t="s">
        <v>3</v>
      </c>
      <c r="AG666" t="s">
        <v>3</v>
      </c>
      <c r="AH666" t="s">
        <v>3</v>
      </c>
      <c r="AI666" t="s">
        <v>3</v>
      </c>
      <c r="AJ666" t="s">
        <v>3</v>
      </c>
      <c r="AK666" t="s">
        <v>7</v>
      </c>
      <c r="AL666">
        <v>0</v>
      </c>
      <c r="AM666">
        <v>0</v>
      </c>
      <c r="AN666">
        <v>0</v>
      </c>
      <c r="AO666">
        <v>0</v>
      </c>
      <c r="AP666">
        <v>0</v>
      </c>
      <c r="AQ666" t="s">
        <v>9</v>
      </c>
      <c r="AR666" s="1">
        <v>2.54961122E-4</v>
      </c>
      <c r="AS666" s="1">
        <v>4.8115822600000003E-25</v>
      </c>
      <c r="AT666">
        <v>32</v>
      </c>
      <c r="AU666" t="s">
        <v>10</v>
      </c>
      <c r="AV666">
        <v>1</v>
      </c>
      <c r="AW666">
        <v>0</v>
      </c>
      <c r="AX666">
        <v>0</v>
      </c>
      <c r="AY666">
        <v>0</v>
      </c>
      <c r="AZ666">
        <v>0</v>
      </c>
      <c r="BA666" t="s">
        <v>16</v>
      </c>
      <c r="BB666" t="s">
        <v>4</v>
      </c>
      <c r="BC666" t="s">
        <v>10</v>
      </c>
      <c r="BD666">
        <v>0</v>
      </c>
      <c r="BE666">
        <v>0</v>
      </c>
      <c r="BF666">
        <v>0</v>
      </c>
      <c r="BG666">
        <v>0</v>
      </c>
      <c r="BH666">
        <v>0</v>
      </c>
      <c r="BI666" t="s">
        <v>9</v>
      </c>
      <c r="BJ666">
        <v>0</v>
      </c>
      <c r="BK666">
        <v>2.5495999999999998E-4</v>
      </c>
      <c r="BL666">
        <v>0</v>
      </c>
      <c r="BM666" s="2">
        <f t="shared" si="10"/>
        <v>2.8976025840502211E-6</v>
      </c>
    </row>
    <row r="667" spans="1:65" x14ac:dyDescent="0.35">
      <c r="A667">
        <v>0</v>
      </c>
      <c r="B667" t="s">
        <v>3</v>
      </c>
      <c r="C667" t="s">
        <v>4</v>
      </c>
      <c r="D667">
        <v>0</v>
      </c>
      <c r="E667" t="s">
        <v>3</v>
      </c>
      <c r="F667" t="s">
        <v>5</v>
      </c>
      <c r="G667">
        <v>3068.951454</v>
      </c>
      <c r="H667" t="s">
        <v>4</v>
      </c>
      <c r="I667">
        <v>990.16341899999998</v>
      </c>
      <c r="J667">
        <v>2078.788035</v>
      </c>
      <c r="K667" t="s">
        <v>6</v>
      </c>
      <c r="L667" t="s">
        <v>7</v>
      </c>
      <c r="M667" t="s">
        <v>8</v>
      </c>
      <c r="N667" t="s">
        <v>6</v>
      </c>
      <c r="O667" t="s">
        <v>3</v>
      </c>
      <c r="P667" t="s">
        <v>3</v>
      </c>
      <c r="Q667" t="s">
        <v>3</v>
      </c>
      <c r="R667" t="s">
        <v>3</v>
      </c>
      <c r="S667" t="s">
        <v>3</v>
      </c>
      <c r="T667" t="s">
        <v>7</v>
      </c>
      <c r="U667">
        <v>0</v>
      </c>
      <c r="V667">
        <v>0</v>
      </c>
      <c r="W667">
        <v>0</v>
      </c>
      <c r="X667">
        <v>3</v>
      </c>
      <c r="Y667">
        <v>0</v>
      </c>
      <c r="Z667" t="s">
        <v>24</v>
      </c>
      <c r="AA667" t="s">
        <v>4</v>
      </c>
      <c r="AB667" t="s">
        <v>6</v>
      </c>
      <c r="AC667" t="s">
        <v>7</v>
      </c>
      <c r="AD667" t="s">
        <v>8</v>
      </c>
      <c r="AE667" t="s">
        <v>6</v>
      </c>
      <c r="AF667" t="s">
        <v>3</v>
      </c>
      <c r="AG667" t="s">
        <v>3</v>
      </c>
      <c r="AH667" t="s">
        <v>3</v>
      </c>
      <c r="AI667" t="s">
        <v>3</v>
      </c>
      <c r="AJ667" t="s">
        <v>3</v>
      </c>
      <c r="AK667" t="s">
        <v>7</v>
      </c>
      <c r="AL667">
        <v>0</v>
      </c>
      <c r="AM667">
        <v>0</v>
      </c>
      <c r="AN667">
        <v>0</v>
      </c>
      <c r="AO667">
        <v>0</v>
      </c>
      <c r="AP667">
        <v>0</v>
      </c>
      <c r="AQ667" t="s">
        <v>9</v>
      </c>
      <c r="AR667" s="1">
        <v>3.8653800699999999E-4</v>
      </c>
      <c r="AS667" s="1">
        <v>8.3443357099999994E-25</v>
      </c>
      <c r="AT667">
        <v>29</v>
      </c>
      <c r="AU667" t="s">
        <v>10</v>
      </c>
      <c r="AV667">
        <v>0</v>
      </c>
      <c r="AW667">
        <v>0</v>
      </c>
      <c r="AX667">
        <v>0</v>
      </c>
      <c r="AY667">
        <v>3</v>
      </c>
      <c r="AZ667">
        <v>0</v>
      </c>
      <c r="BA667" t="s">
        <v>24</v>
      </c>
      <c r="BB667" t="s">
        <v>4</v>
      </c>
      <c r="BC667" t="s">
        <v>10</v>
      </c>
      <c r="BD667">
        <v>0</v>
      </c>
      <c r="BE667">
        <v>0</v>
      </c>
      <c r="BF667">
        <v>0</v>
      </c>
      <c r="BG667">
        <v>0</v>
      </c>
      <c r="BH667">
        <v>0</v>
      </c>
      <c r="BI667" t="s">
        <v>9</v>
      </c>
      <c r="BJ667">
        <v>3.8217999999999998E-4</v>
      </c>
      <c r="BK667">
        <v>0</v>
      </c>
      <c r="BL667">
        <v>5.7890000000000003E-5</v>
      </c>
      <c r="BM667" s="2">
        <f t="shared" si="10"/>
        <v>5.0250764528087963E-6</v>
      </c>
    </row>
    <row r="668" spans="1:65" x14ac:dyDescent="0.35">
      <c r="A668">
        <v>0</v>
      </c>
      <c r="B668" t="s">
        <v>3</v>
      </c>
      <c r="C668" t="s">
        <v>4</v>
      </c>
      <c r="D668">
        <v>0</v>
      </c>
      <c r="E668" t="s">
        <v>3</v>
      </c>
      <c r="F668" t="s">
        <v>5</v>
      </c>
      <c r="G668">
        <v>2767.2868450000001</v>
      </c>
      <c r="H668" t="s">
        <v>4</v>
      </c>
      <c r="I668">
        <v>990.16341899999998</v>
      </c>
      <c r="J668">
        <v>1777.1234260000001</v>
      </c>
      <c r="K668" t="s">
        <v>6</v>
      </c>
      <c r="L668" t="s">
        <v>7</v>
      </c>
      <c r="M668" t="s">
        <v>8</v>
      </c>
      <c r="N668" t="s">
        <v>6</v>
      </c>
      <c r="O668" t="s">
        <v>3</v>
      </c>
      <c r="P668" t="s">
        <v>3</v>
      </c>
      <c r="Q668" t="s">
        <v>3</v>
      </c>
      <c r="R668" t="s">
        <v>3</v>
      </c>
      <c r="S668" t="s">
        <v>3</v>
      </c>
      <c r="T668" t="s">
        <v>7</v>
      </c>
      <c r="U668">
        <v>2</v>
      </c>
      <c r="V668">
        <v>0</v>
      </c>
      <c r="W668">
        <v>0</v>
      </c>
      <c r="X668">
        <v>0</v>
      </c>
      <c r="Y668">
        <v>0</v>
      </c>
      <c r="Z668" t="s">
        <v>15</v>
      </c>
      <c r="AA668" t="s">
        <v>4</v>
      </c>
      <c r="AB668" t="s">
        <v>6</v>
      </c>
      <c r="AC668" t="s">
        <v>7</v>
      </c>
      <c r="AD668" t="s">
        <v>8</v>
      </c>
      <c r="AE668" t="s">
        <v>6</v>
      </c>
      <c r="AF668" t="s">
        <v>3</v>
      </c>
      <c r="AG668" t="s">
        <v>3</v>
      </c>
      <c r="AH668" t="s">
        <v>3</v>
      </c>
      <c r="AI668" t="s">
        <v>3</v>
      </c>
      <c r="AJ668" t="s">
        <v>3</v>
      </c>
      <c r="AK668" t="s">
        <v>7</v>
      </c>
      <c r="AL668">
        <v>0</v>
      </c>
      <c r="AM668">
        <v>0</v>
      </c>
      <c r="AN668">
        <v>0</v>
      </c>
      <c r="AO668">
        <v>0</v>
      </c>
      <c r="AP668">
        <v>0</v>
      </c>
      <c r="AQ668" t="s">
        <v>9</v>
      </c>
      <c r="AR668" s="1">
        <v>8.4837901199999997E-4</v>
      </c>
      <c r="AS668" s="1">
        <v>3.4358327499999999E-24</v>
      </c>
      <c r="AT668">
        <v>27</v>
      </c>
      <c r="AU668" t="s">
        <v>10</v>
      </c>
      <c r="AV668">
        <v>2</v>
      </c>
      <c r="AW668">
        <v>0</v>
      </c>
      <c r="AX668">
        <v>0</v>
      </c>
      <c r="AY668">
        <v>0</v>
      </c>
      <c r="AZ668">
        <v>0</v>
      </c>
      <c r="BA668" t="s">
        <v>15</v>
      </c>
      <c r="BB668" t="s">
        <v>4</v>
      </c>
      <c r="BC668" t="s">
        <v>10</v>
      </c>
      <c r="BD668">
        <v>0</v>
      </c>
      <c r="BE668">
        <v>0</v>
      </c>
      <c r="BF668">
        <v>0</v>
      </c>
      <c r="BG668">
        <v>0</v>
      </c>
      <c r="BH668">
        <v>0</v>
      </c>
      <c r="BI668" t="s">
        <v>9</v>
      </c>
      <c r="BJ668">
        <v>2.9250000000000001E-4</v>
      </c>
      <c r="BK668">
        <v>0</v>
      </c>
      <c r="BL668">
        <v>-7.9635999999999997E-4</v>
      </c>
      <c r="BM668" s="2">
        <f t="shared" si="10"/>
        <v>2.0691068585751199E-5</v>
      </c>
    </row>
    <row r="669" spans="1:65" x14ac:dyDescent="0.35">
      <c r="A669">
        <v>0</v>
      </c>
      <c r="B669" t="s">
        <v>3</v>
      </c>
      <c r="C669" t="s">
        <v>4</v>
      </c>
      <c r="D669">
        <v>0</v>
      </c>
      <c r="E669" t="s">
        <v>3</v>
      </c>
      <c r="F669" t="s">
        <v>5</v>
      </c>
      <c r="G669">
        <v>4693.457238</v>
      </c>
      <c r="H669" t="s">
        <v>4</v>
      </c>
      <c r="I669">
        <v>990.16341899999998</v>
      </c>
      <c r="J669">
        <v>3703.293819</v>
      </c>
      <c r="K669" t="s">
        <v>6</v>
      </c>
      <c r="L669" t="s">
        <v>7</v>
      </c>
      <c r="M669" t="s">
        <v>8</v>
      </c>
      <c r="N669" t="s">
        <v>6</v>
      </c>
      <c r="O669" t="s">
        <v>3</v>
      </c>
      <c r="P669" t="s">
        <v>3</v>
      </c>
      <c r="Q669" t="s">
        <v>3</v>
      </c>
      <c r="R669" t="s">
        <v>3</v>
      </c>
      <c r="S669" t="s">
        <v>3</v>
      </c>
      <c r="T669" t="s">
        <v>7</v>
      </c>
      <c r="U669">
        <v>0</v>
      </c>
      <c r="V669">
        <v>1</v>
      </c>
      <c r="W669">
        <v>0</v>
      </c>
      <c r="X669">
        <v>2</v>
      </c>
      <c r="Y669">
        <v>0</v>
      </c>
      <c r="Z669" t="s">
        <v>29</v>
      </c>
      <c r="AA669" t="s">
        <v>4</v>
      </c>
      <c r="AB669" t="s">
        <v>6</v>
      </c>
      <c r="AC669" t="s">
        <v>7</v>
      </c>
      <c r="AD669" t="s">
        <v>8</v>
      </c>
      <c r="AE669" t="s">
        <v>6</v>
      </c>
      <c r="AF669" t="s">
        <v>3</v>
      </c>
      <c r="AG669" t="s">
        <v>3</v>
      </c>
      <c r="AH669" t="s">
        <v>3</v>
      </c>
      <c r="AI669" t="s">
        <v>3</v>
      </c>
      <c r="AJ669" t="s">
        <v>3</v>
      </c>
      <c r="AK669" t="s">
        <v>7</v>
      </c>
      <c r="AL669">
        <v>0</v>
      </c>
      <c r="AM669">
        <v>0</v>
      </c>
      <c r="AN669">
        <v>0</v>
      </c>
      <c r="AO669">
        <v>0</v>
      </c>
      <c r="AP669">
        <v>0</v>
      </c>
      <c r="AQ669" t="s">
        <v>9</v>
      </c>
      <c r="AR669" s="1">
        <v>2.9059944300000001E-5</v>
      </c>
      <c r="AS669" s="1">
        <v>8.4022167599999996E-27</v>
      </c>
      <c r="AT669">
        <v>28</v>
      </c>
      <c r="AU669" t="s">
        <v>10</v>
      </c>
      <c r="AV669">
        <v>0</v>
      </c>
      <c r="AW669">
        <v>1</v>
      </c>
      <c r="AX669">
        <v>0</v>
      </c>
      <c r="AY669">
        <v>2</v>
      </c>
      <c r="AZ669">
        <v>0</v>
      </c>
      <c r="BA669" t="s">
        <v>29</v>
      </c>
      <c r="BB669" t="s">
        <v>4</v>
      </c>
      <c r="BC669" t="s">
        <v>10</v>
      </c>
      <c r="BD669">
        <v>0</v>
      </c>
      <c r="BE669">
        <v>0</v>
      </c>
      <c r="BF669">
        <v>0</v>
      </c>
      <c r="BG669">
        <v>0</v>
      </c>
      <c r="BH669">
        <v>0</v>
      </c>
      <c r="BI669" t="s">
        <v>9</v>
      </c>
      <c r="BJ669">
        <v>-1.403E-5</v>
      </c>
      <c r="BK669">
        <v>0</v>
      </c>
      <c r="BL669">
        <v>2.5449999999999999E-5</v>
      </c>
      <c r="BM669" s="2">
        <f t="shared" si="10"/>
        <v>5.0599332360839803E-8</v>
      </c>
    </row>
    <row r="670" spans="1:65" x14ac:dyDescent="0.35">
      <c r="A670">
        <v>0</v>
      </c>
      <c r="B670" t="s">
        <v>3</v>
      </c>
      <c r="C670" t="s">
        <v>4</v>
      </c>
      <c r="D670">
        <v>0</v>
      </c>
      <c r="E670" t="s">
        <v>3</v>
      </c>
      <c r="F670" t="s">
        <v>5</v>
      </c>
      <c r="G670">
        <v>4170.9651020000001</v>
      </c>
      <c r="H670" t="s">
        <v>4</v>
      </c>
      <c r="I670">
        <v>990.16341899999998</v>
      </c>
      <c r="J670">
        <v>3180.8016830000001</v>
      </c>
      <c r="K670" t="s">
        <v>6</v>
      </c>
      <c r="L670" t="s">
        <v>7</v>
      </c>
      <c r="M670" t="s">
        <v>8</v>
      </c>
      <c r="N670" t="s">
        <v>6</v>
      </c>
      <c r="O670" t="s">
        <v>3</v>
      </c>
      <c r="P670" t="s">
        <v>3</v>
      </c>
      <c r="Q670" t="s">
        <v>3</v>
      </c>
      <c r="R670" t="s">
        <v>3</v>
      </c>
      <c r="S670" t="s">
        <v>3</v>
      </c>
      <c r="T670" t="s">
        <v>7</v>
      </c>
      <c r="U670">
        <v>1</v>
      </c>
      <c r="V670">
        <v>1</v>
      </c>
      <c r="W670">
        <v>0</v>
      </c>
      <c r="X670">
        <v>3</v>
      </c>
      <c r="Y670">
        <v>1</v>
      </c>
      <c r="Z670" t="s">
        <v>8</v>
      </c>
      <c r="AA670" t="s">
        <v>4</v>
      </c>
      <c r="AB670" t="s">
        <v>6</v>
      </c>
      <c r="AC670" t="s">
        <v>7</v>
      </c>
      <c r="AD670" t="s">
        <v>8</v>
      </c>
      <c r="AE670" t="s">
        <v>6</v>
      </c>
      <c r="AF670" t="s">
        <v>3</v>
      </c>
      <c r="AG670" t="s">
        <v>3</v>
      </c>
      <c r="AH670" t="s">
        <v>3</v>
      </c>
      <c r="AI670" t="s">
        <v>3</v>
      </c>
      <c r="AJ670" t="s">
        <v>3</v>
      </c>
      <c r="AK670" t="s">
        <v>7</v>
      </c>
      <c r="AL670">
        <v>0</v>
      </c>
      <c r="AM670">
        <v>0</v>
      </c>
      <c r="AN670">
        <v>0</v>
      </c>
      <c r="AO670">
        <v>0</v>
      </c>
      <c r="AP670">
        <v>0</v>
      </c>
      <c r="AQ670" t="s">
        <v>9</v>
      </c>
      <c r="AR670" s="1">
        <v>8.1136496100000006E-5</v>
      </c>
      <c r="AS670" s="1">
        <v>5.6258112900000004E-26</v>
      </c>
      <c r="AT670">
        <v>32</v>
      </c>
      <c r="AU670" t="s">
        <v>10</v>
      </c>
      <c r="AV670">
        <v>1</v>
      </c>
      <c r="AW670">
        <v>1</v>
      </c>
      <c r="AX670">
        <v>0</v>
      </c>
      <c r="AY670">
        <v>3</v>
      </c>
      <c r="AZ670">
        <v>1</v>
      </c>
      <c r="BA670" t="s">
        <v>8</v>
      </c>
      <c r="BB670" t="s">
        <v>4</v>
      </c>
      <c r="BC670" t="s">
        <v>10</v>
      </c>
      <c r="BD670">
        <v>0</v>
      </c>
      <c r="BE670">
        <v>0</v>
      </c>
      <c r="BF670">
        <v>0</v>
      </c>
      <c r="BG670">
        <v>0</v>
      </c>
      <c r="BH670">
        <v>0</v>
      </c>
      <c r="BI670" t="s">
        <v>9</v>
      </c>
      <c r="BJ670">
        <v>8.0580000000000004E-5</v>
      </c>
      <c r="BK670">
        <v>0</v>
      </c>
      <c r="BL670">
        <v>9.4700000000000008E-6</v>
      </c>
      <c r="BM670" s="2">
        <f t="shared" si="10"/>
        <v>3.3879427702609633E-7</v>
      </c>
    </row>
    <row r="671" spans="1:65" x14ac:dyDescent="0.35">
      <c r="A671">
        <v>0</v>
      </c>
      <c r="B671" t="s">
        <v>11</v>
      </c>
      <c r="C671" t="s">
        <v>4</v>
      </c>
      <c r="D671">
        <v>0</v>
      </c>
      <c r="E671" t="s">
        <v>3</v>
      </c>
      <c r="F671" t="s">
        <v>5</v>
      </c>
      <c r="G671">
        <v>4923.9019840000001</v>
      </c>
      <c r="H671" t="s">
        <v>4</v>
      </c>
      <c r="I671">
        <v>990.16341899999998</v>
      </c>
      <c r="J671">
        <v>3933.7385650000001</v>
      </c>
      <c r="K671" t="s">
        <v>6</v>
      </c>
      <c r="L671" t="s">
        <v>7</v>
      </c>
      <c r="M671" t="s">
        <v>8</v>
      </c>
      <c r="N671" t="s">
        <v>6</v>
      </c>
      <c r="O671" t="s">
        <v>3</v>
      </c>
      <c r="P671" t="s">
        <v>3</v>
      </c>
      <c r="Q671" t="s">
        <v>3</v>
      </c>
      <c r="R671" t="s">
        <v>3</v>
      </c>
      <c r="S671" t="s">
        <v>11</v>
      </c>
      <c r="T671" t="s">
        <v>7</v>
      </c>
      <c r="U671">
        <v>1</v>
      </c>
      <c r="V671">
        <v>2</v>
      </c>
      <c r="W671">
        <v>0</v>
      </c>
      <c r="X671">
        <v>0</v>
      </c>
      <c r="Y671">
        <v>0</v>
      </c>
      <c r="Z671" t="s">
        <v>13</v>
      </c>
      <c r="AA671" t="s">
        <v>4</v>
      </c>
      <c r="AB671" t="s">
        <v>6</v>
      </c>
      <c r="AC671" t="s">
        <v>7</v>
      </c>
      <c r="AD671" t="s">
        <v>8</v>
      </c>
      <c r="AE671" t="s">
        <v>6</v>
      </c>
      <c r="AF671" t="s">
        <v>3</v>
      </c>
      <c r="AG671" t="s">
        <v>3</v>
      </c>
      <c r="AH671" t="s">
        <v>3</v>
      </c>
      <c r="AI671" t="s">
        <v>3</v>
      </c>
      <c r="AJ671" t="s">
        <v>3</v>
      </c>
      <c r="AK671" t="s">
        <v>7</v>
      </c>
      <c r="AL671">
        <v>0</v>
      </c>
      <c r="AM671">
        <v>0</v>
      </c>
      <c r="AN671">
        <v>0</v>
      </c>
      <c r="AO671">
        <v>0</v>
      </c>
      <c r="AP671">
        <v>0</v>
      </c>
      <c r="AQ671" t="s">
        <v>9</v>
      </c>
      <c r="AR671" s="1">
        <v>7.2917620600000002E-6</v>
      </c>
      <c r="AS671" s="1">
        <v>5.6193570999999997E-28</v>
      </c>
      <c r="AT671">
        <v>29</v>
      </c>
      <c r="AU671" t="s">
        <v>10</v>
      </c>
      <c r="AV671">
        <v>1</v>
      </c>
      <c r="AW671">
        <v>2</v>
      </c>
      <c r="AX671">
        <v>0</v>
      </c>
      <c r="AY671">
        <v>0</v>
      </c>
      <c r="AZ671">
        <v>0</v>
      </c>
      <c r="BA671" t="s">
        <v>13</v>
      </c>
      <c r="BB671" t="s">
        <v>4</v>
      </c>
      <c r="BC671" t="s">
        <v>10</v>
      </c>
      <c r="BD671">
        <v>0</v>
      </c>
      <c r="BE671">
        <v>0</v>
      </c>
      <c r="BF671">
        <v>0</v>
      </c>
      <c r="BG671">
        <v>0</v>
      </c>
      <c r="BH671">
        <v>0</v>
      </c>
      <c r="BI671" t="s">
        <v>9</v>
      </c>
      <c r="BJ671">
        <v>0</v>
      </c>
      <c r="BK671">
        <v>-7.2899999999999997E-6</v>
      </c>
      <c r="BL671">
        <v>0</v>
      </c>
      <c r="BM671" s="2">
        <f t="shared" si="10"/>
        <v>3.384055966167968E-9</v>
      </c>
    </row>
    <row r="672" spans="1:65" x14ac:dyDescent="0.35">
      <c r="A672">
        <v>0</v>
      </c>
      <c r="B672" t="s">
        <v>3</v>
      </c>
      <c r="C672" t="s">
        <v>4</v>
      </c>
      <c r="D672">
        <v>0</v>
      </c>
      <c r="E672" t="s">
        <v>3</v>
      </c>
      <c r="F672" t="s">
        <v>5</v>
      </c>
      <c r="G672">
        <v>4981.9687320000003</v>
      </c>
      <c r="H672" t="s">
        <v>4</v>
      </c>
      <c r="I672">
        <v>990.16341899999998</v>
      </c>
      <c r="J672">
        <v>3991.8053129999998</v>
      </c>
      <c r="K672" t="s">
        <v>6</v>
      </c>
      <c r="L672" t="s">
        <v>7</v>
      </c>
      <c r="M672" t="s">
        <v>8</v>
      </c>
      <c r="N672" t="s">
        <v>6</v>
      </c>
      <c r="O672" t="s">
        <v>3</v>
      </c>
      <c r="P672" t="s">
        <v>3</v>
      </c>
      <c r="Q672" t="s">
        <v>3</v>
      </c>
      <c r="R672" t="s">
        <v>3</v>
      </c>
      <c r="S672" t="s">
        <v>3</v>
      </c>
      <c r="T672" t="s">
        <v>7</v>
      </c>
      <c r="U672">
        <v>0</v>
      </c>
      <c r="V672">
        <v>1</v>
      </c>
      <c r="W672">
        <v>0</v>
      </c>
      <c r="X672">
        <v>6</v>
      </c>
      <c r="Y672">
        <v>0</v>
      </c>
      <c r="Z672" t="s">
        <v>9</v>
      </c>
      <c r="AA672" t="s">
        <v>4</v>
      </c>
      <c r="AB672" t="s">
        <v>6</v>
      </c>
      <c r="AC672" t="s">
        <v>7</v>
      </c>
      <c r="AD672" t="s">
        <v>8</v>
      </c>
      <c r="AE672" t="s">
        <v>6</v>
      </c>
      <c r="AF672" t="s">
        <v>3</v>
      </c>
      <c r="AG672" t="s">
        <v>3</v>
      </c>
      <c r="AH672" t="s">
        <v>3</v>
      </c>
      <c r="AI672" t="s">
        <v>3</v>
      </c>
      <c r="AJ672" t="s">
        <v>3</v>
      </c>
      <c r="AK672" t="s">
        <v>7</v>
      </c>
      <c r="AL672">
        <v>0</v>
      </c>
      <c r="AM672">
        <v>0</v>
      </c>
      <c r="AN672">
        <v>0</v>
      </c>
      <c r="AO672">
        <v>0</v>
      </c>
      <c r="AP672">
        <v>0</v>
      </c>
      <c r="AQ672" t="s">
        <v>9</v>
      </c>
      <c r="AR672" s="1">
        <v>2.43669057E-5</v>
      </c>
      <c r="AS672" s="1">
        <v>6.3677540400000003E-27</v>
      </c>
      <c r="AT672">
        <v>29</v>
      </c>
      <c r="AU672" t="s">
        <v>10</v>
      </c>
      <c r="AV672">
        <v>0</v>
      </c>
      <c r="AW672">
        <v>1</v>
      </c>
      <c r="AX672">
        <v>0</v>
      </c>
      <c r="AY672">
        <v>6</v>
      </c>
      <c r="AZ672">
        <v>0</v>
      </c>
      <c r="BA672" t="s">
        <v>9</v>
      </c>
      <c r="BB672" t="s">
        <v>4</v>
      </c>
      <c r="BC672" t="s">
        <v>10</v>
      </c>
      <c r="BD672">
        <v>0</v>
      </c>
      <c r="BE672">
        <v>0</v>
      </c>
      <c r="BF672">
        <v>0</v>
      </c>
      <c r="BG672">
        <v>0</v>
      </c>
      <c r="BH672">
        <v>0</v>
      </c>
      <c r="BI672" t="s">
        <v>9</v>
      </c>
      <c r="BJ672">
        <v>-2.1990000000000001E-5</v>
      </c>
      <c r="BK672">
        <v>0</v>
      </c>
      <c r="BL672">
        <v>1.049E-5</v>
      </c>
      <c r="BM672" s="2">
        <f t="shared" si="10"/>
        <v>3.8347511408648835E-8</v>
      </c>
    </row>
    <row r="673" spans="1:65" x14ac:dyDescent="0.35">
      <c r="A673">
        <v>0</v>
      </c>
      <c r="B673" t="s">
        <v>3</v>
      </c>
      <c r="C673" t="s">
        <v>4</v>
      </c>
      <c r="D673">
        <v>0</v>
      </c>
      <c r="E673" t="s">
        <v>3</v>
      </c>
      <c r="F673" t="s">
        <v>5</v>
      </c>
      <c r="G673">
        <v>4335.04666</v>
      </c>
      <c r="H673" t="s">
        <v>4</v>
      </c>
      <c r="I673">
        <v>990.16341899999998</v>
      </c>
      <c r="J673">
        <v>3344.883241</v>
      </c>
      <c r="K673" t="s">
        <v>6</v>
      </c>
      <c r="L673" t="s">
        <v>7</v>
      </c>
      <c r="M673" t="s">
        <v>8</v>
      </c>
      <c r="N673" t="s">
        <v>6</v>
      </c>
      <c r="O673" t="s">
        <v>3</v>
      </c>
      <c r="P673" t="s">
        <v>3</v>
      </c>
      <c r="Q673" t="s">
        <v>3</v>
      </c>
      <c r="R673" t="s">
        <v>3</v>
      </c>
      <c r="S673" t="s">
        <v>3</v>
      </c>
      <c r="T673" t="s">
        <v>7</v>
      </c>
      <c r="U673">
        <v>0</v>
      </c>
      <c r="V673">
        <v>2</v>
      </c>
      <c r="W673">
        <v>0</v>
      </c>
      <c r="X673">
        <v>2</v>
      </c>
      <c r="Y673">
        <v>0</v>
      </c>
      <c r="Z673" t="s">
        <v>15</v>
      </c>
      <c r="AA673" t="s">
        <v>4</v>
      </c>
      <c r="AB673" t="s">
        <v>6</v>
      </c>
      <c r="AC673" t="s">
        <v>7</v>
      </c>
      <c r="AD673" t="s">
        <v>8</v>
      </c>
      <c r="AE673" t="s">
        <v>6</v>
      </c>
      <c r="AF673" t="s">
        <v>3</v>
      </c>
      <c r="AG673" t="s">
        <v>3</v>
      </c>
      <c r="AH673" t="s">
        <v>3</v>
      </c>
      <c r="AI673" t="s">
        <v>3</v>
      </c>
      <c r="AJ673" t="s">
        <v>3</v>
      </c>
      <c r="AK673" t="s">
        <v>7</v>
      </c>
      <c r="AL673">
        <v>0</v>
      </c>
      <c r="AM673">
        <v>0</v>
      </c>
      <c r="AN673">
        <v>0</v>
      </c>
      <c r="AO673">
        <v>0</v>
      </c>
      <c r="AP673">
        <v>0</v>
      </c>
      <c r="AQ673" t="s">
        <v>9</v>
      </c>
      <c r="AR673" s="1">
        <v>1.9589638700000001E-5</v>
      </c>
      <c r="AS673" s="1">
        <v>3.4486564900000002E-27</v>
      </c>
      <c r="AT673">
        <v>28</v>
      </c>
      <c r="AU673" t="s">
        <v>10</v>
      </c>
      <c r="AV673">
        <v>0</v>
      </c>
      <c r="AW673">
        <v>2</v>
      </c>
      <c r="AX673">
        <v>0</v>
      </c>
      <c r="AY673">
        <v>2</v>
      </c>
      <c r="AZ673">
        <v>0</v>
      </c>
      <c r="BA673" t="s">
        <v>15</v>
      </c>
      <c r="BB673" t="s">
        <v>4</v>
      </c>
      <c r="BC673" t="s">
        <v>10</v>
      </c>
      <c r="BD673">
        <v>0</v>
      </c>
      <c r="BE673">
        <v>0</v>
      </c>
      <c r="BF673">
        <v>0</v>
      </c>
      <c r="BG673">
        <v>0</v>
      </c>
      <c r="BH673">
        <v>0</v>
      </c>
      <c r="BI673" t="s">
        <v>9</v>
      </c>
      <c r="BJ673">
        <v>-1.7710000000000002E-5</v>
      </c>
      <c r="BK673">
        <v>0</v>
      </c>
      <c r="BL673">
        <v>-8.3699999999999995E-6</v>
      </c>
      <c r="BM673" s="2">
        <f t="shared" si="10"/>
        <v>2.0768294953613792E-8</v>
      </c>
    </row>
    <row r="674" spans="1:65" x14ac:dyDescent="0.35">
      <c r="A674">
        <v>0</v>
      </c>
      <c r="B674" t="s">
        <v>3</v>
      </c>
      <c r="C674" t="s">
        <v>4</v>
      </c>
      <c r="D674">
        <v>0</v>
      </c>
      <c r="E674" t="s">
        <v>3</v>
      </c>
      <c r="F674" t="s">
        <v>5</v>
      </c>
      <c r="G674">
        <v>4630.5975630000003</v>
      </c>
      <c r="H674" t="s">
        <v>4</v>
      </c>
      <c r="I674">
        <v>990.16341899999998</v>
      </c>
      <c r="J674">
        <v>3640.4341439999998</v>
      </c>
      <c r="K674" t="s">
        <v>6</v>
      </c>
      <c r="L674" t="s">
        <v>7</v>
      </c>
      <c r="M674" t="s">
        <v>8</v>
      </c>
      <c r="N674" t="s">
        <v>6</v>
      </c>
      <c r="O674" t="s">
        <v>3</v>
      </c>
      <c r="P674" t="s">
        <v>3</v>
      </c>
      <c r="Q674" t="s">
        <v>3</v>
      </c>
      <c r="R674" t="s">
        <v>3</v>
      </c>
      <c r="S674" t="s">
        <v>3</v>
      </c>
      <c r="T674" t="s">
        <v>7</v>
      </c>
      <c r="U674">
        <v>0</v>
      </c>
      <c r="V674">
        <v>1</v>
      </c>
      <c r="W674">
        <v>0</v>
      </c>
      <c r="X674">
        <v>5</v>
      </c>
      <c r="Y674">
        <v>2</v>
      </c>
      <c r="Z674" t="s">
        <v>8</v>
      </c>
      <c r="AA674" t="s">
        <v>4</v>
      </c>
      <c r="AB674" t="s">
        <v>6</v>
      </c>
      <c r="AC674" t="s">
        <v>7</v>
      </c>
      <c r="AD674" t="s">
        <v>8</v>
      </c>
      <c r="AE674" t="s">
        <v>6</v>
      </c>
      <c r="AF674" t="s">
        <v>3</v>
      </c>
      <c r="AG674" t="s">
        <v>3</v>
      </c>
      <c r="AH674" t="s">
        <v>3</v>
      </c>
      <c r="AI674" t="s">
        <v>3</v>
      </c>
      <c r="AJ674" t="s">
        <v>3</v>
      </c>
      <c r="AK674" t="s">
        <v>7</v>
      </c>
      <c r="AL674">
        <v>0</v>
      </c>
      <c r="AM674">
        <v>0</v>
      </c>
      <c r="AN674">
        <v>0</v>
      </c>
      <c r="AO674">
        <v>0</v>
      </c>
      <c r="AP674">
        <v>0</v>
      </c>
      <c r="AQ674" t="s">
        <v>9</v>
      </c>
      <c r="AR674" s="1">
        <v>1.08557389E-3</v>
      </c>
      <c r="AS674" s="1">
        <v>1.1526252000000001E-23</v>
      </c>
      <c r="AT674">
        <v>32</v>
      </c>
      <c r="AU674" t="s">
        <v>10</v>
      </c>
      <c r="AV674">
        <v>0</v>
      </c>
      <c r="AW674">
        <v>1</v>
      </c>
      <c r="AX674">
        <v>0</v>
      </c>
      <c r="AY674">
        <v>5</v>
      </c>
      <c r="AZ674">
        <v>2</v>
      </c>
      <c r="BA674" t="s">
        <v>8</v>
      </c>
      <c r="BB674" t="s">
        <v>4</v>
      </c>
      <c r="BC674" t="s">
        <v>10</v>
      </c>
      <c r="BD674">
        <v>0</v>
      </c>
      <c r="BE674">
        <v>0</v>
      </c>
      <c r="BF674">
        <v>0</v>
      </c>
      <c r="BG674">
        <v>0</v>
      </c>
      <c r="BH674">
        <v>0</v>
      </c>
      <c r="BI674" t="s">
        <v>9</v>
      </c>
      <c r="BJ674">
        <v>8.0332000000000005E-4</v>
      </c>
      <c r="BK674">
        <v>0</v>
      </c>
      <c r="BL674">
        <v>-7.3015999999999999E-4</v>
      </c>
      <c r="BM674" s="2">
        <f t="shared" si="10"/>
        <v>6.9412712440281607E-5</v>
      </c>
    </row>
    <row r="675" spans="1:65" x14ac:dyDescent="0.35">
      <c r="A675">
        <v>0</v>
      </c>
      <c r="B675" t="s">
        <v>11</v>
      </c>
      <c r="C675" t="s">
        <v>4</v>
      </c>
      <c r="D675">
        <v>0</v>
      </c>
      <c r="E675" t="s">
        <v>3</v>
      </c>
      <c r="F675" t="s">
        <v>5</v>
      </c>
      <c r="G675">
        <v>4441.201395</v>
      </c>
      <c r="H675" t="s">
        <v>4</v>
      </c>
      <c r="I675">
        <v>990.16341899999998</v>
      </c>
      <c r="J675">
        <v>3451.0379760000001</v>
      </c>
      <c r="K675" t="s">
        <v>6</v>
      </c>
      <c r="L675" t="s">
        <v>7</v>
      </c>
      <c r="M675" t="s">
        <v>8</v>
      </c>
      <c r="N675" t="s">
        <v>6</v>
      </c>
      <c r="O675" t="s">
        <v>3</v>
      </c>
      <c r="P675" t="s">
        <v>3</v>
      </c>
      <c r="Q675" t="s">
        <v>3</v>
      </c>
      <c r="R675" t="s">
        <v>3</v>
      </c>
      <c r="S675" t="s">
        <v>11</v>
      </c>
      <c r="T675" t="s">
        <v>7</v>
      </c>
      <c r="U675">
        <v>1</v>
      </c>
      <c r="V675">
        <v>1</v>
      </c>
      <c r="W675">
        <v>0</v>
      </c>
      <c r="X675">
        <v>2</v>
      </c>
      <c r="Y675">
        <v>0</v>
      </c>
      <c r="Z675" t="s">
        <v>14</v>
      </c>
      <c r="AA675" t="s">
        <v>4</v>
      </c>
      <c r="AB675" t="s">
        <v>6</v>
      </c>
      <c r="AC675" t="s">
        <v>7</v>
      </c>
      <c r="AD675" t="s">
        <v>8</v>
      </c>
      <c r="AE675" t="s">
        <v>6</v>
      </c>
      <c r="AF675" t="s">
        <v>3</v>
      </c>
      <c r="AG675" t="s">
        <v>3</v>
      </c>
      <c r="AH675" t="s">
        <v>3</v>
      </c>
      <c r="AI675" t="s">
        <v>3</v>
      </c>
      <c r="AJ675" t="s">
        <v>3</v>
      </c>
      <c r="AK675" t="s">
        <v>7</v>
      </c>
      <c r="AL675">
        <v>0</v>
      </c>
      <c r="AM675">
        <v>0</v>
      </c>
      <c r="AN675">
        <v>0</v>
      </c>
      <c r="AO675">
        <v>0</v>
      </c>
      <c r="AP675">
        <v>0</v>
      </c>
      <c r="AQ675" t="s">
        <v>9</v>
      </c>
      <c r="AR675" s="1">
        <v>4.7811382899999996E-6</v>
      </c>
      <c r="AS675" s="1">
        <v>2.1194759200000002E-28</v>
      </c>
      <c r="AT675">
        <v>14</v>
      </c>
      <c r="AU675" t="s">
        <v>10</v>
      </c>
      <c r="AV675">
        <v>1</v>
      </c>
      <c r="AW675">
        <v>1</v>
      </c>
      <c r="AX675">
        <v>0</v>
      </c>
      <c r="AY675">
        <v>2</v>
      </c>
      <c r="AZ675">
        <v>0</v>
      </c>
      <c r="BA675" t="s">
        <v>14</v>
      </c>
      <c r="BB675" t="s">
        <v>4</v>
      </c>
      <c r="BC675" t="s">
        <v>10</v>
      </c>
      <c r="BD675">
        <v>0</v>
      </c>
      <c r="BE675">
        <v>0</v>
      </c>
      <c r="BF675">
        <v>0</v>
      </c>
      <c r="BG675">
        <v>0</v>
      </c>
      <c r="BH675">
        <v>0</v>
      </c>
      <c r="BI675" t="s">
        <v>9</v>
      </c>
      <c r="BJ675">
        <v>0</v>
      </c>
      <c r="BK675">
        <v>4.78E-6</v>
      </c>
      <c r="BL675">
        <v>0</v>
      </c>
      <c r="BM675" s="2">
        <f t="shared" si="10"/>
        <v>1.2763782412449539E-9</v>
      </c>
    </row>
    <row r="676" spans="1:65" x14ac:dyDescent="0.35">
      <c r="A676">
        <v>0</v>
      </c>
      <c r="B676" t="s">
        <v>11</v>
      </c>
      <c r="C676" t="s">
        <v>4</v>
      </c>
      <c r="D676">
        <v>0</v>
      </c>
      <c r="E676" t="s">
        <v>3</v>
      </c>
      <c r="F676" t="s">
        <v>5</v>
      </c>
      <c r="G676">
        <v>3470.9048290000001</v>
      </c>
      <c r="H676" t="s">
        <v>4</v>
      </c>
      <c r="I676">
        <v>990.16341899999998</v>
      </c>
      <c r="J676">
        <v>2480.7414100000001</v>
      </c>
      <c r="K676" t="s">
        <v>6</v>
      </c>
      <c r="L676" t="s">
        <v>7</v>
      </c>
      <c r="M676" t="s">
        <v>8</v>
      </c>
      <c r="N676" t="s">
        <v>6</v>
      </c>
      <c r="O676" t="s">
        <v>3</v>
      </c>
      <c r="P676" t="s">
        <v>3</v>
      </c>
      <c r="Q676" t="s">
        <v>3</v>
      </c>
      <c r="R676" t="s">
        <v>3</v>
      </c>
      <c r="S676" t="s">
        <v>11</v>
      </c>
      <c r="T676" t="s">
        <v>7</v>
      </c>
      <c r="U676">
        <v>1</v>
      </c>
      <c r="V676">
        <v>0</v>
      </c>
      <c r="W676">
        <v>0</v>
      </c>
      <c r="X676">
        <v>1</v>
      </c>
      <c r="Y676">
        <v>0</v>
      </c>
      <c r="Z676" t="s">
        <v>19</v>
      </c>
      <c r="AA676" t="s">
        <v>4</v>
      </c>
      <c r="AB676" t="s">
        <v>6</v>
      </c>
      <c r="AC676" t="s">
        <v>7</v>
      </c>
      <c r="AD676" t="s">
        <v>8</v>
      </c>
      <c r="AE676" t="s">
        <v>6</v>
      </c>
      <c r="AF676" t="s">
        <v>3</v>
      </c>
      <c r="AG676" t="s">
        <v>3</v>
      </c>
      <c r="AH676" t="s">
        <v>3</v>
      </c>
      <c r="AI676" t="s">
        <v>3</v>
      </c>
      <c r="AJ676" t="s">
        <v>3</v>
      </c>
      <c r="AK676" t="s">
        <v>7</v>
      </c>
      <c r="AL676">
        <v>0</v>
      </c>
      <c r="AM676">
        <v>0</v>
      </c>
      <c r="AN676">
        <v>0</v>
      </c>
      <c r="AO676">
        <v>0</v>
      </c>
      <c r="AP676">
        <v>0</v>
      </c>
      <c r="AQ676" t="s">
        <v>9</v>
      </c>
      <c r="AR676" s="1">
        <v>2.7347814400000001E-5</v>
      </c>
      <c r="AS676" s="1">
        <v>4.9847132099999997E-27</v>
      </c>
      <c r="AT676">
        <v>32</v>
      </c>
      <c r="AU676" t="s">
        <v>10</v>
      </c>
      <c r="AV676">
        <v>1</v>
      </c>
      <c r="AW676">
        <v>0</v>
      </c>
      <c r="AX676">
        <v>0</v>
      </c>
      <c r="AY676">
        <v>1</v>
      </c>
      <c r="AZ676">
        <v>0</v>
      </c>
      <c r="BA676" t="s">
        <v>19</v>
      </c>
      <c r="BB676" t="s">
        <v>4</v>
      </c>
      <c r="BC676" t="s">
        <v>10</v>
      </c>
      <c r="BD676">
        <v>0</v>
      </c>
      <c r="BE676">
        <v>0</v>
      </c>
      <c r="BF676">
        <v>0</v>
      </c>
      <c r="BG676">
        <v>0</v>
      </c>
      <c r="BH676">
        <v>0</v>
      </c>
      <c r="BI676" t="s">
        <v>9</v>
      </c>
      <c r="BJ676">
        <v>0</v>
      </c>
      <c r="BK676">
        <v>2.7350000000000001E-5</v>
      </c>
      <c r="BL676">
        <v>0</v>
      </c>
      <c r="BM676" s="2">
        <f t="shared" si="10"/>
        <v>3.0018644798239963E-8</v>
      </c>
    </row>
    <row r="677" spans="1:65" x14ac:dyDescent="0.35">
      <c r="A677">
        <v>0</v>
      </c>
      <c r="B677" t="s">
        <v>11</v>
      </c>
      <c r="C677" t="s">
        <v>4</v>
      </c>
      <c r="D677">
        <v>0</v>
      </c>
      <c r="E677" t="s">
        <v>3</v>
      </c>
      <c r="F677" t="s">
        <v>5</v>
      </c>
      <c r="G677">
        <v>4754.7507310000001</v>
      </c>
      <c r="H677" t="s">
        <v>4</v>
      </c>
      <c r="I677">
        <v>990.16341899999998</v>
      </c>
      <c r="J677">
        <v>3764.5873120000001</v>
      </c>
      <c r="K677" t="s">
        <v>6</v>
      </c>
      <c r="L677" t="s">
        <v>7</v>
      </c>
      <c r="M677" t="s">
        <v>8</v>
      </c>
      <c r="N677" t="s">
        <v>6</v>
      </c>
      <c r="O677" t="s">
        <v>3</v>
      </c>
      <c r="P677" t="s">
        <v>3</v>
      </c>
      <c r="Q677" t="s">
        <v>3</v>
      </c>
      <c r="R677" t="s">
        <v>3</v>
      </c>
      <c r="S677" t="s">
        <v>11</v>
      </c>
      <c r="T677" t="s">
        <v>7</v>
      </c>
      <c r="U677">
        <v>2</v>
      </c>
      <c r="V677">
        <v>2</v>
      </c>
      <c r="W677">
        <v>0</v>
      </c>
      <c r="X677">
        <v>0</v>
      </c>
      <c r="Y677">
        <v>0</v>
      </c>
      <c r="Z677" t="s">
        <v>18</v>
      </c>
      <c r="AA677" t="s">
        <v>4</v>
      </c>
      <c r="AB677" t="s">
        <v>6</v>
      </c>
      <c r="AC677" t="s">
        <v>7</v>
      </c>
      <c r="AD677" t="s">
        <v>8</v>
      </c>
      <c r="AE677" t="s">
        <v>6</v>
      </c>
      <c r="AF677" t="s">
        <v>3</v>
      </c>
      <c r="AG677" t="s">
        <v>3</v>
      </c>
      <c r="AH677" t="s">
        <v>3</v>
      </c>
      <c r="AI677" t="s">
        <v>3</v>
      </c>
      <c r="AJ677" t="s">
        <v>3</v>
      </c>
      <c r="AK677" t="s">
        <v>7</v>
      </c>
      <c r="AL677">
        <v>0</v>
      </c>
      <c r="AM677">
        <v>0</v>
      </c>
      <c r="AN677">
        <v>0</v>
      </c>
      <c r="AO677">
        <v>0</v>
      </c>
      <c r="AP677">
        <v>0</v>
      </c>
      <c r="AQ677" t="s">
        <v>9</v>
      </c>
      <c r="AR677" s="1">
        <v>2.9380887500000001E-5</v>
      </c>
      <c r="AS677" s="1">
        <v>8.7309871899999994E-27</v>
      </c>
      <c r="AT677">
        <v>28</v>
      </c>
      <c r="AU677" t="s">
        <v>10</v>
      </c>
      <c r="AV677">
        <v>2</v>
      </c>
      <c r="AW677">
        <v>2</v>
      </c>
      <c r="AX677">
        <v>0</v>
      </c>
      <c r="AY677">
        <v>0</v>
      </c>
      <c r="AZ677">
        <v>0</v>
      </c>
      <c r="BA677" t="s">
        <v>18</v>
      </c>
      <c r="BB677" t="s">
        <v>4</v>
      </c>
      <c r="BC677" t="s">
        <v>10</v>
      </c>
      <c r="BD677">
        <v>0</v>
      </c>
      <c r="BE677">
        <v>0</v>
      </c>
      <c r="BF677">
        <v>0</v>
      </c>
      <c r="BG677">
        <v>0</v>
      </c>
      <c r="BH677">
        <v>0</v>
      </c>
      <c r="BI677" t="s">
        <v>9</v>
      </c>
      <c r="BJ677">
        <v>0</v>
      </c>
      <c r="BK677">
        <v>-2.938E-5</v>
      </c>
      <c r="BL677">
        <v>0</v>
      </c>
      <c r="BM677" s="2">
        <f t="shared" si="10"/>
        <v>5.2579234181176349E-8</v>
      </c>
    </row>
    <row r="678" spans="1:65" x14ac:dyDescent="0.35">
      <c r="A678">
        <v>0</v>
      </c>
      <c r="B678" t="s">
        <v>3</v>
      </c>
      <c r="C678" t="s">
        <v>4</v>
      </c>
      <c r="D678">
        <v>0</v>
      </c>
      <c r="E678" t="s">
        <v>3</v>
      </c>
      <c r="F678" t="s">
        <v>5</v>
      </c>
      <c r="G678">
        <v>4859.7861869999997</v>
      </c>
      <c r="H678" t="s">
        <v>4</v>
      </c>
      <c r="I678">
        <v>990.16341899999998</v>
      </c>
      <c r="J678">
        <v>3869.6227680000002</v>
      </c>
      <c r="K678" t="s">
        <v>6</v>
      </c>
      <c r="L678" t="s">
        <v>7</v>
      </c>
      <c r="M678" t="s">
        <v>8</v>
      </c>
      <c r="N678" t="s">
        <v>6</v>
      </c>
      <c r="O678" t="s">
        <v>3</v>
      </c>
      <c r="P678" t="s">
        <v>3</v>
      </c>
      <c r="Q678" t="s">
        <v>3</v>
      </c>
      <c r="R678" t="s">
        <v>3</v>
      </c>
      <c r="S678" t="s">
        <v>3</v>
      </c>
      <c r="T678" t="s">
        <v>7</v>
      </c>
      <c r="U678">
        <v>1</v>
      </c>
      <c r="V678">
        <v>1</v>
      </c>
      <c r="W678">
        <v>0</v>
      </c>
      <c r="X678">
        <v>0</v>
      </c>
      <c r="Y678">
        <v>2</v>
      </c>
      <c r="Z678" t="s">
        <v>9</v>
      </c>
      <c r="AA678" t="s">
        <v>4</v>
      </c>
      <c r="AB678" t="s">
        <v>6</v>
      </c>
      <c r="AC678" t="s">
        <v>7</v>
      </c>
      <c r="AD678" t="s">
        <v>8</v>
      </c>
      <c r="AE678" t="s">
        <v>6</v>
      </c>
      <c r="AF678" t="s">
        <v>3</v>
      </c>
      <c r="AG678" t="s">
        <v>3</v>
      </c>
      <c r="AH678" t="s">
        <v>3</v>
      </c>
      <c r="AI678" t="s">
        <v>3</v>
      </c>
      <c r="AJ678" t="s">
        <v>3</v>
      </c>
      <c r="AK678" t="s">
        <v>7</v>
      </c>
      <c r="AL678">
        <v>0</v>
      </c>
      <c r="AM678">
        <v>0</v>
      </c>
      <c r="AN678">
        <v>0</v>
      </c>
      <c r="AO678">
        <v>0</v>
      </c>
      <c r="AP678">
        <v>0</v>
      </c>
      <c r="AQ678" t="s">
        <v>9</v>
      </c>
      <c r="AR678" s="1">
        <v>6.6448982699999999E-5</v>
      </c>
      <c r="AS678" s="1">
        <v>4.59051555E-26</v>
      </c>
      <c r="AT678">
        <v>29</v>
      </c>
      <c r="AU678" t="s">
        <v>10</v>
      </c>
      <c r="AV678">
        <v>1</v>
      </c>
      <c r="AW678">
        <v>1</v>
      </c>
      <c r="AX678">
        <v>0</v>
      </c>
      <c r="AY678">
        <v>0</v>
      </c>
      <c r="AZ678">
        <v>2</v>
      </c>
      <c r="BA678" t="s">
        <v>9</v>
      </c>
      <c r="BB678" t="s">
        <v>4</v>
      </c>
      <c r="BC678" t="s">
        <v>10</v>
      </c>
      <c r="BD678">
        <v>0</v>
      </c>
      <c r="BE678">
        <v>0</v>
      </c>
      <c r="BF678">
        <v>0</v>
      </c>
      <c r="BG678">
        <v>0</v>
      </c>
      <c r="BH678">
        <v>0</v>
      </c>
      <c r="BI678" t="s">
        <v>9</v>
      </c>
      <c r="BJ678">
        <v>-6.0560000000000003E-5</v>
      </c>
      <c r="BK678">
        <v>0</v>
      </c>
      <c r="BL678">
        <v>2.7359999999999999E-5</v>
      </c>
      <c r="BM678" s="2">
        <f t="shared" si="10"/>
        <v>2.7644730986689438E-7</v>
      </c>
    </row>
    <row r="679" spans="1:65" x14ac:dyDescent="0.35">
      <c r="A679">
        <v>0</v>
      </c>
      <c r="B679" t="s">
        <v>11</v>
      </c>
      <c r="C679" t="s">
        <v>4</v>
      </c>
      <c r="D679">
        <v>0</v>
      </c>
      <c r="E679" t="s">
        <v>3</v>
      </c>
      <c r="F679" t="s">
        <v>5</v>
      </c>
      <c r="G679">
        <v>4250.4143800000002</v>
      </c>
      <c r="H679" t="s">
        <v>4</v>
      </c>
      <c r="I679">
        <v>990.16341899999998</v>
      </c>
      <c r="J679">
        <v>3260.2509610000002</v>
      </c>
      <c r="K679" t="s">
        <v>6</v>
      </c>
      <c r="L679" t="s">
        <v>7</v>
      </c>
      <c r="M679" t="s">
        <v>8</v>
      </c>
      <c r="N679" t="s">
        <v>6</v>
      </c>
      <c r="O679" t="s">
        <v>3</v>
      </c>
      <c r="P679" t="s">
        <v>3</v>
      </c>
      <c r="Q679" t="s">
        <v>3</v>
      </c>
      <c r="R679" t="s">
        <v>3</v>
      </c>
      <c r="S679" t="s">
        <v>11</v>
      </c>
      <c r="T679" t="s">
        <v>7</v>
      </c>
      <c r="U679">
        <v>0</v>
      </c>
      <c r="V679">
        <v>0</v>
      </c>
      <c r="W679">
        <v>0</v>
      </c>
      <c r="X679">
        <v>0</v>
      </c>
      <c r="Y679">
        <v>2</v>
      </c>
      <c r="Z679" t="s">
        <v>19</v>
      </c>
      <c r="AA679" t="s">
        <v>4</v>
      </c>
      <c r="AB679" t="s">
        <v>6</v>
      </c>
      <c r="AC679" t="s">
        <v>7</v>
      </c>
      <c r="AD679" t="s">
        <v>8</v>
      </c>
      <c r="AE679" t="s">
        <v>6</v>
      </c>
      <c r="AF679" t="s">
        <v>3</v>
      </c>
      <c r="AG679" t="s">
        <v>3</v>
      </c>
      <c r="AH679" t="s">
        <v>3</v>
      </c>
      <c r="AI679" t="s">
        <v>3</v>
      </c>
      <c r="AJ679" t="s">
        <v>3</v>
      </c>
      <c r="AK679" t="s">
        <v>7</v>
      </c>
      <c r="AL679">
        <v>0</v>
      </c>
      <c r="AM679">
        <v>0</v>
      </c>
      <c r="AN679">
        <v>0</v>
      </c>
      <c r="AO679">
        <v>0</v>
      </c>
      <c r="AP679">
        <v>0</v>
      </c>
      <c r="AQ679" t="s">
        <v>9</v>
      </c>
      <c r="AR679" s="1">
        <v>1.2742561E-4</v>
      </c>
      <c r="AS679" s="1">
        <v>1.42226516E-25</v>
      </c>
      <c r="AT679">
        <v>28</v>
      </c>
      <c r="AU679" t="s">
        <v>10</v>
      </c>
      <c r="AV679">
        <v>0</v>
      </c>
      <c r="AW679">
        <v>0</v>
      </c>
      <c r="AX679">
        <v>0</v>
      </c>
      <c r="AY679">
        <v>0</v>
      </c>
      <c r="AZ679">
        <v>2</v>
      </c>
      <c r="BA679" t="s">
        <v>19</v>
      </c>
      <c r="BB679" t="s">
        <v>4</v>
      </c>
      <c r="BC679" t="s">
        <v>10</v>
      </c>
      <c r="BD679">
        <v>0</v>
      </c>
      <c r="BE679">
        <v>0</v>
      </c>
      <c r="BF679">
        <v>0</v>
      </c>
      <c r="BG679">
        <v>0</v>
      </c>
      <c r="BH679">
        <v>0</v>
      </c>
      <c r="BI679" t="s">
        <v>9</v>
      </c>
      <c r="BJ679">
        <v>0</v>
      </c>
      <c r="BK679">
        <v>-1.2742999999999999E-4</v>
      </c>
      <c r="BL679">
        <v>0</v>
      </c>
      <c r="BM679" s="2">
        <f t="shared" si="10"/>
        <v>8.5650810484545285E-7</v>
      </c>
    </row>
    <row r="680" spans="1:65" x14ac:dyDescent="0.35">
      <c r="A680">
        <v>0</v>
      </c>
      <c r="B680" t="s">
        <v>11</v>
      </c>
      <c r="C680" t="s">
        <v>4</v>
      </c>
      <c r="D680">
        <v>0</v>
      </c>
      <c r="E680" t="s">
        <v>3</v>
      </c>
      <c r="F680" t="s">
        <v>5</v>
      </c>
      <c r="G680">
        <v>4400.4122090000001</v>
      </c>
      <c r="H680" t="s">
        <v>4</v>
      </c>
      <c r="I680">
        <v>990.16341899999998</v>
      </c>
      <c r="J680">
        <v>3410.2487900000001</v>
      </c>
      <c r="K680" t="s">
        <v>6</v>
      </c>
      <c r="L680" t="s">
        <v>7</v>
      </c>
      <c r="M680" t="s">
        <v>8</v>
      </c>
      <c r="N680" t="s">
        <v>6</v>
      </c>
      <c r="O680" t="s">
        <v>3</v>
      </c>
      <c r="P680" t="s">
        <v>3</v>
      </c>
      <c r="Q680" t="s">
        <v>3</v>
      </c>
      <c r="R680" t="s">
        <v>3</v>
      </c>
      <c r="S680" t="s">
        <v>11</v>
      </c>
      <c r="T680" t="s">
        <v>7</v>
      </c>
      <c r="U680">
        <v>0</v>
      </c>
      <c r="V680">
        <v>1</v>
      </c>
      <c r="W680">
        <v>0</v>
      </c>
      <c r="X680">
        <v>0</v>
      </c>
      <c r="Y680">
        <v>1</v>
      </c>
      <c r="Z680" t="s">
        <v>19</v>
      </c>
      <c r="AA680" t="s">
        <v>4</v>
      </c>
      <c r="AB680" t="s">
        <v>6</v>
      </c>
      <c r="AC680" t="s">
        <v>7</v>
      </c>
      <c r="AD680" t="s">
        <v>8</v>
      </c>
      <c r="AE680" t="s">
        <v>6</v>
      </c>
      <c r="AF680" t="s">
        <v>3</v>
      </c>
      <c r="AG680" t="s">
        <v>3</v>
      </c>
      <c r="AH680" t="s">
        <v>3</v>
      </c>
      <c r="AI680" t="s">
        <v>3</v>
      </c>
      <c r="AJ680" t="s">
        <v>3</v>
      </c>
      <c r="AK680" t="s">
        <v>7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9</v>
      </c>
      <c r="AR680" s="1">
        <v>2.6250344399999998E-5</v>
      </c>
      <c r="AS680" s="1">
        <v>6.3135293800000001E-27</v>
      </c>
      <c r="AT680">
        <v>28</v>
      </c>
      <c r="AU680" t="s">
        <v>10</v>
      </c>
      <c r="AV680">
        <v>0</v>
      </c>
      <c r="AW680">
        <v>1</v>
      </c>
      <c r="AX680">
        <v>0</v>
      </c>
      <c r="AY680">
        <v>0</v>
      </c>
      <c r="AZ680">
        <v>1</v>
      </c>
      <c r="BA680" t="s">
        <v>19</v>
      </c>
      <c r="BB680" t="s">
        <v>4</v>
      </c>
      <c r="BC680" t="s">
        <v>10</v>
      </c>
      <c r="BD680">
        <v>0</v>
      </c>
      <c r="BE680">
        <v>0</v>
      </c>
      <c r="BF680">
        <v>0</v>
      </c>
      <c r="BG680">
        <v>0</v>
      </c>
      <c r="BH680">
        <v>0</v>
      </c>
      <c r="BI680" t="s">
        <v>9</v>
      </c>
      <c r="BJ680">
        <v>0</v>
      </c>
      <c r="BK680">
        <v>-2.6250000000000001E-5</v>
      </c>
      <c r="BL680">
        <v>0</v>
      </c>
      <c r="BM680" s="2">
        <f t="shared" si="10"/>
        <v>3.8020962871296704E-8</v>
      </c>
    </row>
    <row r="681" spans="1:65" x14ac:dyDescent="0.35">
      <c r="A681">
        <v>0</v>
      </c>
      <c r="B681" t="s">
        <v>3</v>
      </c>
      <c r="C681" t="s">
        <v>4</v>
      </c>
      <c r="D681">
        <v>0</v>
      </c>
      <c r="E681" t="s">
        <v>3</v>
      </c>
      <c r="F681" t="s">
        <v>5</v>
      </c>
      <c r="G681">
        <v>3286.440008</v>
      </c>
      <c r="H681" t="s">
        <v>4</v>
      </c>
      <c r="I681">
        <v>990.16341899999998</v>
      </c>
      <c r="J681">
        <v>2296.2765890000001</v>
      </c>
      <c r="K681" t="s">
        <v>6</v>
      </c>
      <c r="L681" t="s">
        <v>7</v>
      </c>
      <c r="M681" t="s">
        <v>8</v>
      </c>
      <c r="N681" t="s">
        <v>6</v>
      </c>
      <c r="O681" t="s">
        <v>3</v>
      </c>
      <c r="P681" t="s">
        <v>3</v>
      </c>
      <c r="Q681" t="s">
        <v>3</v>
      </c>
      <c r="R681" t="s">
        <v>3</v>
      </c>
      <c r="S681" t="s">
        <v>3</v>
      </c>
      <c r="T681" t="s">
        <v>7</v>
      </c>
      <c r="U681">
        <v>0</v>
      </c>
      <c r="V681">
        <v>2</v>
      </c>
      <c r="W681">
        <v>0</v>
      </c>
      <c r="X681">
        <v>2</v>
      </c>
      <c r="Y681">
        <v>0</v>
      </c>
      <c r="Z681" t="s">
        <v>8</v>
      </c>
      <c r="AA681" t="s">
        <v>4</v>
      </c>
      <c r="AB681" t="s">
        <v>6</v>
      </c>
      <c r="AC681" t="s">
        <v>7</v>
      </c>
      <c r="AD681" t="s">
        <v>8</v>
      </c>
      <c r="AE681" t="s">
        <v>6</v>
      </c>
      <c r="AF681" t="s">
        <v>3</v>
      </c>
      <c r="AG681" t="s">
        <v>3</v>
      </c>
      <c r="AH681" t="s">
        <v>3</v>
      </c>
      <c r="AI681" t="s">
        <v>3</v>
      </c>
      <c r="AJ681" t="s">
        <v>3</v>
      </c>
      <c r="AK681" t="s">
        <v>7</v>
      </c>
      <c r="AL681">
        <v>0</v>
      </c>
      <c r="AM681">
        <v>0</v>
      </c>
      <c r="AN681">
        <v>0</v>
      </c>
      <c r="AO681">
        <v>0</v>
      </c>
      <c r="AP681">
        <v>0</v>
      </c>
      <c r="AQ681" t="s">
        <v>9</v>
      </c>
      <c r="AR681" s="1">
        <v>1.47955072E-5</v>
      </c>
      <c r="AS681" s="1">
        <v>1.35049638E-27</v>
      </c>
      <c r="AT681">
        <v>32</v>
      </c>
      <c r="AU681" t="s">
        <v>10</v>
      </c>
      <c r="AV681">
        <v>0</v>
      </c>
      <c r="AW681">
        <v>2</v>
      </c>
      <c r="AX681">
        <v>0</v>
      </c>
      <c r="AY681">
        <v>2</v>
      </c>
      <c r="AZ681">
        <v>0</v>
      </c>
      <c r="BA681" t="s">
        <v>8</v>
      </c>
      <c r="BB681" t="s">
        <v>4</v>
      </c>
      <c r="BC681" t="s">
        <v>10</v>
      </c>
      <c r="BD681">
        <v>0</v>
      </c>
      <c r="BE681">
        <v>0</v>
      </c>
      <c r="BF681">
        <v>0</v>
      </c>
      <c r="BG681">
        <v>0</v>
      </c>
      <c r="BH681">
        <v>0</v>
      </c>
      <c r="BI681" t="s">
        <v>9</v>
      </c>
      <c r="BJ681">
        <v>1.4450000000000001E-5</v>
      </c>
      <c r="BK681">
        <v>0</v>
      </c>
      <c r="BL681">
        <v>-3.1999999999999999E-6</v>
      </c>
      <c r="BM681" s="2">
        <f t="shared" si="10"/>
        <v>8.1328793502503044E-9</v>
      </c>
    </row>
    <row r="682" spans="1:65" x14ac:dyDescent="0.35">
      <c r="A682">
        <v>0</v>
      </c>
      <c r="B682" t="s">
        <v>3</v>
      </c>
      <c r="C682" t="s">
        <v>4</v>
      </c>
      <c r="D682">
        <v>0</v>
      </c>
      <c r="E682" t="s">
        <v>3</v>
      </c>
      <c r="F682" t="s">
        <v>5</v>
      </c>
      <c r="G682">
        <v>4056.6446350000001</v>
      </c>
      <c r="H682" t="s">
        <v>4</v>
      </c>
      <c r="I682">
        <v>990.16341899999998</v>
      </c>
      <c r="J682">
        <v>3066.4812160000001</v>
      </c>
      <c r="K682" t="s">
        <v>6</v>
      </c>
      <c r="L682" t="s">
        <v>7</v>
      </c>
      <c r="M682" t="s">
        <v>8</v>
      </c>
      <c r="N682" t="s">
        <v>6</v>
      </c>
      <c r="O682" t="s">
        <v>3</v>
      </c>
      <c r="P682" t="s">
        <v>3</v>
      </c>
      <c r="Q682" t="s">
        <v>3</v>
      </c>
      <c r="R682" t="s">
        <v>3</v>
      </c>
      <c r="S682" t="s">
        <v>3</v>
      </c>
      <c r="T682" t="s">
        <v>7</v>
      </c>
      <c r="U682">
        <v>0</v>
      </c>
      <c r="V682">
        <v>0</v>
      </c>
      <c r="W682">
        <v>0</v>
      </c>
      <c r="X682">
        <v>0</v>
      </c>
      <c r="Y682">
        <v>0</v>
      </c>
      <c r="Z682" t="s">
        <v>30</v>
      </c>
      <c r="AA682" t="s">
        <v>4</v>
      </c>
      <c r="AB682" t="s">
        <v>6</v>
      </c>
      <c r="AC682" t="s">
        <v>7</v>
      </c>
      <c r="AD682" t="s">
        <v>8</v>
      </c>
      <c r="AE682" t="s">
        <v>6</v>
      </c>
      <c r="AF682" t="s">
        <v>3</v>
      </c>
      <c r="AG682" t="s">
        <v>3</v>
      </c>
      <c r="AH682" t="s">
        <v>3</v>
      </c>
      <c r="AI682" t="s">
        <v>3</v>
      </c>
      <c r="AJ682" t="s">
        <v>3</v>
      </c>
      <c r="AK682" t="s">
        <v>7</v>
      </c>
      <c r="AL682">
        <v>0</v>
      </c>
      <c r="AM682">
        <v>0</v>
      </c>
      <c r="AN682">
        <v>0</v>
      </c>
      <c r="AO682">
        <v>0</v>
      </c>
      <c r="AP682">
        <v>0</v>
      </c>
      <c r="AQ682" t="s">
        <v>9</v>
      </c>
      <c r="AR682" s="1">
        <v>2.4427533399999998E-4</v>
      </c>
      <c r="AS682" s="1">
        <v>4.9160415200000002E-25</v>
      </c>
      <c r="AT682">
        <v>29</v>
      </c>
      <c r="AU682" t="s">
        <v>10</v>
      </c>
      <c r="AV682">
        <v>0</v>
      </c>
      <c r="AW682">
        <v>0</v>
      </c>
      <c r="AX682">
        <v>0</v>
      </c>
      <c r="AY682">
        <v>0</v>
      </c>
      <c r="AZ682">
        <v>0</v>
      </c>
      <c r="BA682" t="s">
        <v>30</v>
      </c>
      <c r="BB682" t="s">
        <v>4</v>
      </c>
      <c r="BC682" t="s">
        <v>10</v>
      </c>
      <c r="BD682">
        <v>0</v>
      </c>
      <c r="BE682">
        <v>0</v>
      </c>
      <c r="BF682">
        <v>0</v>
      </c>
      <c r="BG682">
        <v>0</v>
      </c>
      <c r="BH682">
        <v>0</v>
      </c>
      <c r="BI682" t="s">
        <v>9</v>
      </c>
      <c r="BJ682">
        <v>2.4426E-4</v>
      </c>
      <c r="BK682">
        <v>0</v>
      </c>
      <c r="BL682">
        <v>-2.4200000000000001E-6</v>
      </c>
      <c r="BM682" s="2">
        <f t="shared" si="10"/>
        <v>2.9605094212086014E-6</v>
      </c>
    </row>
    <row r="683" spans="1:65" x14ac:dyDescent="0.35">
      <c r="A683">
        <v>0</v>
      </c>
      <c r="B683" t="s">
        <v>11</v>
      </c>
      <c r="C683" t="s">
        <v>4</v>
      </c>
      <c r="D683">
        <v>0</v>
      </c>
      <c r="E683" t="s">
        <v>3</v>
      </c>
      <c r="F683" t="s">
        <v>5</v>
      </c>
      <c r="G683">
        <v>1966.6677549999999</v>
      </c>
      <c r="H683" t="s">
        <v>4</v>
      </c>
      <c r="I683">
        <v>990.16341899999998</v>
      </c>
      <c r="J683">
        <v>976.50433599999997</v>
      </c>
      <c r="K683" t="s">
        <v>6</v>
      </c>
      <c r="L683" t="s">
        <v>7</v>
      </c>
      <c r="M683" t="s">
        <v>8</v>
      </c>
      <c r="N683" t="s">
        <v>6</v>
      </c>
      <c r="O683" t="s">
        <v>3</v>
      </c>
      <c r="P683" t="s">
        <v>3</v>
      </c>
      <c r="Q683" t="s">
        <v>3</v>
      </c>
      <c r="R683" t="s">
        <v>3</v>
      </c>
      <c r="S683" t="s">
        <v>11</v>
      </c>
      <c r="T683" t="s">
        <v>7</v>
      </c>
      <c r="U683">
        <v>0</v>
      </c>
      <c r="V683">
        <v>0</v>
      </c>
      <c r="W683">
        <v>0</v>
      </c>
      <c r="X683">
        <v>1</v>
      </c>
      <c r="Y683">
        <v>0</v>
      </c>
      <c r="Z683" t="s">
        <v>13</v>
      </c>
      <c r="AA683" t="s">
        <v>4</v>
      </c>
      <c r="AB683" t="s">
        <v>6</v>
      </c>
      <c r="AC683" t="s">
        <v>7</v>
      </c>
      <c r="AD683" t="s">
        <v>8</v>
      </c>
      <c r="AE683" t="s">
        <v>6</v>
      </c>
      <c r="AF683" t="s">
        <v>3</v>
      </c>
      <c r="AG683" t="s">
        <v>3</v>
      </c>
      <c r="AH683" t="s">
        <v>3</v>
      </c>
      <c r="AI683" t="s">
        <v>3</v>
      </c>
      <c r="AJ683" t="s">
        <v>3</v>
      </c>
      <c r="AK683" t="s">
        <v>7</v>
      </c>
      <c r="AL683">
        <v>0</v>
      </c>
      <c r="AM683">
        <v>0</v>
      </c>
      <c r="AN683">
        <v>0</v>
      </c>
      <c r="AO683">
        <v>0</v>
      </c>
      <c r="AP683">
        <v>0</v>
      </c>
      <c r="AQ683" t="s">
        <v>9</v>
      </c>
      <c r="AR683" s="1">
        <v>1.26665443E-5</v>
      </c>
      <c r="AS683" s="1">
        <v>4.1715404099999997E-28</v>
      </c>
      <c r="AT683">
        <v>33</v>
      </c>
      <c r="AU683" t="s">
        <v>10</v>
      </c>
      <c r="AV683">
        <v>0</v>
      </c>
      <c r="AW683">
        <v>0</v>
      </c>
      <c r="AX683">
        <v>0</v>
      </c>
      <c r="AY683">
        <v>1</v>
      </c>
      <c r="AZ683">
        <v>0</v>
      </c>
      <c r="BA683" t="s">
        <v>13</v>
      </c>
      <c r="BB683" t="s">
        <v>4</v>
      </c>
      <c r="BC683" t="s">
        <v>10</v>
      </c>
      <c r="BD683">
        <v>0</v>
      </c>
      <c r="BE683">
        <v>0</v>
      </c>
      <c r="BF683">
        <v>0</v>
      </c>
      <c r="BG683">
        <v>0</v>
      </c>
      <c r="BH683">
        <v>0</v>
      </c>
      <c r="BI683" t="s">
        <v>9</v>
      </c>
      <c r="BJ683">
        <v>0</v>
      </c>
      <c r="BK683">
        <v>-1.2670000000000001E-5</v>
      </c>
      <c r="BL683">
        <v>0</v>
      </c>
      <c r="BM683" s="2">
        <f t="shared" si="10"/>
        <v>2.5121603701909724E-9</v>
      </c>
    </row>
    <row r="684" spans="1:65" x14ac:dyDescent="0.35">
      <c r="A684">
        <v>0</v>
      </c>
      <c r="B684" t="s">
        <v>3</v>
      </c>
      <c r="C684" t="s">
        <v>4</v>
      </c>
      <c r="D684">
        <v>0</v>
      </c>
      <c r="E684" t="s">
        <v>3</v>
      </c>
      <c r="F684" t="s">
        <v>5</v>
      </c>
      <c r="G684">
        <v>3572.9481689999998</v>
      </c>
      <c r="H684" t="s">
        <v>4</v>
      </c>
      <c r="I684">
        <v>990.16341899999998</v>
      </c>
      <c r="J684">
        <v>2582.7847499999998</v>
      </c>
      <c r="K684" t="s">
        <v>6</v>
      </c>
      <c r="L684" t="s">
        <v>7</v>
      </c>
      <c r="M684" t="s">
        <v>8</v>
      </c>
      <c r="N684" t="s">
        <v>6</v>
      </c>
      <c r="O684" t="s">
        <v>3</v>
      </c>
      <c r="P684" t="s">
        <v>3</v>
      </c>
      <c r="Q684" t="s">
        <v>3</v>
      </c>
      <c r="R684" t="s">
        <v>3</v>
      </c>
      <c r="S684" t="s">
        <v>3</v>
      </c>
      <c r="T684" t="s">
        <v>7</v>
      </c>
      <c r="U684">
        <v>0</v>
      </c>
      <c r="V684">
        <v>0</v>
      </c>
      <c r="W684">
        <v>0</v>
      </c>
      <c r="X684">
        <v>0</v>
      </c>
      <c r="Y684">
        <v>3</v>
      </c>
      <c r="Z684" t="s">
        <v>9</v>
      </c>
      <c r="AA684" t="s">
        <v>4</v>
      </c>
      <c r="AB684" t="s">
        <v>6</v>
      </c>
      <c r="AC684" t="s">
        <v>7</v>
      </c>
      <c r="AD684" t="s">
        <v>8</v>
      </c>
      <c r="AE684" t="s">
        <v>6</v>
      </c>
      <c r="AF684" t="s">
        <v>3</v>
      </c>
      <c r="AG684" t="s">
        <v>3</v>
      </c>
      <c r="AH684" t="s">
        <v>3</v>
      </c>
      <c r="AI684" t="s">
        <v>3</v>
      </c>
      <c r="AJ684" t="s">
        <v>3</v>
      </c>
      <c r="AK684" t="s">
        <v>7</v>
      </c>
      <c r="AL684">
        <v>0</v>
      </c>
      <c r="AM684">
        <v>0</v>
      </c>
      <c r="AN684">
        <v>0</v>
      </c>
      <c r="AO684">
        <v>0</v>
      </c>
      <c r="AP684">
        <v>0</v>
      </c>
      <c r="AQ684" t="s">
        <v>9</v>
      </c>
      <c r="AR684" s="1">
        <v>3.3590924600000001E-3</v>
      </c>
      <c r="AS684" s="1">
        <v>7.8297271000000005E-23</v>
      </c>
      <c r="AT684">
        <v>28</v>
      </c>
      <c r="AU684" t="s">
        <v>10</v>
      </c>
      <c r="AV684">
        <v>0</v>
      </c>
      <c r="AW684">
        <v>0</v>
      </c>
      <c r="AX684">
        <v>0</v>
      </c>
      <c r="AY684">
        <v>0</v>
      </c>
      <c r="AZ684">
        <v>3</v>
      </c>
      <c r="BA684" t="s">
        <v>9</v>
      </c>
      <c r="BB684" t="s">
        <v>4</v>
      </c>
      <c r="BC684" t="s">
        <v>10</v>
      </c>
      <c r="BD684">
        <v>0</v>
      </c>
      <c r="BE684">
        <v>0</v>
      </c>
      <c r="BF684">
        <v>0</v>
      </c>
      <c r="BG684">
        <v>0</v>
      </c>
      <c r="BH684">
        <v>0</v>
      </c>
      <c r="BI684" t="s">
        <v>9</v>
      </c>
      <c r="BJ684">
        <v>-3.3581599999999998E-3</v>
      </c>
      <c r="BK684">
        <v>0</v>
      </c>
      <c r="BL684">
        <v>-7.9179999999999997E-5</v>
      </c>
      <c r="BM684" s="2">
        <f t="shared" si="10"/>
        <v>4.7151719021775677E-4</v>
      </c>
    </row>
    <row r="685" spans="1:65" x14ac:dyDescent="0.35">
      <c r="A685">
        <v>0</v>
      </c>
      <c r="B685" t="s">
        <v>11</v>
      </c>
      <c r="C685" t="s">
        <v>4</v>
      </c>
      <c r="D685">
        <v>0</v>
      </c>
      <c r="E685" t="s">
        <v>3</v>
      </c>
      <c r="F685" t="s">
        <v>5</v>
      </c>
      <c r="G685">
        <v>3849.6246689999998</v>
      </c>
      <c r="H685" t="s">
        <v>4</v>
      </c>
      <c r="I685">
        <v>990.16341899999998</v>
      </c>
      <c r="J685">
        <v>2859.4612499999998</v>
      </c>
      <c r="K685" t="s">
        <v>6</v>
      </c>
      <c r="L685" t="s">
        <v>7</v>
      </c>
      <c r="M685" t="s">
        <v>8</v>
      </c>
      <c r="N685" t="s">
        <v>6</v>
      </c>
      <c r="O685" t="s">
        <v>3</v>
      </c>
      <c r="P685" t="s">
        <v>3</v>
      </c>
      <c r="Q685" t="s">
        <v>3</v>
      </c>
      <c r="R685" t="s">
        <v>3</v>
      </c>
      <c r="S685" t="s">
        <v>11</v>
      </c>
      <c r="T685" t="s">
        <v>7</v>
      </c>
      <c r="U685">
        <v>2</v>
      </c>
      <c r="V685">
        <v>0</v>
      </c>
      <c r="W685">
        <v>0</v>
      </c>
      <c r="X685">
        <v>4</v>
      </c>
      <c r="Y685">
        <v>0</v>
      </c>
      <c r="Z685" t="s">
        <v>18</v>
      </c>
      <c r="AA685" t="s">
        <v>4</v>
      </c>
      <c r="AB685" t="s">
        <v>6</v>
      </c>
      <c r="AC685" t="s">
        <v>7</v>
      </c>
      <c r="AD685" t="s">
        <v>8</v>
      </c>
      <c r="AE685" t="s">
        <v>6</v>
      </c>
      <c r="AF685" t="s">
        <v>3</v>
      </c>
      <c r="AG685" t="s">
        <v>3</v>
      </c>
      <c r="AH685" t="s">
        <v>3</v>
      </c>
      <c r="AI685" t="s">
        <v>3</v>
      </c>
      <c r="AJ685" t="s">
        <v>3</v>
      </c>
      <c r="AK685" t="s">
        <v>7</v>
      </c>
      <c r="AL685">
        <v>0</v>
      </c>
      <c r="AM685">
        <v>0</v>
      </c>
      <c r="AN685">
        <v>0</v>
      </c>
      <c r="AO685">
        <v>0</v>
      </c>
      <c r="AP685">
        <v>0</v>
      </c>
      <c r="AQ685" t="s">
        <v>9</v>
      </c>
      <c r="AR685" s="1">
        <v>8.90494827E-6</v>
      </c>
      <c r="AS685" s="1">
        <v>6.0920399399999998E-28</v>
      </c>
      <c r="AT685">
        <v>28</v>
      </c>
      <c r="AU685" t="s">
        <v>10</v>
      </c>
      <c r="AV685">
        <v>2</v>
      </c>
      <c r="AW685">
        <v>0</v>
      </c>
      <c r="AX685">
        <v>0</v>
      </c>
      <c r="AY685">
        <v>4</v>
      </c>
      <c r="AZ685">
        <v>0</v>
      </c>
      <c r="BA685" t="s">
        <v>18</v>
      </c>
      <c r="BB685" t="s">
        <v>4</v>
      </c>
      <c r="BC685" t="s">
        <v>10</v>
      </c>
      <c r="BD685">
        <v>0</v>
      </c>
      <c r="BE685">
        <v>0</v>
      </c>
      <c r="BF685">
        <v>0</v>
      </c>
      <c r="BG685">
        <v>0</v>
      </c>
      <c r="BH685">
        <v>0</v>
      </c>
      <c r="BI685" t="s">
        <v>9</v>
      </c>
      <c r="BJ685">
        <v>0</v>
      </c>
      <c r="BK685">
        <v>8.8999999999999995E-6</v>
      </c>
      <c r="BL685">
        <v>0</v>
      </c>
      <c r="BM685" s="2">
        <f t="shared" si="10"/>
        <v>3.668712227790355E-9</v>
      </c>
    </row>
    <row r="686" spans="1:65" x14ac:dyDescent="0.35">
      <c r="A686">
        <v>0</v>
      </c>
      <c r="B686" t="s">
        <v>3</v>
      </c>
      <c r="C686" t="s">
        <v>4</v>
      </c>
      <c r="D686">
        <v>0</v>
      </c>
      <c r="E686" t="s">
        <v>3</v>
      </c>
      <c r="F686" t="s">
        <v>5</v>
      </c>
      <c r="G686">
        <v>2478.1513500000001</v>
      </c>
      <c r="H686" t="s">
        <v>4</v>
      </c>
      <c r="I686">
        <v>990.16341899999998</v>
      </c>
      <c r="J686">
        <v>1487.9879309999999</v>
      </c>
      <c r="K686" t="s">
        <v>6</v>
      </c>
      <c r="L686" t="s">
        <v>7</v>
      </c>
      <c r="M686" t="s">
        <v>8</v>
      </c>
      <c r="N686" t="s">
        <v>6</v>
      </c>
      <c r="O686" t="s">
        <v>3</v>
      </c>
      <c r="P686" t="s">
        <v>3</v>
      </c>
      <c r="Q686" t="s">
        <v>3</v>
      </c>
      <c r="R686" t="s">
        <v>3</v>
      </c>
      <c r="S686" t="s">
        <v>3</v>
      </c>
      <c r="T686" t="s">
        <v>7</v>
      </c>
      <c r="U686">
        <v>2</v>
      </c>
      <c r="V686">
        <v>0</v>
      </c>
      <c r="W686">
        <v>0</v>
      </c>
      <c r="X686">
        <v>2</v>
      </c>
      <c r="Y686">
        <v>0</v>
      </c>
      <c r="Z686" t="s">
        <v>8</v>
      </c>
      <c r="AA686" t="s">
        <v>4</v>
      </c>
      <c r="AB686" t="s">
        <v>6</v>
      </c>
      <c r="AC686" t="s">
        <v>7</v>
      </c>
      <c r="AD686" t="s">
        <v>8</v>
      </c>
      <c r="AE686" t="s">
        <v>6</v>
      </c>
      <c r="AF686" t="s">
        <v>3</v>
      </c>
      <c r="AG686" t="s">
        <v>3</v>
      </c>
      <c r="AH686" t="s">
        <v>3</v>
      </c>
      <c r="AI686" t="s">
        <v>3</v>
      </c>
      <c r="AJ686" t="s">
        <v>3</v>
      </c>
      <c r="AK686" t="s">
        <v>7</v>
      </c>
      <c r="AL686">
        <v>0</v>
      </c>
      <c r="AM686">
        <v>0</v>
      </c>
      <c r="AN686">
        <v>0</v>
      </c>
      <c r="AO686">
        <v>0</v>
      </c>
      <c r="AP686">
        <v>0</v>
      </c>
      <c r="AQ686" t="s">
        <v>9</v>
      </c>
      <c r="AR686" s="1">
        <v>3.3329062999999998E-5</v>
      </c>
      <c r="AS686" s="1">
        <v>4.4374372700000003E-27</v>
      </c>
      <c r="AT686">
        <v>28</v>
      </c>
      <c r="AU686" t="s">
        <v>10</v>
      </c>
      <c r="AV686">
        <v>2</v>
      </c>
      <c r="AW686">
        <v>0</v>
      </c>
      <c r="AX686">
        <v>0</v>
      </c>
      <c r="AY686">
        <v>2</v>
      </c>
      <c r="AZ686">
        <v>0</v>
      </c>
      <c r="BA686" t="s">
        <v>8</v>
      </c>
      <c r="BB686" t="s">
        <v>4</v>
      </c>
      <c r="BC686" t="s">
        <v>10</v>
      </c>
      <c r="BD686">
        <v>0</v>
      </c>
      <c r="BE686">
        <v>0</v>
      </c>
      <c r="BF686">
        <v>0</v>
      </c>
      <c r="BG686">
        <v>0</v>
      </c>
      <c r="BH686">
        <v>0</v>
      </c>
      <c r="BI686" t="s">
        <v>9</v>
      </c>
      <c r="BJ686">
        <v>-2.57E-6</v>
      </c>
      <c r="BK686">
        <v>0</v>
      </c>
      <c r="BL686">
        <v>-3.3229999999999999E-5</v>
      </c>
      <c r="BM686" s="2">
        <f t="shared" si="10"/>
        <v>2.6722872031107615E-8</v>
      </c>
    </row>
    <row r="687" spans="1:65" x14ac:dyDescent="0.35">
      <c r="A687">
        <v>0</v>
      </c>
      <c r="B687" t="s">
        <v>3</v>
      </c>
      <c r="C687" t="s">
        <v>4</v>
      </c>
      <c r="D687">
        <v>0</v>
      </c>
      <c r="E687" t="s">
        <v>3</v>
      </c>
      <c r="F687" t="s">
        <v>5</v>
      </c>
      <c r="G687">
        <v>4809.6528879999996</v>
      </c>
      <c r="H687" t="s">
        <v>4</v>
      </c>
      <c r="I687">
        <v>990.16341899999998</v>
      </c>
      <c r="J687">
        <v>3819.4894690000001</v>
      </c>
      <c r="K687" t="s">
        <v>6</v>
      </c>
      <c r="L687" t="s">
        <v>7</v>
      </c>
      <c r="M687" t="s">
        <v>8</v>
      </c>
      <c r="N687" t="s">
        <v>6</v>
      </c>
      <c r="O687" t="s">
        <v>3</v>
      </c>
      <c r="P687" t="s">
        <v>3</v>
      </c>
      <c r="Q687" t="s">
        <v>3</v>
      </c>
      <c r="R687" t="s">
        <v>3</v>
      </c>
      <c r="S687" t="s">
        <v>3</v>
      </c>
      <c r="T687" t="s">
        <v>7</v>
      </c>
      <c r="U687">
        <v>4</v>
      </c>
      <c r="V687">
        <v>0</v>
      </c>
      <c r="W687">
        <v>0</v>
      </c>
      <c r="X687">
        <v>1</v>
      </c>
      <c r="Y687">
        <v>0</v>
      </c>
      <c r="Z687" t="s">
        <v>15</v>
      </c>
      <c r="AA687" t="s">
        <v>4</v>
      </c>
      <c r="AB687" t="s">
        <v>6</v>
      </c>
      <c r="AC687" t="s">
        <v>7</v>
      </c>
      <c r="AD687" t="s">
        <v>8</v>
      </c>
      <c r="AE687" t="s">
        <v>6</v>
      </c>
      <c r="AF687" t="s">
        <v>3</v>
      </c>
      <c r="AG687" t="s">
        <v>3</v>
      </c>
      <c r="AH687" t="s">
        <v>3</v>
      </c>
      <c r="AI687" t="s">
        <v>3</v>
      </c>
      <c r="AJ687" t="s">
        <v>3</v>
      </c>
      <c r="AK687" t="s">
        <v>7</v>
      </c>
      <c r="AL687">
        <v>0</v>
      </c>
      <c r="AM687">
        <v>0</v>
      </c>
      <c r="AN687">
        <v>0</v>
      </c>
      <c r="AO687">
        <v>0</v>
      </c>
      <c r="AP687">
        <v>0</v>
      </c>
      <c r="AQ687" t="s">
        <v>9</v>
      </c>
      <c r="AR687" s="1">
        <v>1.13331661E-4</v>
      </c>
      <c r="AS687" s="1">
        <v>1.3180260199999999E-25</v>
      </c>
      <c r="AT687">
        <v>30</v>
      </c>
      <c r="AU687" t="s">
        <v>10</v>
      </c>
      <c r="AV687">
        <v>4</v>
      </c>
      <c r="AW687">
        <v>0</v>
      </c>
      <c r="AX687">
        <v>0</v>
      </c>
      <c r="AY687">
        <v>1</v>
      </c>
      <c r="AZ687">
        <v>0</v>
      </c>
      <c r="BA687" t="s">
        <v>15</v>
      </c>
      <c r="BB687" t="s">
        <v>4</v>
      </c>
      <c r="BC687" t="s">
        <v>10</v>
      </c>
      <c r="BD687">
        <v>0</v>
      </c>
      <c r="BE687">
        <v>0</v>
      </c>
      <c r="BF687">
        <v>0</v>
      </c>
      <c r="BG687">
        <v>0</v>
      </c>
      <c r="BH687">
        <v>0</v>
      </c>
      <c r="BI687" t="s">
        <v>9</v>
      </c>
      <c r="BJ687">
        <v>6.8499999999999998E-5</v>
      </c>
      <c r="BK687">
        <v>0</v>
      </c>
      <c r="BL687">
        <v>-9.0290000000000005E-5</v>
      </c>
      <c r="BM687" s="2">
        <f t="shared" si="10"/>
        <v>7.9373382705036152E-7</v>
      </c>
    </row>
    <row r="688" spans="1:65" x14ac:dyDescent="0.35">
      <c r="A688">
        <v>0</v>
      </c>
      <c r="B688" t="s">
        <v>3</v>
      </c>
      <c r="C688" t="s">
        <v>4</v>
      </c>
      <c r="D688">
        <v>0</v>
      </c>
      <c r="E688" t="s">
        <v>3</v>
      </c>
      <c r="F688" t="s">
        <v>5</v>
      </c>
      <c r="G688">
        <v>3747.928167</v>
      </c>
      <c r="H688" t="s">
        <v>4</v>
      </c>
      <c r="I688">
        <v>990.16341899999998</v>
      </c>
      <c r="J688">
        <v>2757.7647480000001</v>
      </c>
      <c r="K688" t="s">
        <v>6</v>
      </c>
      <c r="L688" t="s">
        <v>7</v>
      </c>
      <c r="M688" t="s">
        <v>8</v>
      </c>
      <c r="N688" t="s">
        <v>6</v>
      </c>
      <c r="O688" t="s">
        <v>3</v>
      </c>
      <c r="P688" t="s">
        <v>3</v>
      </c>
      <c r="Q688" t="s">
        <v>3</v>
      </c>
      <c r="R688" t="s">
        <v>3</v>
      </c>
      <c r="S688" t="s">
        <v>3</v>
      </c>
      <c r="T688" t="s">
        <v>7</v>
      </c>
      <c r="U688">
        <v>0</v>
      </c>
      <c r="V688">
        <v>3</v>
      </c>
      <c r="W688">
        <v>0</v>
      </c>
      <c r="X688">
        <v>0</v>
      </c>
      <c r="Y688">
        <v>0</v>
      </c>
      <c r="Z688" t="s">
        <v>8</v>
      </c>
      <c r="AA688" t="s">
        <v>4</v>
      </c>
      <c r="AB688" t="s">
        <v>6</v>
      </c>
      <c r="AC688" t="s">
        <v>7</v>
      </c>
      <c r="AD688" t="s">
        <v>8</v>
      </c>
      <c r="AE688" t="s">
        <v>6</v>
      </c>
      <c r="AF688" t="s">
        <v>3</v>
      </c>
      <c r="AG688" t="s">
        <v>3</v>
      </c>
      <c r="AH688" t="s">
        <v>3</v>
      </c>
      <c r="AI688" t="s">
        <v>3</v>
      </c>
      <c r="AJ688" t="s">
        <v>3</v>
      </c>
      <c r="AK688" t="s">
        <v>7</v>
      </c>
      <c r="AL688">
        <v>0</v>
      </c>
      <c r="AM688">
        <v>0</v>
      </c>
      <c r="AN688">
        <v>0</v>
      </c>
      <c r="AO688">
        <v>0</v>
      </c>
      <c r="AP688">
        <v>0</v>
      </c>
      <c r="AQ688" t="s">
        <v>9</v>
      </c>
      <c r="AR688" s="1">
        <v>3.8784078200000003E-5</v>
      </c>
      <c r="AS688" s="1">
        <v>1.11449881E-26</v>
      </c>
      <c r="AT688">
        <v>33</v>
      </c>
      <c r="AU688" t="s">
        <v>10</v>
      </c>
      <c r="AV688">
        <v>0</v>
      </c>
      <c r="AW688">
        <v>3</v>
      </c>
      <c r="AX688">
        <v>0</v>
      </c>
      <c r="AY688">
        <v>0</v>
      </c>
      <c r="AZ688">
        <v>0</v>
      </c>
      <c r="BA688" t="s">
        <v>8</v>
      </c>
      <c r="BB688" t="s">
        <v>4</v>
      </c>
      <c r="BC688" t="s">
        <v>10</v>
      </c>
      <c r="BD688">
        <v>0</v>
      </c>
      <c r="BE688">
        <v>0</v>
      </c>
      <c r="BF688">
        <v>0</v>
      </c>
      <c r="BG688">
        <v>0</v>
      </c>
      <c r="BH688">
        <v>0</v>
      </c>
      <c r="BI688" t="s">
        <v>9</v>
      </c>
      <c r="BJ688">
        <v>2.8589999999999999E-5</v>
      </c>
      <c r="BK688">
        <v>0</v>
      </c>
      <c r="BL688">
        <v>2.6210000000000001E-5</v>
      </c>
      <c r="BM688" s="2">
        <f t="shared" si="10"/>
        <v>6.7116687552524483E-8</v>
      </c>
    </row>
    <row r="689" spans="1:65" x14ac:dyDescent="0.35">
      <c r="A689">
        <v>0</v>
      </c>
      <c r="B689" t="s">
        <v>11</v>
      </c>
      <c r="C689" t="s">
        <v>4</v>
      </c>
      <c r="D689">
        <v>0</v>
      </c>
      <c r="E689" t="s">
        <v>3</v>
      </c>
      <c r="F689" t="s">
        <v>5</v>
      </c>
      <c r="G689">
        <v>3951.9860650000001</v>
      </c>
      <c r="H689" t="s">
        <v>4</v>
      </c>
      <c r="I689">
        <v>990.16341899999998</v>
      </c>
      <c r="J689">
        <v>2961.8226460000001</v>
      </c>
      <c r="K689" t="s">
        <v>6</v>
      </c>
      <c r="L689" t="s">
        <v>7</v>
      </c>
      <c r="M689" t="s">
        <v>8</v>
      </c>
      <c r="N689" t="s">
        <v>6</v>
      </c>
      <c r="O689" t="s">
        <v>3</v>
      </c>
      <c r="P689" t="s">
        <v>3</v>
      </c>
      <c r="Q689" t="s">
        <v>3</v>
      </c>
      <c r="R689" t="s">
        <v>3</v>
      </c>
      <c r="S689" t="s">
        <v>11</v>
      </c>
      <c r="T689" t="s">
        <v>7</v>
      </c>
      <c r="U689">
        <v>3</v>
      </c>
      <c r="V689">
        <v>0</v>
      </c>
      <c r="W689">
        <v>0</v>
      </c>
      <c r="X689">
        <v>0</v>
      </c>
      <c r="Y689">
        <v>0</v>
      </c>
      <c r="Z689" t="s">
        <v>14</v>
      </c>
      <c r="AA689" t="s">
        <v>4</v>
      </c>
      <c r="AB689" t="s">
        <v>6</v>
      </c>
      <c r="AC689" t="s">
        <v>7</v>
      </c>
      <c r="AD689" t="s">
        <v>8</v>
      </c>
      <c r="AE689" t="s">
        <v>6</v>
      </c>
      <c r="AF689" t="s">
        <v>3</v>
      </c>
      <c r="AG689" t="s">
        <v>3</v>
      </c>
      <c r="AH689" t="s">
        <v>3</v>
      </c>
      <c r="AI689" t="s">
        <v>3</v>
      </c>
      <c r="AJ689" t="s">
        <v>3</v>
      </c>
      <c r="AK689" t="s">
        <v>7</v>
      </c>
      <c r="AL689">
        <v>0</v>
      </c>
      <c r="AM689">
        <v>0</v>
      </c>
      <c r="AN689">
        <v>0</v>
      </c>
      <c r="AO689">
        <v>0</v>
      </c>
      <c r="AP689">
        <v>0</v>
      </c>
      <c r="AQ689" t="s">
        <v>9</v>
      </c>
      <c r="AR689" s="1">
        <v>8.7641122799999996E-5</v>
      </c>
      <c r="AS689" s="1">
        <v>6.1121050500000005E-26</v>
      </c>
      <c r="AT689">
        <v>28</v>
      </c>
      <c r="AU689" t="s">
        <v>10</v>
      </c>
      <c r="AV689">
        <v>3</v>
      </c>
      <c r="AW689">
        <v>0</v>
      </c>
      <c r="AX689">
        <v>0</v>
      </c>
      <c r="AY689">
        <v>0</v>
      </c>
      <c r="AZ689">
        <v>0</v>
      </c>
      <c r="BA689" t="s">
        <v>14</v>
      </c>
      <c r="BB689" t="s">
        <v>4</v>
      </c>
      <c r="BC689" t="s">
        <v>10</v>
      </c>
      <c r="BD689">
        <v>0</v>
      </c>
      <c r="BE689">
        <v>0</v>
      </c>
      <c r="BF689">
        <v>0</v>
      </c>
      <c r="BG689">
        <v>0</v>
      </c>
      <c r="BH689">
        <v>0</v>
      </c>
      <c r="BI689" t="s">
        <v>9</v>
      </c>
      <c r="BJ689">
        <v>0</v>
      </c>
      <c r="BK689">
        <v>-8.7639999999999994E-5</v>
      </c>
      <c r="BL689">
        <v>0</v>
      </c>
      <c r="BM689" s="2">
        <f t="shared" si="10"/>
        <v>3.6807957195491046E-7</v>
      </c>
    </row>
    <row r="690" spans="1:65" x14ac:dyDescent="0.35">
      <c r="A690">
        <v>0</v>
      </c>
      <c r="B690" t="s">
        <v>3</v>
      </c>
      <c r="C690" t="s">
        <v>4</v>
      </c>
      <c r="D690">
        <v>0</v>
      </c>
      <c r="E690" t="s">
        <v>3</v>
      </c>
      <c r="F690" t="s">
        <v>5</v>
      </c>
      <c r="G690">
        <v>4552.35491</v>
      </c>
      <c r="H690" t="s">
        <v>4</v>
      </c>
      <c r="I690">
        <v>990.16341899999998</v>
      </c>
      <c r="J690">
        <v>3562.191491</v>
      </c>
      <c r="K690" t="s">
        <v>6</v>
      </c>
      <c r="L690" t="s">
        <v>7</v>
      </c>
      <c r="M690" t="s">
        <v>8</v>
      </c>
      <c r="N690" t="s">
        <v>6</v>
      </c>
      <c r="O690" t="s">
        <v>3</v>
      </c>
      <c r="P690" t="s">
        <v>3</v>
      </c>
      <c r="Q690" t="s">
        <v>3</v>
      </c>
      <c r="R690" t="s">
        <v>3</v>
      </c>
      <c r="S690" t="s">
        <v>3</v>
      </c>
      <c r="T690" t="s">
        <v>7</v>
      </c>
      <c r="U690">
        <v>1</v>
      </c>
      <c r="V690">
        <v>2</v>
      </c>
      <c r="W690">
        <v>0</v>
      </c>
      <c r="X690">
        <v>3</v>
      </c>
      <c r="Y690">
        <v>0</v>
      </c>
      <c r="Z690" t="s">
        <v>8</v>
      </c>
      <c r="AA690" t="s">
        <v>4</v>
      </c>
      <c r="AB690" t="s">
        <v>6</v>
      </c>
      <c r="AC690" t="s">
        <v>7</v>
      </c>
      <c r="AD690" t="s">
        <v>8</v>
      </c>
      <c r="AE690" t="s">
        <v>6</v>
      </c>
      <c r="AF690" t="s">
        <v>3</v>
      </c>
      <c r="AG690" t="s">
        <v>3</v>
      </c>
      <c r="AH690" t="s">
        <v>3</v>
      </c>
      <c r="AI690" t="s">
        <v>3</v>
      </c>
      <c r="AJ690" t="s">
        <v>3</v>
      </c>
      <c r="AK690" t="s">
        <v>7</v>
      </c>
      <c r="AL690">
        <v>0</v>
      </c>
      <c r="AM690">
        <v>0</v>
      </c>
      <c r="AN690">
        <v>0</v>
      </c>
      <c r="AO690">
        <v>0</v>
      </c>
      <c r="AP690">
        <v>0</v>
      </c>
      <c r="AQ690" t="s">
        <v>9</v>
      </c>
      <c r="AR690" s="1">
        <v>1.50348279E-5</v>
      </c>
      <c r="AS690" s="1">
        <v>2.1633676600000001E-27</v>
      </c>
      <c r="AT690">
        <v>28</v>
      </c>
      <c r="AU690" t="s">
        <v>10</v>
      </c>
      <c r="AV690">
        <v>1</v>
      </c>
      <c r="AW690">
        <v>2</v>
      </c>
      <c r="AX690">
        <v>0</v>
      </c>
      <c r="AY690">
        <v>3</v>
      </c>
      <c r="AZ690">
        <v>0</v>
      </c>
      <c r="BA690" t="s">
        <v>8</v>
      </c>
      <c r="BB690" t="s">
        <v>4</v>
      </c>
      <c r="BC690" t="s">
        <v>10</v>
      </c>
      <c r="BD690">
        <v>0</v>
      </c>
      <c r="BE690">
        <v>0</v>
      </c>
      <c r="BF690">
        <v>0</v>
      </c>
      <c r="BG690">
        <v>0</v>
      </c>
      <c r="BH690">
        <v>0</v>
      </c>
      <c r="BI690" t="s">
        <v>9</v>
      </c>
      <c r="BJ690">
        <v>-1.3200000000000001E-5</v>
      </c>
      <c r="BK690">
        <v>0</v>
      </c>
      <c r="BL690">
        <v>7.1999999999999997E-6</v>
      </c>
      <c r="BM690" s="2">
        <f t="shared" si="10"/>
        <v>1.3028104650686529E-8</v>
      </c>
    </row>
    <row r="691" spans="1:65" x14ac:dyDescent="0.35">
      <c r="A691">
        <v>0</v>
      </c>
      <c r="B691" t="s">
        <v>3</v>
      </c>
      <c r="C691" t="s">
        <v>4</v>
      </c>
      <c r="D691">
        <v>0</v>
      </c>
      <c r="E691" t="s">
        <v>3</v>
      </c>
      <c r="F691" t="s">
        <v>5</v>
      </c>
      <c r="G691">
        <v>3069.1020279999998</v>
      </c>
      <c r="H691" t="s">
        <v>4</v>
      </c>
      <c r="I691">
        <v>990.16341899999998</v>
      </c>
      <c r="J691">
        <v>2078.9386089999998</v>
      </c>
      <c r="K691" t="s">
        <v>6</v>
      </c>
      <c r="L691" t="s">
        <v>7</v>
      </c>
      <c r="M691" t="s">
        <v>8</v>
      </c>
      <c r="N691" t="s">
        <v>6</v>
      </c>
      <c r="O691" t="s">
        <v>3</v>
      </c>
      <c r="P691" t="s">
        <v>3</v>
      </c>
      <c r="Q691" t="s">
        <v>3</v>
      </c>
      <c r="R691" t="s">
        <v>3</v>
      </c>
      <c r="S691" t="s">
        <v>3</v>
      </c>
      <c r="T691" t="s">
        <v>7</v>
      </c>
      <c r="U691">
        <v>2</v>
      </c>
      <c r="V691">
        <v>0</v>
      </c>
      <c r="W691">
        <v>0</v>
      </c>
      <c r="X691">
        <v>1</v>
      </c>
      <c r="Y691">
        <v>0</v>
      </c>
      <c r="Z691" t="s">
        <v>9</v>
      </c>
      <c r="AA691" t="s">
        <v>4</v>
      </c>
      <c r="AB691" t="s">
        <v>6</v>
      </c>
      <c r="AC691" t="s">
        <v>7</v>
      </c>
      <c r="AD691" t="s">
        <v>8</v>
      </c>
      <c r="AE691" t="s">
        <v>6</v>
      </c>
      <c r="AF691" t="s">
        <v>3</v>
      </c>
      <c r="AG691" t="s">
        <v>3</v>
      </c>
      <c r="AH691" t="s">
        <v>3</v>
      </c>
      <c r="AI691" t="s">
        <v>3</v>
      </c>
      <c r="AJ691" t="s">
        <v>3</v>
      </c>
      <c r="AK691" t="s">
        <v>7</v>
      </c>
      <c r="AL691">
        <v>0</v>
      </c>
      <c r="AM691">
        <v>0</v>
      </c>
      <c r="AN691">
        <v>0</v>
      </c>
      <c r="AO691">
        <v>0</v>
      </c>
      <c r="AP691">
        <v>0</v>
      </c>
      <c r="AQ691" t="s">
        <v>9</v>
      </c>
      <c r="AR691" s="1">
        <v>1.2888952E-3</v>
      </c>
      <c r="AS691" s="1">
        <v>9.2784203099999997E-24</v>
      </c>
      <c r="AT691">
        <v>30</v>
      </c>
      <c r="AU691" t="s">
        <v>10</v>
      </c>
      <c r="AV691">
        <v>2</v>
      </c>
      <c r="AW691">
        <v>0</v>
      </c>
      <c r="AX691">
        <v>0</v>
      </c>
      <c r="AY691">
        <v>1</v>
      </c>
      <c r="AZ691">
        <v>0</v>
      </c>
      <c r="BA691" t="s">
        <v>9</v>
      </c>
      <c r="BB691" t="s">
        <v>4</v>
      </c>
      <c r="BC691" t="s">
        <v>10</v>
      </c>
      <c r="BD691">
        <v>0</v>
      </c>
      <c r="BE691">
        <v>0</v>
      </c>
      <c r="BF691">
        <v>0</v>
      </c>
      <c r="BG691">
        <v>0</v>
      </c>
      <c r="BH691">
        <v>0</v>
      </c>
      <c r="BI691" t="s">
        <v>9</v>
      </c>
      <c r="BJ691">
        <v>-1.2376900000000001E-3</v>
      </c>
      <c r="BK691">
        <v>0</v>
      </c>
      <c r="BL691">
        <v>-3.5969000000000002E-4</v>
      </c>
      <c r="BM691" s="2">
        <f t="shared" si="10"/>
        <v>5.5875953508399647E-5</v>
      </c>
    </row>
    <row r="692" spans="1:65" x14ac:dyDescent="0.35">
      <c r="A692">
        <v>0</v>
      </c>
      <c r="B692" t="s">
        <v>3</v>
      </c>
      <c r="C692" t="s">
        <v>4</v>
      </c>
      <c r="D692">
        <v>0</v>
      </c>
      <c r="E692" t="s">
        <v>3</v>
      </c>
      <c r="F692" t="s">
        <v>5</v>
      </c>
      <c r="G692">
        <v>4173.2300299999997</v>
      </c>
      <c r="H692" t="s">
        <v>4</v>
      </c>
      <c r="I692">
        <v>990.16341899999998</v>
      </c>
      <c r="J692">
        <v>3183.0666110000002</v>
      </c>
      <c r="K692" t="s">
        <v>6</v>
      </c>
      <c r="L692" t="s">
        <v>7</v>
      </c>
      <c r="M692" t="s">
        <v>8</v>
      </c>
      <c r="N692" t="s">
        <v>6</v>
      </c>
      <c r="O692" t="s">
        <v>3</v>
      </c>
      <c r="P692" t="s">
        <v>3</v>
      </c>
      <c r="Q692" t="s">
        <v>3</v>
      </c>
      <c r="R692" t="s">
        <v>3</v>
      </c>
      <c r="S692" t="s">
        <v>3</v>
      </c>
      <c r="T692" t="s">
        <v>7</v>
      </c>
      <c r="U692">
        <v>0</v>
      </c>
      <c r="V692">
        <v>0</v>
      </c>
      <c r="W692">
        <v>0</v>
      </c>
      <c r="X692">
        <v>0</v>
      </c>
      <c r="Y692">
        <v>5</v>
      </c>
      <c r="Z692" t="s">
        <v>8</v>
      </c>
      <c r="AA692" t="s">
        <v>4</v>
      </c>
      <c r="AB692" t="s">
        <v>6</v>
      </c>
      <c r="AC692" t="s">
        <v>7</v>
      </c>
      <c r="AD692" t="s">
        <v>8</v>
      </c>
      <c r="AE692" t="s">
        <v>6</v>
      </c>
      <c r="AF692" t="s">
        <v>3</v>
      </c>
      <c r="AG692" t="s">
        <v>3</v>
      </c>
      <c r="AH692" t="s">
        <v>3</v>
      </c>
      <c r="AI692" t="s">
        <v>3</v>
      </c>
      <c r="AJ692" t="s">
        <v>3</v>
      </c>
      <c r="AK692" t="s">
        <v>7</v>
      </c>
      <c r="AL692">
        <v>0</v>
      </c>
      <c r="AM692">
        <v>0</v>
      </c>
      <c r="AN692">
        <v>0</v>
      </c>
      <c r="AO692">
        <v>0</v>
      </c>
      <c r="AP692">
        <v>0</v>
      </c>
      <c r="AQ692" t="s">
        <v>9</v>
      </c>
      <c r="AR692" s="1">
        <v>4.5905550900000001E-4</v>
      </c>
      <c r="AS692" s="1">
        <v>1.8021552699999999E-24</v>
      </c>
      <c r="AT692">
        <v>33</v>
      </c>
      <c r="AU692" t="s">
        <v>10</v>
      </c>
      <c r="AV692">
        <v>0</v>
      </c>
      <c r="AW692">
        <v>0</v>
      </c>
      <c r="AX692">
        <v>0</v>
      </c>
      <c r="AY692">
        <v>0</v>
      </c>
      <c r="AZ692">
        <v>5</v>
      </c>
      <c r="BA692" t="s">
        <v>8</v>
      </c>
      <c r="BB692" t="s">
        <v>4</v>
      </c>
      <c r="BC692" t="s">
        <v>10</v>
      </c>
      <c r="BD692">
        <v>0</v>
      </c>
      <c r="BE692">
        <v>0</v>
      </c>
      <c r="BF692">
        <v>0</v>
      </c>
      <c r="BG692">
        <v>0</v>
      </c>
      <c r="BH692">
        <v>0</v>
      </c>
      <c r="BI692" t="s">
        <v>9</v>
      </c>
      <c r="BJ692">
        <v>4.5826999999999999E-4</v>
      </c>
      <c r="BK692">
        <v>0</v>
      </c>
      <c r="BL692">
        <v>2.69E-5</v>
      </c>
      <c r="BM692" s="2">
        <f t="shared" si="10"/>
        <v>1.0852832779402015E-5</v>
      </c>
    </row>
    <row r="693" spans="1:65" x14ac:dyDescent="0.35">
      <c r="A693">
        <v>0</v>
      </c>
      <c r="B693" t="s">
        <v>3</v>
      </c>
      <c r="C693" t="s">
        <v>4</v>
      </c>
      <c r="D693">
        <v>0</v>
      </c>
      <c r="E693" t="s">
        <v>3</v>
      </c>
      <c r="F693" t="s">
        <v>5</v>
      </c>
      <c r="G693">
        <v>2772.8724739999998</v>
      </c>
      <c r="H693" t="s">
        <v>4</v>
      </c>
      <c r="I693">
        <v>990.16341899999998</v>
      </c>
      <c r="J693">
        <v>1782.709055</v>
      </c>
      <c r="K693" t="s">
        <v>6</v>
      </c>
      <c r="L693" t="s">
        <v>7</v>
      </c>
      <c r="M693" t="s">
        <v>8</v>
      </c>
      <c r="N693" t="s">
        <v>6</v>
      </c>
      <c r="O693" t="s">
        <v>3</v>
      </c>
      <c r="P693" t="s">
        <v>3</v>
      </c>
      <c r="Q693" t="s">
        <v>3</v>
      </c>
      <c r="R693" t="s">
        <v>3</v>
      </c>
      <c r="S693" t="s">
        <v>3</v>
      </c>
      <c r="T693" t="s">
        <v>7</v>
      </c>
      <c r="U693">
        <v>1</v>
      </c>
      <c r="V693">
        <v>0</v>
      </c>
      <c r="W693">
        <v>0</v>
      </c>
      <c r="X693">
        <v>0</v>
      </c>
      <c r="Y693">
        <v>1</v>
      </c>
      <c r="Z693" t="s">
        <v>9</v>
      </c>
      <c r="AA693" t="s">
        <v>4</v>
      </c>
      <c r="AB693" t="s">
        <v>6</v>
      </c>
      <c r="AC693" t="s">
        <v>7</v>
      </c>
      <c r="AD693" t="s">
        <v>8</v>
      </c>
      <c r="AE693" t="s">
        <v>6</v>
      </c>
      <c r="AF693" t="s">
        <v>3</v>
      </c>
      <c r="AG693" t="s">
        <v>3</v>
      </c>
      <c r="AH693" t="s">
        <v>3</v>
      </c>
      <c r="AI693" t="s">
        <v>3</v>
      </c>
      <c r="AJ693" t="s">
        <v>3</v>
      </c>
      <c r="AK693" t="s">
        <v>7</v>
      </c>
      <c r="AL693">
        <v>0</v>
      </c>
      <c r="AM693">
        <v>0</v>
      </c>
      <c r="AN693">
        <v>0</v>
      </c>
      <c r="AO693">
        <v>0</v>
      </c>
      <c r="AP693">
        <v>0</v>
      </c>
      <c r="AQ693" t="s">
        <v>9</v>
      </c>
      <c r="AR693" s="1">
        <v>9.3156394299999997E-3</v>
      </c>
      <c r="AS693" s="1">
        <v>4.15568455E-22</v>
      </c>
      <c r="AT693">
        <v>28</v>
      </c>
      <c r="AU693" t="s">
        <v>10</v>
      </c>
      <c r="AV693">
        <v>1</v>
      </c>
      <c r="AW693">
        <v>0</v>
      </c>
      <c r="AX693">
        <v>0</v>
      </c>
      <c r="AY693">
        <v>0</v>
      </c>
      <c r="AZ693">
        <v>1</v>
      </c>
      <c r="BA693" t="s">
        <v>9</v>
      </c>
      <c r="BB693" t="s">
        <v>4</v>
      </c>
      <c r="BC693" t="s">
        <v>10</v>
      </c>
      <c r="BD693">
        <v>0</v>
      </c>
      <c r="BE693">
        <v>0</v>
      </c>
      <c r="BF693">
        <v>0</v>
      </c>
      <c r="BG693">
        <v>0</v>
      </c>
      <c r="BH693">
        <v>0</v>
      </c>
      <c r="BI693" t="s">
        <v>9</v>
      </c>
      <c r="BJ693">
        <v>5.3627600000000003E-3</v>
      </c>
      <c r="BK693">
        <v>0</v>
      </c>
      <c r="BL693">
        <v>7.6172100000000001E-3</v>
      </c>
      <c r="BM693" s="2">
        <f t="shared" si="10"/>
        <v>2.502611748048464E-3</v>
      </c>
    </row>
    <row r="694" spans="1:65" x14ac:dyDescent="0.35">
      <c r="A694">
        <v>0</v>
      </c>
      <c r="B694" t="s">
        <v>3</v>
      </c>
      <c r="C694" t="s">
        <v>4</v>
      </c>
      <c r="D694">
        <v>0</v>
      </c>
      <c r="E694" t="s">
        <v>3</v>
      </c>
      <c r="F694" t="s">
        <v>5</v>
      </c>
      <c r="G694">
        <v>4694.3534749999999</v>
      </c>
      <c r="H694" t="s">
        <v>4</v>
      </c>
      <c r="I694">
        <v>990.16341899999998</v>
      </c>
      <c r="J694">
        <v>3704.1900559999999</v>
      </c>
      <c r="K694" t="s">
        <v>6</v>
      </c>
      <c r="L694" t="s">
        <v>7</v>
      </c>
      <c r="M694" t="s">
        <v>8</v>
      </c>
      <c r="N694" t="s">
        <v>6</v>
      </c>
      <c r="O694" t="s">
        <v>3</v>
      </c>
      <c r="P694" t="s">
        <v>3</v>
      </c>
      <c r="Q694" t="s">
        <v>3</v>
      </c>
      <c r="R694" t="s">
        <v>3</v>
      </c>
      <c r="S694" t="s">
        <v>3</v>
      </c>
      <c r="T694" t="s">
        <v>7</v>
      </c>
      <c r="U694">
        <v>1</v>
      </c>
      <c r="V694">
        <v>1</v>
      </c>
      <c r="W694">
        <v>0</v>
      </c>
      <c r="X694">
        <v>0</v>
      </c>
      <c r="Y694">
        <v>0</v>
      </c>
      <c r="Z694" t="s">
        <v>22</v>
      </c>
      <c r="AA694" t="s">
        <v>4</v>
      </c>
      <c r="AB694" t="s">
        <v>6</v>
      </c>
      <c r="AC694" t="s">
        <v>7</v>
      </c>
      <c r="AD694" t="s">
        <v>8</v>
      </c>
      <c r="AE694" t="s">
        <v>6</v>
      </c>
      <c r="AF694" t="s">
        <v>3</v>
      </c>
      <c r="AG694" t="s">
        <v>3</v>
      </c>
      <c r="AH694" t="s">
        <v>3</v>
      </c>
      <c r="AI694" t="s">
        <v>3</v>
      </c>
      <c r="AJ694" t="s">
        <v>3</v>
      </c>
      <c r="AK694" t="s">
        <v>7</v>
      </c>
      <c r="AL694">
        <v>0</v>
      </c>
      <c r="AM694">
        <v>0</v>
      </c>
      <c r="AN694">
        <v>0</v>
      </c>
      <c r="AO694">
        <v>0</v>
      </c>
      <c r="AP694">
        <v>0</v>
      </c>
      <c r="AQ694" t="s">
        <v>9</v>
      </c>
      <c r="AR694" s="1">
        <v>2.4430531699999998E-4</v>
      </c>
      <c r="AS694" s="1">
        <v>5.9398469600000001E-25</v>
      </c>
      <c r="AT694">
        <v>29</v>
      </c>
      <c r="AU694" t="s">
        <v>10</v>
      </c>
      <c r="AV694">
        <v>1</v>
      </c>
      <c r="AW694">
        <v>1</v>
      </c>
      <c r="AX694">
        <v>0</v>
      </c>
      <c r="AY694">
        <v>0</v>
      </c>
      <c r="AZ694">
        <v>0</v>
      </c>
      <c r="BA694" t="s">
        <v>22</v>
      </c>
      <c r="BB694" t="s">
        <v>4</v>
      </c>
      <c r="BC694" t="s">
        <v>10</v>
      </c>
      <c r="BD694">
        <v>0</v>
      </c>
      <c r="BE694">
        <v>0</v>
      </c>
      <c r="BF694">
        <v>0</v>
      </c>
      <c r="BG694">
        <v>0</v>
      </c>
      <c r="BH694">
        <v>0</v>
      </c>
      <c r="BI694" t="s">
        <v>9</v>
      </c>
      <c r="BJ694">
        <v>-1.5751E-4</v>
      </c>
      <c r="BK694">
        <v>0</v>
      </c>
      <c r="BL694">
        <v>1.8675000000000001E-4</v>
      </c>
      <c r="BM694" s="2">
        <f t="shared" si="10"/>
        <v>3.5770594723571967E-6</v>
      </c>
    </row>
    <row r="695" spans="1:65" x14ac:dyDescent="0.35">
      <c r="A695">
        <v>0</v>
      </c>
      <c r="B695" t="s">
        <v>3</v>
      </c>
      <c r="C695" t="s">
        <v>4</v>
      </c>
      <c r="D695">
        <v>0</v>
      </c>
      <c r="E695" t="s">
        <v>3</v>
      </c>
      <c r="F695" t="s">
        <v>5</v>
      </c>
      <c r="G695">
        <v>4924.5276240000003</v>
      </c>
      <c r="H695" t="s">
        <v>4</v>
      </c>
      <c r="I695">
        <v>990.16341899999998</v>
      </c>
      <c r="J695">
        <v>3934.3642049999999</v>
      </c>
      <c r="K695" t="s">
        <v>6</v>
      </c>
      <c r="L695" t="s">
        <v>7</v>
      </c>
      <c r="M695" t="s">
        <v>8</v>
      </c>
      <c r="N695" t="s">
        <v>6</v>
      </c>
      <c r="O695" t="s">
        <v>3</v>
      </c>
      <c r="P695" t="s">
        <v>3</v>
      </c>
      <c r="Q695" t="s">
        <v>3</v>
      </c>
      <c r="R695" t="s">
        <v>3</v>
      </c>
      <c r="S695" t="s">
        <v>3</v>
      </c>
      <c r="T695" t="s">
        <v>7</v>
      </c>
      <c r="U695">
        <v>2</v>
      </c>
      <c r="V695">
        <v>0</v>
      </c>
      <c r="W695">
        <v>0</v>
      </c>
      <c r="X695">
        <v>0</v>
      </c>
      <c r="Y695">
        <v>0</v>
      </c>
      <c r="Z695" t="s">
        <v>17</v>
      </c>
      <c r="AA695" t="s">
        <v>4</v>
      </c>
      <c r="AB695" t="s">
        <v>6</v>
      </c>
      <c r="AC695" t="s">
        <v>7</v>
      </c>
      <c r="AD695" t="s">
        <v>8</v>
      </c>
      <c r="AE695" t="s">
        <v>6</v>
      </c>
      <c r="AF695" t="s">
        <v>3</v>
      </c>
      <c r="AG695" t="s">
        <v>3</v>
      </c>
      <c r="AH695" t="s">
        <v>3</v>
      </c>
      <c r="AI695" t="s">
        <v>3</v>
      </c>
      <c r="AJ695" t="s">
        <v>3</v>
      </c>
      <c r="AK695" t="s">
        <v>7</v>
      </c>
      <c r="AL695">
        <v>0</v>
      </c>
      <c r="AM695">
        <v>0</v>
      </c>
      <c r="AN695">
        <v>0</v>
      </c>
      <c r="AO695">
        <v>0</v>
      </c>
      <c r="AP695">
        <v>0</v>
      </c>
      <c r="AQ695" t="s">
        <v>9</v>
      </c>
      <c r="AR695" s="1">
        <v>6.6366392499999998E-5</v>
      </c>
      <c r="AS695" s="1">
        <v>4.6557231E-26</v>
      </c>
      <c r="AT695">
        <v>30</v>
      </c>
      <c r="AU695" t="s">
        <v>10</v>
      </c>
      <c r="AV695">
        <v>2</v>
      </c>
      <c r="AW695">
        <v>0</v>
      </c>
      <c r="AX695">
        <v>0</v>
      </c>
      <c r="AY695">
        <v>0</v>
      </c>
      <c r="AZ695">
        <v>0</v>
      </c>
      <c r="BA695" t="s">
        <v>17</v>
      </c>
      <c r="BB695" t="s">
        <v>4</v>
      </c>
      <c r="BC695" t="s">
        <v>10</v>
      </c>
      <c r="BD695">
        <v>0</v>
      </c>
      <c r="BE695">
        <v>0</v>
      </c>
      <c r="BF695">
        <v>0</v>
      </c>
      <c r="BG695">
        <v>0</v>
      </c>
      <c r="BH695">
        <v>0</v>
      </c>
      <c r="BI695" t="s">
        <v>9</v>
      </c>
      <c r="BJ695">
        <v>-4.1480000000000003E-5</v>
      </c>
      <c r="BK695">
        <v>0</v>
      </c>
      <c r="BL695">
        <v>5.181E-5</v>
      </c>
      <c r="BM695" s="2">
        <f t="shared" si="10"/>
        <v>2.8037420034012481E-7</v>
      </c>
    </row>
    <row r="696" spans="1:65" x14ac:dyDescent="0.35">
      <c r="A696">
        <v>0</v>
      </c>
      <c r="B696" t="s">
        <v>3</v>
      </c>
      <c r="C696" t="s">
        <v>4</v>
      </c>
      <c r="D696">
        <v>0</v>
      </c>
      <c r="E696" t="s">
        <v>3</v>
      </c>
      <c r="F696" t="s">
        <v>5</v>
      </c>
      <c r="G696">
        <v>4983.9771680000003</v>
      </c>
      <c r="H696" t="s">
        <v>4</v>
      </c>
      <c r="I696">
        <v>990.16341899999998</v>
      </c>
      <c r="J696">
        <v>3993.8137489999999</v>
      </c>
      <c r="K696" t="s">
        <v>6</v>
      </c>
      <c r="L696" t="s">
        <v>7</v>
      </c>
      <c r="M696" t="s">
        <v>8</v>
      </c>
      <c r="N696" t="s">
        <v>6</v>
      </c>
      <c r="O696" t="s">
        <v>3</v>
      </c>
      <c r="P696" t="s">
        <v>3</v>
      </c>
      <c r="Q696" t="s">
        <v>3</v>
      </c>
      <c r="R696" t="s">
        <v>3</v>
      </c>
      <c r="S696" t="s">
        <v>3</v>
      </c>
      <c r="T696" t="s">
        <v>7</v>
      </c>
      <c r="U696">
        <v>1</v>
      </c>
      <c r="V696">
        <v>1</v>
      </c>
      <c r="W696">
        <v>0</v>
      </c>
      <c r="X696">
        <v>0</v>
      </c>
      <c r="Y696">
        <v>1</v>
      </c>
      <c r="Z696" t="s">
        <v>21</v>
      </c>
      <c r="AA696" t="s">
        <v>4</v>
      </c>
      <c r="AB696" t="s">
        <v>6</v>
      </c>
      <c r="AC696" t="s">
        <v>7</v>
      </c>
      <c r="AD696" t="s">
        <v>8</v>
      </c>
      <c r="AE696" t="s">
        <v>6</v>
      </c>
      <c r="AF696" t="s">
        <v>3</v>
      </c>
      <c r="AG696" t="s">
        <v>3</v>
      </c>
      <c r="AH696" t="s">
        <v>3</v>
      </c>
      <c r="AI696" t="s">
        <v>3</v>
      </c>
      <c r="AJ696" t="s">
        <v>3</v>
      </c>
      <c r="AK696" t="s">
        <v>7</v>
      </c>
      <c r="AL696">
        <v>0</v>
      </c>
      <c r="AM696">
        <v>0</v>
      </c>
      <c r="AN696">
        <v>0</v>
      </c>
      <c r="AO696">
        <v>0</v>
      </c>
      <c r="AP696">
        <v>0</v>
      </c>
      <c r="AQ696" t="s">
        <v>9</v>
      </c>
      <c r="AR696" s="1">
        <v>6.8049274400000003E-6</v>
      </c>
      <c r="AS696" s="1">
        <v>4.9687937099999999E-28</v>
      </c>
      <c r="AT696">
        <v>30</v>
      </c>
      <c r="AU696" t="s">
        <v>10</v>
      </c>
      <c r="AV696">
        <v>1</v>
      </c>
      <c r="AW696">
        <v>1</v>
      </c>
      <c r="AX696">
        <v>0</v>
      </c>
      <c r="AY696">
        <v>0</v>
      </c>
      <c r="AZ696">
        <v>1</v>
      </c>
      <c r="BA696" t="s">
        <v>21</v>
      </c>
      <c r="BB696" t="s">
        <v>4</v>
      </c>
      <c r="BC696" t="s">
        <v>10</v>
      </c>
      <c r="BD696">
        <v>0</v>
      </c>
      <c r="BE696">
        <v>0</v>
      </c>
      <c r="BF696">
        <v>0</v>
      </c>
      <c r="BG696">
        <v>0</v>
      </c>
      <c r="BH696">
        <v>0</v>
      </c>
      <c r="BI696" t="s">
        <v>9</v>
      </c>
      <c r="BJ696">
        <v>6.6100000000000002E-6</v>
      </c>
      <c r="BK696">
        <v>0</v>
      </c>
      <c r="BL696">
        <v>1.5999999999999999E-6</v>
      </c>
      <c r="BM696" s="2">
        <f t="shared" si="10"/>
        <v>2.9922775327774366E-9</v>
      </c>
    </row>
    <row r="697" spans="1:65" x14ac:dyDescent="0.35">
      <c r="A697">
        <v>0</v>
      </c>
      <c r="B697" t="s">
        <v>3</v>
      </c>
      <c r="C697" t="s">
        <v>4</v>
      </c>
      <c r="D697">
        <v>0</v>
      </c>
      <c r="E697" t="s">
        <v>3</v>
      </c>
      <c r="F697" t="s">
        <v>5</v>
      </c>
      <c r="G697">
        <v>4631.3365569999996</v>
      </c>
      <c r="H697" t="s">
        <v>4</v>
      </c>
      <c r="I697">
        <v>990.16341899999998</v>
      </c>
      <c r="J697">
        <v>3641.1731380000001</v>
      </c>
      <c r="K697" t="s">
        <v>6</v>
      </c>
      <c r="L697" t="s">
        <v>7</v>
      </c>
      <c r="M697" t="s">
        <v>8</v>
      </c>
      <c r="N697" t="s">
        <v>6</v>
      </c>
      <c r="O697" t="s">
        <v>3</v>
      </c>
      <c r="P697" t="s">
        <v>3</v>
      </c>
      <c r="Q697" t="s">
        <v>3</v>
      </c>
      <c r="R697" t="s">
        <v>3</v>
      </c>
      <c r="S697" t="s">
        <v>3</v>
      </c>
      <c r="T697" t="s">
        <v>7</v>
      </c>
      <c r="U697">
        <v>0</v>
      </c>
      <c r="V697">
        <v>0</v>
      </c>
      <c r="W697">
        <v>0</v>
      </c>
      <c r="X697">
        <v>2</v>
      </c>
      <c r="Y697">
        <v>2</v>
      </c>
      <c r="Z697" t="s">
        <v>21</v>
      </c>
      <c r="AA697" t="s">
        <v>4</v>
      </c>
      <c r="AB697" t="s">
        <v>6</v>
      </c>
      <c r="AC697" t="s">
        <v>7</v>
      </c>
      <c r="AD697" t="s">
        <v>8</v>
      </c>
      <c r="AE697" t="s">
        <v>6</v>
      </c>
      <c r="AF697" t="s">
        <v>3</v>
      </c>
      <c r="AG697" t="s">
        <v>3</v>
      </c>
      <c r="AH697" t="s">
        <v>3</v>
      </c>
      <c r="AI697" t="s">
        <v>3</v>
      </c>
      <c r="AJ697" t="s">
        <v>3</v>
      </c>
      <c r="AK697" t="s">
        <v>7</v>
      </c>
      <c r="AL697">
        <v>0</v>
      </c>
      <c r="AM697">
        <v>0</v>
      </c>
      <c r="AN697">
        <v>0</v>
      </c>
      <c r="AO697">
        <v>0</v>
      </c>
      <c r="AP697">
        <v>0</v>
      </c>
      <c r="AQ697" t="s">
        <v>9</v>
      </c>
      <c r="AR697" s="1">
        <v>1.5750752299999999E-3</v>
      </c>
      <c r="AS697" s="1">
        <v>2.42694584E-23</v>
      </c>
      <c r="AT697">
        <v>33</v>
      </c>
      <c r="AU697" t="s">
        <v>10</v>
      </c>
      <c r="AV697">
        <v>0</v>
      </c>
      <c r="AW697">
        <v>0</v>
      </c>
      <c r="AX697">
        <v>0</v>
      </c>
      <c r="AY697">
        <v>2</v>
      </c>
      <c r="AZ697">
        <v>2</v>
      </c>
      <c r="BA697" t="s">
        <v>21</v>
      </c>
      <c r="BB697" t="s">
        <v>4</v>
      </c>
      <c r="BC697" t="s">
        <v>10</v>
      </c>
      <c r="BD697">
        <v>0</v>
      </c>
      <c r="BE697">
        <v>0</v>
      </c>
      <c r="BF697">
        <v>0</v>
      </c>
      <c r="BG697">
        <v>0</v>
      </c>
      <c r="BH697">
        <v>0</v>
      </c>
      <c r="BI697" t="s">
        <v>9</v>
      </c>
      <c r="BJ697">
        <v>-1.1703099999999999E-3</v>
      </c>
      <c r="BK697">
        <v>0</v>
      </c>
      <c r="BL697">
        <v>1.05415E-3</v>
      </c>
      <c r="BM697" s="2">
        <f t="shared" si="10"/>
        <v>1.4615409562454269E-4</v>
      </c>
    </row>
    <row r="698" spans="1:65" x14ac:dyDescent="0.35">
      <c r="A698">
        <v>0</v>
      </c>
      <c r="B698" t="s">
        <v>3</v>
      </c>
      <c r="C698" t="s">
        <v>4</v>
      </c>
      <c r="D698">
        <v>0</v>
      </c>
      <c r="E698" t="s">
        <v>3</v>
      </c>
      <c r="F698" t="s">
        <v>5</v>
      </c>
      <c r="G698">
        <v>4336.8429159999996</v>
      </c>
      <c r="H698" t="s">
        <v>4</v>
      </c>
      <c r="I698">
        <v>990.16341899999998</v>
      </c>
      <c r="J698">
        <v>3346.6794970000001</v>
      </c>
      <c r="K698" t="s">
        <v>6</v>
      </c>
      <c r="L698" t="s">
        <v>7</v>
      </c>
      <c r="M698" t="s">
        <v>8</v>
      </c>
      <c r="N698" t="s">
        <v>6</v>
      </c>
      <c r="O698" t="s">
        <v>3</v>
      </c>
      <c r="P698" t="s">
        <v>3</v>
      </c>
      <c r="Q698" t="s">
        <v>3</v>
      </c>
      <c r="R698" t="s">
        <v>3</v>
      </c>
      <c r="S698" t="s">
        <v>3</v>
      </c>
      <c r="T698" t="s">
        <v>7</v>
      </c>
      <c r="U698">
        <v>1</v>
      </c>
      <c r="V698">
        <v>0</v>
      </c>
      <c r="W698">
        <v>0</v>
      </c>
      <c r="X698">
        <v>1</v>
      </c>
      <c r="Y698">
        <v>1</v>
      </c>
      <c r="Z698" t="s">
        <v>24</v>
      </c>
      <c r="AA698" t="s">
        <v>4</v>
      </c>
      <c r="AB698" t="s">
        <v>6</v>
      </c>
      <c r="AC698" t="s">
        <v>7</v>
      </c>
      <c r="AD698" t="s">
        <v>8</v>
      </c>
      <c r="AE698" t="s">
        <v>6</v>
      </c>
      <c r="AF698" t="s">
        <v>3</v>
      </c>
      <c r="AG698" t="s">
        <v>3</v>
      </c>
      <c r="AH698" t="s">
        <v>3</v>
      </c>
      <c r="AI698" t="s">
        <v>3</v>
      </c>
      <c r="AJ698" t="s">
        <v>3</v>
      </c>
      <c r="AK698" t="s">
        <v>7</v>
      </c>
      <c r="AL698">
        <v>0</v>
      </c>
      <c r="AM698">
        <v>0</v>
      </c>
      <c r="AN698">
        <v>0</v>
      </c>
      <c r="AO698">
        <v>0</v>
      </c>
      <c r="AP698">
        <v>0</v>
      </c>
      <c r="AQ698" t="s">
        <v>9</v>
      </c>
      <c r="AR698" s="1">
        <v>6.7759455700000006E-5</v>
      </c>
      <c r="AS698" s="1">
        <v>4.1282887099999999E-26</v>
      </c>
      <c r="AT698">
        <v>29</v>
      </c>
      <c r="AU698" t="s">
        <v>10</v>
      </c>
      <c r="AV698">
        <v>1</v>
      </c>
      <c r="AW698">
        <v>0</v>
      </c>
      <c r="AX698">
        <v>0</v>
      </c>
      <c r="AY698">
        <v>1</v>
      </c>
      <c r="AZ698">
        <v>1</v>
      </c>
      <c r="BA698" t="s">
        <v>24</v>
      </c>
      <c r="BB698" t="s">
        <v>4</v>
      </c>
      <c r="BC698" t="s">
        <v>10</v>
      </c>
      <c r="BD698">
        <v>0</v>
      </c>
      <c r="BE698">
        <v>0</v>
      </c>
      <c r="BF698">
        <v>0</v>
      </c>
      <c r="BG698">
        <v>0</v>
      </c>
      <c r="BH698">
        <v>0</v>
      </c>
      <c r="BI698" t="s">
        <v>9</v>
      </c>
      <c r="BJ698">
        <v>-6.0090000000000002E-5</v>
      </c>
      <c r="BK698">
        <v>0</v>
      </c>
      <c r="BL698">
        <v>-3.1319999999999998E-5</v>
      </c>
      <c r="BM698" s="2">
        <f t="shared" si="10"/>
        <v>2.4861135874670365E-7</v>
      </c>
    </row>
    <row r="699" spans="1:65" x14ac:dyDescent="0.35">
      <c r="A699">
        <v>0</v>
      </c>
      <c r="B699" t="s">
        <v>3</v>
      </c>
      <c r="C699" t="s">
        <v>4</v>
      </c>
      <c r="D699">
        <v>0</v>
      </c>
      <c r="E699" t="s">
        <v>3</v>
      </c>
      <c r="F699" t="s">
        <v>5</v>
      </c>
      <c r="G699">
        <v>3475.605556</v>
      </c>
      <c r="H699" t="s">
        <v>4</v>
      </c>
      <c r="I699">
        <v>990.16341899999998</v>
      </c>
      <c r="J699">
        <v>2485.442137</v>
      </c>
      <c r="K699" t="s">
        <v>6</v>
      </c>
      <c r="L699" t="s">
        <v>7</v>
      </c>
      <c r="M699" t="s">
        <v>8</v>
      </c>
      <c r="N699" t="s">
        <v>6</v>
      </c>
      <c r="O699" t="s">
        <v>3</v>
      </c>
      <c r="P699" t="s">
        <v>3</v>
      </c>
      <c r="Q699" t="s">
        <v>3</v>
      </c>
      <c r="R699" t="s">
        <v>3</v>
      </c>
      <c r="S699" t="s">
        <v>3</v>
      </c>
      <c r="T699" t="s">
        <v>7</v>
      </c>
      <c r="U699">
        <v>0</v>
      </c>
      <c r="V699">
        <v>0</v>
      </c>
      <c r="W699">
        <v>0</v>
      </c>
      <c r="X699">
        <v>6</v>
      </c>
      <c r="Y699">
        <v>0</v>
      </c>
      <c r="Z699" t="s">
        <v>15</v>
      </c>
      <c r="AA699" t="s">
        <v>4</v>
      </c>
      <c r="AB699" t="s">
        <v>6</v>
      </c>
      <c r="AC699" t="s">
        <v>7</v>
      </c>
      <c r="AD699" t="s">
        <v>8</v>
      </c>
      <c r="AE699" t="s">
        <v>6</v>
      </c>
      <c r="AF699" t="s">
        <v>3</v>
      </c>
      <c r="AG699" t="s">
        <v>3</v>
      </c>
      <c r="AH699" t="s">
        <v>3</v>
      </c>
      <c r="AI699" t="s">
        <v>3</v>
      </c>
      <c r="AJ699" t="s">
        <v>3</v>
      </c>
      <c r="AK699" t="s">
        <v>7</v>
      </c>
      <c r="AL699">
        <v>0</v>
      </c>
      <c r="AM699">
        <v>0</v>
      </c>
      <c r="AN699">
        <v>0</v>
      </c>
      <c r="AO699">
        <v>0</v>
      </c>
      <c r="AP699">
        <v>0</v>
      </c>
      <c r="AQ699" t="s">
        <v>9</v>
      </c>
      <c r="AR699" s="1">
        <v>3.2104264399999998E-4</v>
      </c>
      <c r="AS699" s="1">
        <v>6.8824426099999996E-25</v>
      </c>
      <c r="AT699">
        <v>33</v>
      </c>
      <c r="AU699" t="s">
        <v>10</v>
      </c>
      <c r="AV699">
        <v>0</v>
      </c>
      <c r="AW699">
        <v>0</v>
      </c>
      <c r="AX699">
        <v>0</v>
      </c>
      <c r="AY699">
        <v>6</v>
      </c>
      <c r="AZ699">
        <v>0</v>
      </c>
      <c r="BA699" t="s">
        <v>15</v>
      </c>
      <c r="BB699" t="s">
        <v>4</v>
      </c>
      <c r="BC699" t="s">
        <v>10</v>
      </c>
      <c r="BD699">
        <v>0</v>
      </c>
      <c r="BE699">
        <v>0</v>
      </c>
      <c r="BF699">
        <v>0</v>
      </c>
      <c r="BG699">
        <v>0</v>
      </c>
      <c r="BH699">
        <v>0</v>
      </c>
      <c r="BI699" t="s">
        <v>9</v>
      </c>
      <c r="BJ699">
        <v>3.2053000000000002E-4</v>
      </c>
      <c r="BK699">
        <v>0</v>
      </c>
      <c r="BL699">
        <v>-1.8139999999999999E-5</v>
      </c>
      <c r="BM699" s="2">
        <f t="shared" si="10"/>
        <v>4.1447038445339478E-6</v>
      </c>
    </row>
    <row r="700" spans="1:65" x14ac:dyDescent="0.35">
      <c r="A700">
        <v>0</v>
      </c>
      <c r="B700" t="s">
        <v>3</v>
      </c>
      <c r="C700" t="s">
        <v>4</v>
      </c>
      <c r="D700">
        <v>0</v>
      </c>
      <c r="E700" t="s">
        <v>3</v>
      </c>
      <c r="F700" t="s">
        <v>5</v>
      </c>
      <c r="G700">
        <v>4441.3439330000001</v>
      </c>
      <c r="H700" t="s">
        <v>4</v>
      </c>
      <c r="I700">
        <v>990.16341899999998</v>
      </c>
      <c r="J700">
        <v>3451.1805140000001</v>
      </c>
      <c r="K700" t="s">
        <v>6</v>
      </c>
      <c r="L700" t="s">
        <v>7</v>
      </c>
      <c r="M700" t="s">
        <v>8</v>
      </c>
      <c r="N700" t="s">
        <v>6</v>
      </c>
      <c r="O700" t="s">
        <v>3</v>
      </c>
      <c r="P700" t="s">
        <v>3</v>
      </c>
      <c r="Q700" t="s">
        <v>3</v>
      </c>
      <c r="R700" t="s">
        <v>3</v>
      </c>
      <c r="S700" t="s">
        <v>3</v>
      </c>
      <c r="T700" t="s">
        <v>7</v>
      </c>
      <c r="U700">
        <v>1</v>
      </c>
      <c r="V700">
        <v>1</v>
      </c>
      <c r="W700">
        <v>0</v>
      </c>
      <c r="X700">
        <v>1</v>
      </c>
      <c r="Y700">
        <v>1</v>
      </c>
      <c r="Z700" t="s">
        <v>9</v>
      </c>
      <c r="AA700" t="s">
        <v>4</v>
      </c>
      <c r="AB700" t="s">
        <v>6</v>
      </c>
      <c r="AC700" t="s">
        <v>7</v>
      </c>
      <c r="AD700" t="s">
        <v>8</v>
      </c>
      <c r="AE700" t="s">
        <v>6</v>
      </c>
      <c r="AF700" t="s">
        <v>3</v>
      </c>
      <c r="AG700" t="s">
        <v>3</v>
      </c>
      <c r="AH700" t="s">
        <v>3</v>
      </c>
      <c r="AI700" t="s">
        <v>3</v>
      </c>
      <c r="AJ700" t="s">
        <v>3</v>
      </c>
      <c r="AK700" t="s">
        <v>7</v>
      </c>
      <c r="AL700">
        <v>0</v>
      </c>
      <c r="AM700">
        <v>0</v>
      </c>
      <c r="AN700">
        <v>0</v>
      </c>
      <c r="AO700">
        <v>0</v>
      </c>
      <c r="AP700">
        <v>0</v>
      </c>
      <c r="AQ700" t="s">
        <v>9</v>
      </c>
      <c r="AR700" s="1">
        <v>7.5873280999999999E-5</v>
      </c>
      <c r="AS700" s="1">
        <v>5.33779072E-26</v>
      </c>
      <c r="AT700">
        <v>15</v>
      </c>
      <c r="AU700" t="s">
        <v>10</v>
      </c>
      <c r="AV700">
        <v>1</v>
      </c>
      <c r="AW700">
        <v>1</v>
      </c>
      <c r="AX700">
        <v>0</v>
      </c>
      <c r="AY700">
        <v>1</v>
      </c>
      <c r="AZ700">
        <v>1</v>
      </c>
      <c r="BA700" t="s">
        <v>9</v>
      </c>
      <c r="BB700" t="s">
        <v>4</v>
      </c>
      <c r="BC700" t="s">
        <v>10</v>
      </c>
      <c r="BD700">
        <v>0</v>
      </c>
      <c r="BE700">
        <v>0</v>
      </c>
      <c r="BF700">
        <v>0</v>
      </c>
      <c r="BG700">
        <v>0</v>
      </c>
      <c r="BH700">
        <v>0</v>
      </c>
      <c r="BI700" t="s">
        <v>9</v>
      </c>
      <c r="BJ700">
        <v>7.3620000000000003E-5</v>
      </c>
      <c r="BK700">
        <v>0</v>
      </c>
      <c r="BL700">
        <v>-1.836E-5</v>
      </c>
      <c r="BM700" s="2">
        <f t="shared" si="10"/>
        <v>3.2144927276773379E-7</v>
      </c>
    </row>
    <row r="701" spans="1:65" x14ac:dyDescent="0.35">
      <c r="A701">
        <v>0</v>
      </c>
      <c r="B701" t="s">
        <v>11</v>
      </c>
      <c r="C701" t="s">
        <v>4</v>
      </c>
      <c r="D701">
        <v>0</v>
      </c>
      <c r="E701" t="s">
        <v>3</v>
      </c>
      <c r="F701" t="s">
        <v>5</v>
      </c>
      <c r="G701">
        <v>4860.0090179999997</v>
      </c>
      <c r="H701" t="s">
        <v>4</v>
      </c>
      <c r="I701">
        <v>990.16341899999998</v>
      </c>
      <c r="J701">
        <v>3869.8455979999999</v>
      </c>
      <c r="K701" t="s">
        <v>6</v>
      </c>
      <c r="L701" t="s">
        <v>7</v>
      </c>
      <c r="M701" t="s">
        <v>8</v>
      </c>
      <c r="N701" t="s">
        <v>6</v>
      </c>
      <c r="O701" t="s">
        <v>3</v>
      </c>
      <c r="P701" t="s">
        <v>3</v>
      </c>
      <c r="Q701" t="s">
        <v>3</v>
      </c>
      <c r="R701" t="s">
        <v>3</v>
      </c>
      <c r="S701" t="s">
        <v>11</v>
      </c>
      <c r="T701" t="s">
        <v>7</v>
      </c>
      <c r="U701">
        <v>1</v>
      </c>
      <c r="V701">
        <v>2</v>
      </c>
      <c r="W701">
        <v>0</v>
      </c>
      <c r="X701">
        <v>0</v>
      </c>
      <c r="Y701">
        <v>0</v>
      </c>
      <c r="Z701" t="s">
        <v>14</v>
      </c>
      <c r="AA701" t="s">
        <v>4</v>
      </c>
      <c r="AB701" t="s">
        <v>6</v>
      </c>
      <c r="AC701" t="s">
        <v>7</v>
      </c>
      <c r="AD701" t="s">
        <v>8</v>
      </c>
      <c r="AE701" t="s">
        <v>6</v>
      </c>
      <c r="AF701" t="s">
        <v>3</v>
      </c>
      <c r="AG701" t="s">
        <v>3</v>
      </c>
      <c r="AH701" t="s">
        <v>3</v>
      </c>
      <c r="AI701" t="s">
        <v>3</v>
      </c>
      <c r="AJ701" t="s">
        <v>3</v>
      </c>
      <c r="AK701" t="s">
        <v>7</v>
      </c>
      <c r="AL701">
        <v>0</v>
      </c>
      <c r="AM701">
        <v>0</v>
      </c>
      <c r="AN701">
        <v>0</v>
      </c>
      <c r="AO701">
        <v>0</v>
      </c>
      <c r="AP701">
        <v>0</v>
      </c>
      <c r="AQ701" t="s">
        <v>9</v>
      </c>
      <c r="AR701" s="1">
        <v>4.6142542999999998E-6</v>
      </c>
      <c r="AS701" s="1">
        <v>2.2136698499999998E-28</v>
      </c>
      <c r="AT701">
        <v>30</v>
      </c>
      <c r="AU701" t="s">
        <v>10</v>
      </c>
      <c r="AV701">
        <v>1</v>
      </c>
      <c r="AW701">
        <v>2</v>
      </c>
      <c r="AX701">
        <v>0</v>
      </c>
      <c r="AY701">
        <v>0</v>
      </c>
      <c r="AZ701">
        <v>0</v>
      </c>
      <c r="BA701" t="s">
        <v>14</v>
      </c>
      <c r="BB701" t="s">
        <v>4</v>
      </c>
      <c r="BC701" t="s">
        <v>10</v>
      </c>
      <c r="BD701">
        <v>0</v>
      </c>
      <c r="BE701">
        <v>0</v>
      </c>
      <c r="BF701">
        <v>0</v>
      </c>
      <c r="BG701">
        <v>0</v>
      </c>
      <c r="BH701">
        <v>0</v>
      </c>
      <c r="BI701" t="s">
        <v>9</v>
      </c>
      <c r="BJ701">
        <v>0</v>
      </c>
      <c r="BK701">
        <v>-4.6099999999999999E-6</v>
      </c>
      <c r="BL701">
        <v>0</v>
      </c>
      <c r="BM701" s="2">
        <f t="shared" si="10"/>
        <v>1.3331031521414877E-9</v>
      </c>
    </row>
    <row r="702" spans="1:65" x14ac:dyDescent="0.35">
      <c r="A702">
        <v>0</v>
      </c>
      <c r="B702" t="s">
        <v>3</v>
      </c>
      <c r="C702" t="s">
        <v>4</v>
      </c>
      <c r="D702">
        <v>0</v>
      </c>
      <c r="E702" t="s">
        <v>3</v>
      </c>
      <c r="F702" t="s">
        <v>5</v>
      </c>
      <c r="G702">
        <v>4757.27765</v>
      </c>
      <c r="H702" t="s">
        <v>4</v>
      </c>
      <c r="I702">
        <v>990.16341899999998</v>
      </c>
      <c r="J702">
        <v>3767.114231</v>
      </c>
      <c r="K702" t="s">
        <v>6</v>
      </c>
      <c r="L702" t="s">
        <v>7</v>
      </c>
      <c r="M702" t="s">
        <v>8</v>
      </c>
      <c r="N702" t="s">
        <v>6</v>
      </c>
      <c r="O702" t="s">
        <v>3</v>
      </c>
      <c r="P702" t="s">
        <v>3</v>
      </c>
      <c r="Q702" t="s">
        <v>3</v>
      </c>
      <c r="R702" t="s">
        <v>3</v>
      </c>
      <c r="S702" t="s">
        <v>3</v>
      </c>
      <c r="T702" t="s">
        <v>7</v>
      </c>
      <c r="U702">
        <v>0</v>
      </c>
      <c r="V702">
        <v>2</v>
      </c>
      <c r="W702">
        <v>0</v>
      </c>
      <c r="X702">
        <v>3</v>
      </c>
      <c r="Y702">
        <v>0</v>
      </c>
      <c r="Z702" t="s">
        <v>15</v>
      </c>
      <c r="AA702" t="s">
        <v>4</v>
      </c>
      <c r="AB702" t="s">
        <v>6</v>
      </c>
      <c r="AC702" t="s">
        <v>7</v>
      </c>
      <c r="AD702" t="s">
        <v>8</v>
      </c>
      <c r="AE702" t="s">
        <v>6</v>
      </c>
      <c r="AF702" t="s">
        <v>3</v>
      </c>
      <c r="AG702" t="s">
        <v>3</v>
      </c>
      <c r="AH702" t="s">
        <v>3</v>
      </c>
      <c r="AI702" t="s">
        <v>3</v>
      </c>
      <c r="AJ702" t="s">
        <v>3</v>
      </c>
      <c r="AK702" t="s">
        <v>7</v>
      </c>
      <c r="AL702">
        <v>0</v>
      </c>
      <c r="AM702">
        <v>0</v>
      </c>
      <c r="AN702">
        <v>0</v>
      </c>
      <c r="AO702">
        <v>0</v>
      </c>
      <c r="AP702">
        <v>0</v>
      </c>
      <c r="AQ702" t="s">
        <v>9</v>
      </c>
      <c r="AR702" s="1">
        <v>6.7942865700000002E-5</v>
      </c>
      <c r="AS702" s="1">
        <v>4.6721058E-26</v>
      </c>
      <c r="AT702">
        <v>29</v>
      </c>
      <c r="AU702" t="s">
        <v>10</v>
      </c>
      <c r="AV702">
        <v>0</v>
      </c>
      <c r="AW702">
        <v>2</v>
      </c>
      <c r="AX702">
        <v>0</v>
      </c>
      <c r="AY702">
        <v>3</v>
      </c>
      <c r="AZ702">
        <v>0</v>
      </c>
      <c r="BA702" t="s">
        <v>15</v>
      </c>
      <c r="BB702" t="s">
        <v>4</v>
      </c>
      <c r="BC702" t="s">
        <v>10</v>
      </c>
      <c r="BD702">
        <v>0</v>
      </c>
      <c r="BE702">
        <v>0</v>
      </c>
      <c r="BF702">
        <v>0</v>
      </c>
      <c r="BG702">
        <v>0</v>
      </c>
      <c r="BH702">
        <v>0</v>
      </c>
      <c r="BI702" t="s">
        <v>9</v>
      </c>
      <c r="BJ702">
        <v>-1.0720000000000001E-5</v>
      </c>
      <c r="BK702">
        <v>0</v>
      </c>
      <c r="BL702">
        <v>6.7089999999999996E-5</v>
      </c>
      <c r="BM702" s="2">
        <f t="shared" si="10"/>
        <v>2.8136078960096641E-7</v>
      </c>
    </row>
    <row r="703" spans="1:65" x14ac:dyDescent="0.35">
      <c r="A703">
        <v>0</v>
      </c>
      <c r="B703" t="s">
        <v>11</v>
      </c>
      <c r="C703" t="s">
        <v>4</v>
      </c>
      <c r="D703">
        <v>0</v>
      </c>
      <c r="E703" t="s">
        <v>3</v>
      </c>
      <c r="F703" t="s">
        <v>5</v>
      </c>
      <c r="G703">
        <v>4251.8793050000004</v>
      </c>
      <c r="H703" t="s">
        <v>4</v>
      </c>
      <c r="I703">
        <v>990.16341899999998</v>
      </c>
      <c r="J703">
        <v>3261.715886</v>
      </c>
      <c r="K703" t="s">
        <v>6</v>
      </c>
      <c r="L703" t="s">
        <v>7</v>
      </c>
      <c r="M703" t="s">
        <v>8</v>
      </c>
      <c r="N703" t="s">
        <v>6</v>
      </c>
      <c r="O703" t="s">
        <v>3</v>
      </c>
      <c r="P703" t="s">
        <v>3</v>
      </c>
      <c r="Q703" t="s">
        <v>3</v>
      </c>
      <c r="R703" t="s">
        <v>3</v>
      </c>
      <c r="S703" t="s">
        <v>11</v>
      </c>
      <c r="T703" t="s">
        <v>7</v>
      </c>
      <c r="U703">
        <v>0</v>
      </c>
      <c r="V703">
        <v>1</v>
      </c>
      <c r="W703">
        <v>0</v>
      </c>
      <c r="X703">
        <v>1</v>
      </c>
      <c r="Y703">
        <v>1</v>
      </c>
      <c r="Z703" t="s">
        <v>13</v>
      </c>
      <c r="AA703" t="s">
        <v>4</v>
      </c>
      <c r="AB703" t="s">
        <v>6</v>
      </c>
      <c r="AC703" t="s">
        <v>7</v>
      </c>
      <c r="AD703" t="s">
        <v>8</v>
      </c>
      <c r="AE703" t="s">
        <v>6</v>
      </c>
      <c r="AF703" t="s">
        <v>3</v>
      </c>
      <c r="AG703" t="s">
        <v>3</v>
      </c>
      <c r="AH703" t="s">
        <v>3</v>
      </c>
      <c r="AI703" t="s">
        <v>3</v>
      </c>
      <c r="AJ703" t="s">
        <v>3</v>
      </c>
      <c r="AK703" t="s">
        <v>7</v>
      </c>
      <c r="AL703">
        <v>0</v>
      </c>
      <c r="AM703">
        <v>0</v>
      </c>
      <c r="AN703">
        <v>0</v>
      </c>
      <c r="AO703">
        <v>0</v>
      </c>
      <c r="AP703">
        <v>0</v>
      </c>
      <c r="AQ703" t="s">
        <v>9</v>
      </c>
      <c r="AR703" s="1">
        <v>3.7536315299999998E-5</v>
      </c>
      <c r="AS703" s="1">
        <v>1.23471154E-26</v>
      </c>
      <c r="AT703">
        <v>29</v>
      </c>
      <c r="AU703" t="s">
        <v>10</v>
      </c>
      <c r="AV703">
        <v>0</v>
      </c>
      <c r="AW703">
        <v>1</v>
      </c>
      <c r="AX703">
        <v>0</v>
      </c>
      <c r="AY703">
        <v>1</v>
      </c>
      <c r="AZ703">
        <v>1</v>
      </c>
      <c r="BA703" t="s">
        <v>13</v>
      </c>
      <c r="BB703" t="s">
        <v>4</v>
      </c>
      <c r="BC703" t="s">
        <v>10</v>
      </c>
      <c r="BD703">
        <v>0</v>
      </c>
      <c r="BE703">
        <v>0</v>
      </c>
      <c r="BF703">
        <v>0</v>
      </c>
      <c r="BG703">
        <v>0</v>
      </c>
      <c r="BH703">
        <v>0</v>
      </c>
      <c r="BI703" t="s">
        <v>9</v>
      </c>
      <c r="BJ703">
        <v>0</v>
      </c>
      <c r="BK703">
        <v>-3.7540000000000003E-5</v>
      </c>
      <c r="BL703">
        <v>0</v>
      </c>
      <c r="BM703" s="2">
        <f t="shared" si="10"/>
        <v>7.4356067412648312E-8</v>
      </c>
    </row>
    <row r="704" spans="1:65" x14ac:dyDescent="0.35">
      <c r="A704">
        <v>0</v>
      </c>
      <c r="B704" t="s">
        <v>3</v>
      </c>
      <c r="C704" t="s">
        <v>4</v>
      </c>
      <c r="D704">
        <v>0</v>
      </c>
      <c r="E704" t="s">
        <v>3</v>
      </c>
      <c r="F704" t="s">
        <v>5</v>
      </c>
      <c r="G704">
        <v>3302.3161289999998</v>
      </c>
      <c r="H704" t="s">
        <v>4</v>
      </c>
      <c r="I704">
        <v>990.16341899999998</v>
      </c>
      <c r="J704">
        <v>2312.1527099999998</v>
      </c>
      <c r="K704" t="s">
        <v>6</v>
      </c>
      <c r="L704" t="s">
        <v>7</v>
      </c>
      <c r="M704" t="s">
        <v>8</v>
      </c>
      <c r="N704" t="s">
        <v>6</v>
      </c>
      <c r="O704" t="s">
        <v>3</v>
      </c>
      <c r="P704" t="s">
        <v>3</v>
      </c>
      <c r="Q704" t="s">
        <v>3</v>
      </c>
      <c r="R704" t="s">
        <v>3</v>
      </c>
      <c r="S704" t="s">
        <v>3</v>
      </c>
      <c r="T704" t="s">
        <v>7</v>
      </c>
      <c r="U704">
        <v>0</v>
      </c>
      <c r="V704">
        <v>2</v>
      </c>
      <c r="W704">
        <v>0</v>
      </c>
      <c r="X704">
        <v>2</v>
      </c>
      <c r="Y704">
        <v>0</v>
      </c>
      <c r="Z704" t="s">
        <v>8</v>
      </c>
      <c r="AA704" t="s">
        <v>4</v>
      </c>
      <c r="AB704" t="s">
        <v>6</v>
      </c>
      <c r="AC704" t="s">
        <v>7</v>
      </c>
      <c r="AD704" t="s">
        <v>8</v>
      </c>
      <c r="AE704" t="s">
        <v>6</v>
      </c>
      <c r="AF704" t="s">
        <v>3</v>
      </c>
      <c r="AG704" t="s">
        <v>3</v>
      </c>
      <c r="AH704" t="s">
        <v>3</v>
      </c>
      <c r="AI704" t="s">
        <v>3</v>
      </c>
      <c r="AJ704" t="s">
        <v>3</v>
      </c>
      <c r="AK704" t="s">
        <v>7</v>
      </c>
      <c r="AL704">
        <v>0</v>
      </c>
      <c r="AM704">
        <v>0</v>
      </c>
      <c r="AN704">
        <v>0</v>
      </c>
      <c r="AO704">
        <v>0</v>
      </c>
      <c r="AP704">
        <v>0</v>
      </c>
      <c r="AQ704" t="s">
        <v>9</v>
      </c>
      <c r="AR704" s="1">
        <v>1.5134752399999999E-4</v>
      </c>
      <c r="AS704" s="1">
        <v>1.4229091000000001E-25</v>
      </c>
      <c r="AT704">
        <v>33</v>
      </c>
      <c r="AU704" t="s">
        <v>10</v>
      </c>
      <c r="AV704">
        <v>0</v>
      </c>
      <c r="AW704">
        <v>2</v>
      </c>
      <c r="AX704">
        <v>0</v>
      </c>
      <c r="AY704">
        <v>2</v>
      </c>
      <c r="AZ704">
        <v>0</v>
      </c>
      <c r="BA704" t="s">
        <v>8</v>
      </c>
      <c r="BB704" t="s">
        <v>4</v>
      </c>
      <c r="BC704" t="s">
        <v>10</v>
      </c>
      <c r="BD704">
        <v>0</v>
      </c>
      <c r="BE704">
        <v>0</v>
      </c>
      <c r="BF704">
        <v>0</v>
      </c>
      <c r="BG704">
        <v>0</v>
      </c>
      <c r="BH704">
        <v>0</v>
      </c>
      <c r="BI704" t="s">
        <v>9</v>
      </c>
      <c r="BJ704">
        <v>-1.4726999999999999E-4</v>
      </c>
      <c r="BK704">
        <v>0</v>
      </c>
      <c r="BL704">
        <v>3.4900000000000001E-5</v>
      </c>
      <c r="BM704" s="2">
        <f t="shared" si="10"/>
        <v>8.5689589458012803E-7</v>
      </c>
    </row>
    <row r="705" spans="1:65" x14ac:dyDescent="0.35">
      <c r="A705">
        <v>0</v>
      </c>
      <c r="B705" t="s">
        <v>3</v>
      </c>
      <c r="C705" t="s">
        <v>4</v>
      </c>
      <c r="D705">
        <v>0</v>
      </c>
      <c r="E705" t="s">
        <v>3</v>
      </c>
      <c r="F705" t="s">
        <v>5</v>
      </c>
      <c r="G705">
        <v>1983.0429999999999</v>
      </c>
      <c r="H705" t="s">
        <v>4</v>
      </c>
      <c r="I705">
        <v>990.16341899999998</v>
      </c>
      <c r="J705">
        <v>992.87958100000003</v>
      </c>
      <c r="K705" t="s">
        <v>6</v>
      </c>
      <c r="L705" t="s">
        <v>7</v>
      </c>
      <c r="M705" t="s">
        <v>8</v>
      </c>
      <c r="N705" t="s">
        <v>6</v>
      </c>
      <c r="O705" t="s">
        <v>3</v>
      </c>
      <c r="P705" t="s">
        <v>3</v>
      </c>
      <c r="Q705" t="s">
        <v>3</v>
      </c>
      <c r="R705" t="s">
        <v>3</v>
      </c>
      <c r="S705" t="s">
        <v>3</v>
      </c>
      <c r="T705" t="s">
        <v>7</v>
      </c>
      <c r="U705">
        <v>0</v>
      </c>
      <c r="V705">
        <v>0</v>
      </c>
      <c r="W705">
        <v>0</v>
      </c>
      <c r="X705">
        <v>5</v>
      </c>
      <c r="Y705">
        <v>0</v>
      </c>
      <c r="Z705" t="s">
        <v>8</v>
      </c>
      <c r="AA705" t="s">
        <v>4</v>
      </c>
      <c r="AB705" t="s">
        <v>6</v>
      </c>
      <c r="AC705" t="s">
        <v>7</v>
      </c>
      <c r="AD705" t="s">
        <v>8</v>
      </c>
      <c r="AE705" t="s">
        <v>6</v>
      </c>
      <c r="AF705" t="s">
        <v>3</v>
      </c>
      <c r="AG705" t="s">
        <v>3</v>
      </c>
      <c r="AH705" t="s">
        <v>3</v>
      </c>
      <c r="AI705" t="s">
        <v>3</v>
      </c>
      <c r="AJ705" t="s">
        <v>3</v>
      </c>
      <c r="AK705" t="s">
        <v>7</v>
      </c>
      <c r="AL705">
        <v>0</v>
      </c>
      <c r="AM705">
        <v>0</v>
      </c>
      <c r="AN705">
        <v>0</v>
      </c>
      <c r="AO705">
        <v>0</v>
      </c>
      <c r="AP705">
        <v>0</v>
      </c>
      <c r="AQ705" t="s">
        <v>9</v>
      </c>
      <c r="AR705" s="1">
        <v>4.2217750000000002E-7</v>
      </c>
      <c r="AS705" s="1">
        <v>4.7151032899999997E-31</v>
      </c>
      <c r="AT705">
        <v>34</v>
      </c>
      <c r="AU705" t="s">
        <v>10</v>
      </c>
      <c r="AV705">
        <v>0</v>
      </c>
      <c r="AW705">
        <v>0</v>
      </c>
      <c r="AX705">
        <v>0</v>
      </c>
      <c r="AY705">
        <v>5</v>
      </c>
      <c r="AZ705">
        <v>0</v>
      </c>
      <c r="BA705" t="s">
        <v>8</v>
      </c>
      <c r="BB705" t="s">
        <v>4</v>
      </c>
      <c r="BC705" t="s">
        <v>10</v>
      </c>
      <c r="BD705">
        <v>0</v>
      </c>
      <c r="BE705">
        <v>0</v>
      </c>
      <c r="BF705">
        <v>0</v>
      </c>
      <c r="BG705">
        <v>0</v>
      </c>
      <c r="BH705">
        <v>0</v>
      </c>
      <c r="BI705" t="s">
        <v>9</v>
      </c>
      <c r="BJ705">
        <v>-4.0999999999999999E-7</v>
      </c>
      <c r="BK705">
        <v>0</v>
      </c>
      <c r="BL705">
        <v>-8.9999999999999999E-8</v>
      </c>
      <c r="BM705" s="2">
        <f t="shared" si="10"/>
        <v>2.8395015898923225E-12</v>
      </c>
    </row>
    <row r="706" spans="1:65" x14ac:dyDescent="0.35">
      <c r="A706">
        <v>0</v>
      </c>
      <c r="B706" t="s">
        <v>3</v>
      </c>
      <c r="C706" t="s">
        <v>4</v>
      </c>
      <c r="D706">
        <v>0</v>
      </c>
      <c r="E706" t="s">
        <v>3</v>
      </c>
      <c r="F706" t="s">
        <v>5</v>
      </c>
      <c r="G706">
        <v>4401.2713139999996</v>
      </c>
      <c r="H706" t="s">
        <v>4</v>
      </c>
      <c r="I706">
        <v>990.16341899999998</v>
      </c>
      <c r="J706">
        <v>3411.1078950000001</v>
      </c>
      <c r="K706" t="s">
        <v>6</v>
      </c>
      <c r="L706" t="s">
        <v>7</v>
      </c>
      <c r="M706" t="s">
        <v>8</v>
      </c>
      <c r="N706" t="s">
        <v>6</v>
      </c>
      <c r="O706" t="s">
        <v>3</v>
      </c>
      <c r="P706" t="s">
        <v>3</v>
      </c>
      <c r="Q706" t="s">
        <v>3</v>
      </c>
      <c r="R706" t="s">
        <v>3</v>
      </c>
      <c r="S706" t="s">
        <v>3</v>
      </c>
      <c r="T706" t="s">
        <v>7</v>
      </c>
      <c r="U706">
        <v>2</v>
      </c>
      <c r="V706">
        <v>0</v>
      </c>
      <c r="W706">
        <v>0</v>
      </c>
      <c r="X706">
        <v>0</v>
      </c>
      <c r="Y706">
        <v>2</v>
      </c>
      <c r="Z706" t="s">
        <v>9</v>
      </c>
      <c r="AA706" t="s">
        <v>4</v>
      </c>
      <c r="AB706" t="s">
        <v>6</v>
      </c>
      <c r="AC706" t="s">
        <v>7</v>
      </c>
      <c r="AD706" t="s">
        <v>8</v>
      </c>
      <c r="AE706" t="s">
        <v>6</v>
      </c>
      <c r="AF706" t="s">
        <v>3</v>
      </c>
      <c r="AG706" t="s">
        <v>3</v>
      </c>
      <c r="AH706" t="s">
        <v>3</v>
      </c>
      <c r="AI706" t="s">
        <v>3</v>
      </c>
      <c r="AJ706" t="s">
        <v>3</v>
      </c>
      <c r="AK706" t="s">
        <v>7</v>
      </c>
      <c r="AL706">
        <v>0</v>
      </c>
      <c r="AM706">
        <v>0</v>
      </c>
      <c r="AN706">
        <v>0</v>
      </c>
      <c r="AO706">
        <v>0</v>
      </c>
      <c r="AP706">
        <v>0</v>
      </c>
      <c r="AQ706" t="s">
        <v>9</v>
      </c>
      <c r="AR706" s="1">
        <v>3.5025843599999999E-4</v>
      </c>
      <c r="AS706" s="1">
        <v>1.12431705E-24</v>
      </c>
      <c r="AT706">
        <v>29</v>
      </c>
      <c r="AU706" t="s">
        <v>10</v>
      </c>
      <c r="AV706">
        <v>2</v>
      </c>
      <c r="AW706">
        <v>0</v>
      </c>
      <c r="AX706">
        <v>0</v>
      </c>
      <c r="AY706">
        <v>0</v>
      </c>
      <c r="AZ706">
        <v>2</v>
      </c>
      <c r="BA706" t="s">
        <v>9</v>
      </c>
      <c r="BB706" t="s">
        <v>4</v>
      </c>
      <c r="BC706" t="s">
        <v>10</v>
      </c>
      <c r="BD706">
        <v>0</v>
      </c>
      <c r="BE706">
        <v>0</v>
      </c>
      <c r="BF706">
        <v>0</v>
      </c>
      <c r="BG706">
        <v>0</v>
      </c>
      <c r="BH706">
        <v>0</v>
      </c>
      <c r="BI706" t="s">
        <v>9</v>
      </c>
      <c r="BJ706">
        <v>3.4925000000000001E-4</v>
      </c>
      <c r="BK706">
        <v>0</v>
      </c>
      <c r="BL706">
        <v>-2.6599999999999999E-5</v>
      </c>
      <c r="BM706" s="2">
        <f t="shared" ref="BM706:BM769" si="11">AS706*10^(-5)*6.0221408*10^(23)</f>
        <v>6.7707955789406397E-6</v>
      </c>
    </row>
    <row r="707" spans="1:65" x14ac:dyDescent="0.35">
      <c r="A707">
        <v>0</v>
      </c>
      <c r="B707" t="s">
        <v>3</v>
      </c>
      <c r="C707" t="s">
        <v>4</v>
      </c>
      <c r="D707">
        <v>0</v>
      </c>
      <c r="E707" t="s">
        <v>3</v>
      </c>
      <c r="F707" t="s">
        <v>5</v>
      </c>
      <c r="G707">
        <v>4058.449541</v>
      </c>
      <c r="H707" t="s">
        <v>4</v>
      </c>
      <c r="I707">
        <v>990.16341899999998</v>
      </c>
      <c r="J707">
        <v>3068.286122</v>
      </c>
      <c r="K707" t="s">
        <v>6</v>
      </c>
      <c r="L707" t="s">
        <v>7</v>
      </c>
      <c r="M707" t="s">
        <v>8</v>
      </c>
      <c r="N707" t="s">
        <v>6</v>
      </c>
      <c r="O707" t="s">
        <v>3</v>
      </c>
      <c r="P707" t="s">
        <v>3</v>
      </c>
      <c r="Q707" t="s">
        <v>3</v>
      </c>
      <c r="R707" t="s">
        <v>3</v>
      </c>
      <c r="S707" t="s">
        <v>3</v>
      </c>
      <c r="T707" t="s">
        <v>7</v>
      </c>
      <c r="U707">
        <v>1</v>
      </c>
      <c r="V707">
        <v>1</v>
      </c>
      <c r="W707">
        <v>0</v>
      </c>
      <c r="X707">
        <v>0</v>
      </c>
      <c r="Y707">
        <v>1</v>
      </c>
      <c r="Z707" t="s">
        <v>9</v>
      </c>
      <c r="AA707" t="s">
        <v>4</v>
      </c>
      <c r="AB707" t="s">
        <v>6</v>
      </c>
      <c r="AC707" t="s">
        <v>7</v>
      </c>
      <c r="AD707" t="s">
        <v>8</v>
      </c>
      <c r="AE707" t="s">
        <v>6</v>
      </c>
      <c r="AF707" t="s">
        <v>3</v>
      </c>
      <c r="AG707" t="s">
        <v>3</v>
      </c>
      <c r="AH707" t="s">
        <v>3</v>
      </c>
      <c r="AI707" t="s">
        <v>3</v>
      </c>
      <c r="AJ707" t="s">
        <v>3</v>
      </c>
      <c r="AK707" t="s">
        <v>7</v>
      </c>
      <c r="AL707">
        <v>0</v>
      </c>
      <c r="AM707">
        <v>0</v>
      </c>
      <c r="AN707">
        <v>0</v>
      </c>
      <c r="AO707">
        <v>0</v>
      </c>
      <c r="AP707">
        <v>0</v>
      </c>
      <c r="AQ707" t="s">
        <v>9</v>
      </c>
      <c r="AR707" s="1">
        <v>1.32491926E-4</v>
      </c>
      <c r="AS707" s="1">
        <v>1.44707382E-25</v>
      </c>
      <c r="AT707">
        <v>30</v>
      </c>
      <c r="AU707" t="s">
        <v>10</v>
      </c>
      <c r="AV707">
        <v>1</v>
      </c>
      <c r="AW707">
        <v>1</v>
      </c>
      <c r="AX707">
        <v>0</v>
      </c>
      <c r="AY707">
        <v>0</v>
      </c>
      <c r="AZ707">
        <v>1</v>
      </c>
      <c r="BA707" t="s">
        <v>9</v>
      </c>
      <c r="BB707" t="s">
        <v>4</v>
      </c>
      <c r="BC707" t="s">
        <v>10</v>
      </c>
      <c r="BD707">
        <v>0</v>
      </c>
      <c r="BE707">
        <v>0</v>
      </c>
      <c r="BF707">
        <v>0</v>
      </c>
      <c r="BG707">
        <v>0</v>
      </c>
      <c r="BH707">
        <v>0</v>
      </c>
      <c r="BI707" t="s">
        <v>9</v>
      </c>
      <c r="BJ707">
        <v>7.996E-5</v>
      </c>
      <c r="BK707">
        <v>0</v>
      </c>
      <c r="BL707">
        <v>1.0564E-4</v>
      </c>
      <c r="BM707" s="2">
        <f t="shared" si="11"/>
        <v>8.7144822920338571E-7</v>
      </c>
    </row>
    <row r="708" spans="1:65" x14ac:dyDescent="0.35">
      <c r="A708">
        <v>0</v>
      </c>
      <c r="B708" t="s">
        <v>11</v>
      </c>
      <c r="C708" t="s">
        <v>4</v>
      </c>
      <c r="D708">
        <v>0</v>
      </c>
      <c r="E708" t="s">
        <v>3</v>
      </c>
      <c r="F708" t="s">
        <v>5</v>
      </c>
      <c r="G708">
        <v>3573.5713660000001</v>
      </c>
      <c r="H708" t="s">
        <v>4</v>
      </c>
      <c r="I708">
        <v>990.16341899999998</v>
      </c>
      <c r="J708">
        <v>2583.4079470000001</v>
      </c>
      <c r="K708" t="s">
        <v>6</v>
      </c>
      <c r="L708" t="s">
        <v>7</v>
      </c>
      <c r="M708" t="s">
        <v>8</v>
      </c>
      <c r="N708" t="s">
        <v>6</v>
      </c>
      <c r="O708" t="s">
        <v>3</v>
      </c>
      <c r="P708" t="s">
        <v>3</v>
      </c>
      <c r="Q708" t="s">
        <v>3</v>
      </c>
      <c r="R708" t="s">
        <v>3</v>
      </c>
      <c r="S708" t="s">
        <v>11</v>
      </c>
      <c r="T708" t="s">
        <v>7</v>
      </c>
      <c r="U708">
        <v>0</v>
      </c>
      <c r="V708">
        <v>0</v>
      </c>
      <c r="W708">
        <v>0</v>
      </c>
      <c r="X708">
        <v>5</v>
      </c>
      <c r="Y708">
        <v>0</v>
      </c>
      <c r="Z708" t="s">
        <v>13</v>
      </c>
      <c r="AA708" t="s">
        <v>4</v>
      </c>
      <c r="AB708" t="s">
        <v>6</v>
      </c>
      <c r="AC708" t="s">
        <v>7</v>
      </c>
      <c r="AD708" t="s">
        <v>8</v>
      </c>
      <c r="AE708" t="s">
        <v>6</v>
      </c>
      <c r="AF708" t="s">
        <v>3</v>
      </c>
      <c r="AG708" t="s">
        <v>3</v>
      </c>
      <c r="AH708" t="s">
        <v>3</v>
      </c>
      <c r="AI708" t="s">
        <v>3</v>
      </c>
      <c r="AJ708" t="s">
        <v>3</v>
      </c>
      <c r="AK708" t="s">
        <v>7</v>
      </c>
      <c r="AL708">
        <v>0</v>
      </c>
      <c r="AM708">
        <v>0</v>
      </c>
      <c r="AN708">
        <v>0</v>
      </c>
      <c r="AO708">
        <v>0</v>
      </c>
      <c r="AP708">
        <v>0</v>
      </c>
      <c r="AQ708" t="s">
        <v>9</v>
      </c>
      <c r="AR708" s="1">
        <v>3.42086141E-5</v>
      </c>
      <c r="AS708" s="1">
        <v>8.1222892600000004E-27</v>
      </c>
      <c r="AT708">
        <v>29</v>
      </c>
      <c r="AU708" t="s">
        <v>10</v>
      </c>
      <c r="AV708">
        <v>0</v>
      </c>
      <c r="AW708">
        <v>0</v>
      </c>
      <c r="AX708">
        <v>0</v>
      </c>
      <c r="AY708">
        <v>5</v>
      </c>
      <c r="AZ708">
        <v>0</v>
      </c>
      <c r="BA708" t="s">
        <v>13</v>
      </c>
      <c r="BB708" t="s">
        <v>4</v>
      </c>
      <c r="BC708" t="s">
        <v>10</v>
      </c>
      <c r="BD708">
        <v>0</v>
      </c>
      <c r="BE708">
        <v>0</v>
      </c>
      <c r="BF708">
        <v>0</v>
      </c>
      <c r="BG708">
        <v>0</v>
      </c>
      <c r="BH708">
        <v>0</v>
      </c>
      <c r="BI708" t="s">
        <v>9</v>
      </c>
      <c r="BJ708">
        <v>0</v>
      </c>
      <c r="BK708">
        <v>3.4209999999999999E-5</v>
      </c>
      <c r="BL708">
        <v>0</v>
      </c>
      <c r="BM708" s="2">
        <f t="shared" si="11"/>
        <v>4.8913569542047811E-8</v>
      </c>
    </row>
    <row r="709" spans="1:65" x14ac:dyDescent="0.35">
      <c r="A709">
        <v>0</v>
      </c>
      <c r="B709" t="s">
        <v>11</v>
      </c>
      <c r="C709" t="s">
        <v>4</v>
      </c>
      <c r="D709">
        <v>0</v>
      </c>
      <c r="E709" t="s">
        <v>3</v>
      </c>
      <c r="F709" t="s">
        <v>5</v>
      </c>
      <c r="G709">
        <v>3851.9893200000001</v>
      </c>
      <c r="H709" t="s">
        <v>4</v>
      </c>
      <c r="I709">
        <v>990.16341899999998</v>
      </c>
      <c r="J709">
        <v>2861.8259010000002</v>
      </c>
      <c r="K709" t="s">
        <v>6</v>
      </c>
      <c r="L709" t="s">
        <v>7</v>
      </c>
      <c r="M709" t="s">
        <v>8</v>
      </c>
      <c r="N709" t="s">
        <v>6</v>
      </c>
      <c r="O709" t="s">
        <v>3</v>
      </c>
      <c r="P709" t="s">
        <v>3</v>
      </c>
      <c r="Q709" t="s">
        <v>3</v>
      </c>
      <c r="R709" t="s">
        <v>3</v>
      </c>
      <c r="S709" t="s">
        <v>11</v>
      </c>
      <c r="T709" t="s">
        <v>7</v>
      </c>
      <c r="U709">
        <v>3</v>
      </c>
      <c r="V709">
        <v>0</v>
      </c>
      <c r="W709">
        <v>0</v>
      </c>
      <c r="X709">
        <v>2</v>
      </c>
      <c r="Y709">
        <v>0</v>
      </c>
      <c r="Z709" t="s">
        <v>18</v>
      </c>
      <c r="AA709" t="s">
        <v>4</v>
      </c>
      <c r="AB709" t="s">
        <v>6</v>
      </c>
      <c r="AC709" t="s">
        <v>7</v>
      </c>
      <c r="AD709" t="s">
        <v>8</v>
      </c>
      <c r="AE709" t="s">
        <v>6</v>
      </c>
      <c r="AF709" t="s">
        <v>3</v>
      </c>
      <c r="AG709" t="s">
        <v>3</v>
      </c>
      <c r="AH709" t="s">
        <v>3</v>
      </c>
      <c r="AI709" t="s">
        <v>3</v>
      </c>
      <c r="AJ709" t="s">
        <v>3</v>
      </c>
      <c r="AK709" t="s">
        <v>7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9</v>
      </c>
      <c r="AR709" s="1">
        <v>2.2156733600000001E-5</v>
      </c>
      <c r="AS709" s="1">
        <v>3.7745954500000001E-27</v>
      </c>
      <c r="AT709">
        <v>29</v>
      </c>
      <c r="AU709" t="s">
        <v>10</v>
      </c>
      <c r="AV709">
        <v>3</v>
      </c>
      <c r="AW709">
        <v>0</v>
      </c>
      <c r="AX709">
        <v>0</v>
      </c>
      <c r="AY709">
        <v>2</v>
      </c>
      <c r="AZ709">
        <v>0</v>
      </c>
      <c r="BA709" t="s">
        <v>18</v>
      </c>
      <c r="BB709" t="s">
        <v>4</v>
      </c>
      <c r="BC709" t="s">
        <v>10</v>
      </c>
      <c r="BD709">
        <v>0</v>
      </c>
      <c r="BE709">
        <v>0</v>
      </c>
      <c r="BF709">
        <v>0</v>
      </c>
      <c r="BG709">
        <v>0</v>
      </c>
      <c r="BH709">
        <v>0</v>
      </c>
      <c r="BI709" t="s">
        <v>9</v>
      </c>
      <c r="BJ709">
        <v>0</v>
      </c>
      <c r="BK709">
        <v>-2.2160000000000001E-5</v>
      </c>
      <c r="BL709">
        <v>0</v>
      </c>
      <c r="BM709" s="2">
        <f t="shared" si="11"/>
        <v>2.2731145262939359E-8</v>
      </c>
    </row>
    <row r="710" spans="1:65" x14ac:dyDescent="0.35">
      <c r="A710">
        <v>0</v>
      </c>
      <c r="B710" t="s">
        <v>3</v>
      </c>
      <c r="C710" t="s">
        <v>4</v>
      </c>
      <c r="D710">
        <v>0</v>
      </c>
      <c r="E710" t="s">
        <v>3</v>
      </c>
      <c r="F710" t="s">
        <v>5</v>
      </c>
      <c r="G710">
        <v>3751.6787359999998</v>
      </c>
      <c r="H710" t="s">
        <v>4</v>
      </c>
      <c r="I710">
        <v>990.16341899999998</v>
      </c>
      <c r="J710">
        <v>2761.515316</v>
      </c>
      <c r="K710" t="s">
        <v>6</v>
      </c>
      <c r="L710" t="s">
        <v>7</v>
      </c>
      <c r="M710" t="s">
        <v>8</v>
      </c>
      <c r="N710" t="s">
        <v>6</v>
      </c>
      <c r="O710" t="s">
        <v>3</v>
      </c>
      <c r="P710" t="s">
        <v>3</v>
      </c>
      <c r="Q710" t="s">
        <v>3</v>
      </c>
      <c r="R710" t="s">
        <v>3</v>
      </c>
      <c r="S710" t="s">
        <v>3</v>
      </c>
      <c r="T710" t="s">
        <v>7</v>
      </c>
      <c r="U710">
        <v>0</v>
      </c>
      <c r="V710">
        <v>3</v>
      </c>
      <c r="W710">
        <v>0</v>
      </c>
      <c r="X710">
        <v>0</v>
      </c>
      <c r="Y710">
        <v>0</v>
      </c>
      <c r="Z710" t="s">
        <v>8</v>
      </c>
      <c r="AA710" t="s">
        <v>4</v>
      </c>
      <c r="AB710" t="s">
        <v>6</v>
      </c>
      <c r="AC710" t="s">
        <v>7</v>
      </c>
      <c r="AD710" t="s">
        <v>8</v>
      </c>
      <c r="AE710" t="s">
        <v>6</v>
      </c>
      <c r="AF710" t="s">
        <v>3</v>
      </c>
      <c r="AG710" t="s">
        <v>3</v>
      </c>
      <c r="AH710" t="s">
        <v>3</v>
      </c>
      <c r="AI710" t="s">
        <v>3</v>
      </c>
      <c r="AJ710" t="s">
        <v>3</v>
      </c>
      <c r="AK710" t="s">
        <v>7</v>
      </c>
      <c r="AL710">
        <v>0</v>
      </c>
      <c r="AM710">
        <v>0</v>
      </c>
      <c r="AN710">
        <v>0</v>
      </c>
      <c r="AO710">
        <v>0</v>
      </c>
      <c r="AP710">
        <v>0</v>
      </c>
      <c r="AQ710" t="s">
        <v>9</v>
      </c>
      <c r="AR710" s="1">
        <v>4.5440138699999997E-5</v>
      </c>
      <c r="AS710" s="1">
        <v>1.5319416100000001E-26</v>
      </c>
      <c r="AT710">
        <v>34</v>
      </c>
      <c r="AU710" t="s">
        <v>10</v>
      </c>
      <c r="AV710">
        <v>0</v>
      </c>
      <c r="AW710">
        <v>3</v>
      </c>
      <c r="AX710">
        <v>0</v>
      </c>
      <c r="AY710">
        <v>0</v>
      </c>
      <c r="AZ710">
        <v>0</v>
      </c>
      <c r="BA710" t="s">
        <v>8</v>
      </c>
      <c r="BB710" t="s">
        <v>4</v>
      </c>
      <c r="BC710" t="s">
        <v>10</v>
      </c>
      <c r="BD710">
        <v>0</v>
      </c>
      <c r="BE710">
        <v>0</v>
      </c>
      <c r="BF710">
        <v>0</v>
      </c>
      <c r="BG710">
        <v>0</v>
      </c>
      <c r="BH710">
        <v>0</v>
      </c>
      <c r="BI710" t="s">
        <v>9</v>
      </c>
      <c r="BJ710">
        <v>-2.8180000000000001E-5</v>
      </c>
      <c r="BK710">
        <v>0</v>
      </c>
      <c r="BL710">
        <v>-3.5639999999999998E-5</v>
      </c>
      <c r="BM710" s="2">
        <f t="shared" si="11"/>
        <v>9.225568072798688E-8</v>
      </c>
    </row>
    <row r="711" spans="1:65" x14ac:dyDescent="0.35">
      <c r="A711">
        <v>0</v>
      </c>
      <c r="B711" t="s">
        <v>3</v>
      </c>
      <c r="C711" t="s">
        <v>4</v>
      </c>
      <c r="D711">
        <v>0</v>
      </c>
      <c r="E711" t="s">
        <v>3</v>
      </c>
      <c r="F711" t="s">
        <v>5</v>
      </c>
      <c r="G711">
        <v>4810.7077390000004</v>
      </c>
      <c r="H711" t="s">
        <v>4</v>
      </c>
      <c r="I711">
        <v>990.16341899999998</v>
      </c>
      <c r="J711">
        <v>3820.5443190000001</v>
      </c>
      <c r="K711" t="s">
        <v>6</v>
      </c>
      <c r="L711" t="s">
        <v>7</v>
      </c>
      <c r="M711" t="s">
        <v>8</v>
      </c>
      <c r="N711" t="s">
        <v>6</v>
      </c>
      <c r="O711" t="s">
        <v>3</v>
      </c>
      <c r="P711" t="s">
        <v>3</v>
      </c>
      <c r="Q711" t="s">
        <v>3</v>
      </c>
      <c r="R711" t="s">
        <v>3</v>
      </c>
      <c r="S711" t="s">
        <v>3</v>
      </c>
      <c r="T711" t="s">
        <v>7</v>
      </c>
      <c r="U711">
        <v>0</v>
      </c>
      <c r="V711">
        <v>3</v>
      </c>
      <c r="W711">
        <v>0</v>
      </c>
      <c r="X711">
        <v>0</v>
      </c>
      <c r="Y711">
        <v>0</v>
      </c>
      <c r="Z711" t="s">
        <v>9</v>
      </c>
      <c r="AA711" t="s">
        <v>4</v>
      </c>
      <c r="AB711" t="s">
        <v>6</v>
      </c>
      <c r="AC711" t="s">
        <v>7</v>
      </c>
      <c r="AD711" t="s">
        <v>8</v>
      </c>
      <c r="AE711" t="s">
        <v>6</v>
      </c>
      <c r="AF711" t="s">
        <v>3</v>
      </c>
      <c r="AG711" t="s">
        <v>3</v>
      </c>
      <c r="AH711" t="s">
        <v>3</v>
      </c>
      <c r="AI711" t="s">
        <v>3</v>
      </c>
      <c r="AJ711" t="s">
        <v>3</v>
      </c>
      <c r="AK711" t="s">
        <v>7</v>
      </c>
      <c r="AL711">
        <v>0</v>
      </c>
      <c r="AM711">
        <v>0</v>
      </c>
      <c r="AN711">
        <v>0</v>
      </c>
      <c r="AO711">
        <v>0</v>
      </c>
      <c r="AP711">
        <v>0</v>
      </c>
      <c r="AQ711" t="s">
        <v>9</v>
      </c>
      <c r="AR711" s="1">
        <v>4.5480784499999998E-4</v>
      </c>
      <c r="AS711" s="1">
        <v>2.1232312399999999E-24</v>
      </c>
      <c r="AT711">
        <v>31</v>
      </c>
      <c r="AU711" t="s">
        <v>10</v>
      </c>
      <c r="AV711">
        <v>0</v>
      </c>
      <c r="AW711">
        <v>3</v>
      </c>
      <c r="AX711">
        <v>0</v>
      </c>
      <c r="AY711">
        <v>0</v>
      </c>
      <c r="AZ711">
        <v>0</v>
      </c>
      <c r="BA711" t="s">
        <v>9</v>
      </c>
      <c r="BB711" t="s">
        <v>4</v>
      </c>
      <c r="BC711" t="s">
        <v>10</v>
      </c>
      <c r="BD711">
        <v>0</v>
      </c>
      <c r="BE711">
        <v>0</v>
      </c>
      <c r="BF711">
        <v>0</v>
      </c>
      <c r="BG711">
        <v>0</v>
      </c>
      <c r="BH711">
        <v>0</v>
      </c>
      <c r="BI711" t="s">
        <v>9</v>
      </c>
      <c r="BJ711">
        <v>-3.3387E-4</v>
      </c>
      <c r="BK711">
        <v>0</v>
      </c>
      <c r="BL711">
        <v>3.0883000000000001E-4</v>
      </c>
      <c r="BM711" s="2">
        <f t="shared" si="11"/>
        <v>1.278639747823859E-5</v>
      </c>
    </row>
    <row r="712" spans="1:65" x14ac:dyDescent="0.35">
      <c r="A712">
        <v>0</v>
      </c>
      <c r="B712" t="s">
        <v>3</v>
      </c>
      <c r="C712" t="s">
        <v>4</v>
      </c>
      <c r="D712">
        <v>0</v>
      </c>
      <c r="E712" t="s">
        <v>3</v>
      </c>
      <c r="F712" t="s">
        <v>5</v>
      </c>
      <c r="G712">
        <v>2493.565122</v>
      </c>
      <c r="H712" t="s">
        <v>4</v>
      </c>
      <c r="I712">
        <v>990.16341899999998</v>
      </c>
      <c r="J712">
        <v>1503.4017019999999</v>
      </c>
      <c r="K712" t="s">
        <v>6</v>
      </c>
      <c r="L712" t="s">
        <v>7</v>
      </c>
      <c r="M712" t="s">
        <v>8</v>
      </c>
      <c r="N712" t="s">
        <v>6</v>
      </c>
      <c r="O712" t="s">
        <v>3</v>
      </c>
      <c r="P712" t="s">
        <v>3</v>
      </c>
      <c r="Q712" t="s">
        <v>3</v>
      </c>
      <c r="R712" t="s">
        <v>3</v>
      </c>
      <c r="S712" t="s">
        <v>3</v>
      </c>
      <c r="T712" t="s">
        <v>7</v>
      </c>
      <c r="U712">
        <v>0</v>
      </c>
      <c r="V712">
        <v>0</v>
      </c>
      <c r="W712">
        <v>0</v>
      </c>
      <c r="X712">
        <v>5</v>
      </c>
      <c r="Y712">
        <v>0</v>
      </c>
      <c r="Z712" t="s">
        <v>8</v>
      </c>
      <c r="AA712" t="s">
        <v>4</v>
      </c>
      <c r="AB712" t="s">
        <v>6</v>
      </c>
      <c r="AC712" t="s">
        <v>7</v>
      </c>
      <c r="AD712" t="s">
        <v>8</v>
      </c>
      <c r="AE712" t="s">
        <v>6</v>
      </c>
      <c r="AF712" t="s">
        <v>3</v>
      </c>
      <c r="AG712" t="s">
        <v>3</v>
      </c>
      <c r="AH712" t="s">
        <v>3</v>
      </c>
      <c r="AI712" t="s">
        <v>3</v>
      </c>
      <c r="AJ712" t="s">
        <v>3</v>
      </c>
      <c r="AK712" t="s">
        <v>7</v>
      </c>
      <c r="AL712">
        <v>0</v>
      </c>
      <c r="AM712">
        <v>0</v>
      </c>
      <c r="AN712">
        <v>0</v>
      </c>
      <c r="AO712">
        <v>0</v>
      </c>
      <c r="AP712">
        <v>0</v>
      </c>
      <c r="AQ712" t="s">
        <v>9</v>
      </c>
      <c r="AR712" s="1">
        <v>1.2798196E-5</v>
      </c>
      <c r="AS712" s="1">
        <v>6.6112381699999998E-28</v>
      </c>
      <c r="AT712">
        <v>29</v>
      </c>
      <c r="AU712" t="s">
        <v>10</v>
      </c>
      <c r="AV712">
        <v>0</v>
      </c>
      <c r="AW712">
        <v>0</v>
      </c>
      <c r="AX712">
        <v>0</v>
      </c>
      <c r="AY712">
        <v>5</v>
      </c>
      <c r="AZ712">
        <v>0</v>
      </c>
      <c r="BA712" t="s">
        <v>8</v>
      </c>
      <c r="BB712" t="s">
        <v>4</v>
      </c>
      <c r="BC712" t="s">
        <v>10</v>
      </c>
      <c r="BD712">
        <v>0</v>
      </c>
      <c r="BE712">
        <v>0</v>
      </c>
      <c r="BF712">
        <v>0</v>
      </c>
      <c r="BG712">
        <v>0</v>
      </c>
      <c r="BH712">
        <v>0</v>
      </c>
      <c r="BI712" t="s">
        <v>9</v>
      </c>
      <c r="BJ712">
        <v>-8.6000000000000002E-7</v>
      </c>
      <c r="BK712">
        <v>0</v>
      </c>
      <c r="BL712">
        <v>1.277E-5</v>
      </c>
      <c r="BM712" s="2">
        <f t="shared" si="11"/>
        <v>3.981380712207433E-9</v>
      </c>
    </row>
    <row r="713" spans="1:65" x14ac:dyDescent="0.35">
      <c r="A713">
        <v>0</v>
      </c>
      <c r="B713" t="s">
        <v>3</v>
      </c>
      <c r="C713" t="s">
        <v>4</v>
      </c>
      <c r="D713">
        <v>0</v>
      </c>
      <c r="E713" t="s">
        <v>3</v>
      </c>
      <c r="F713" t="s">
        <v>5</v>
      </c>
      <c r="G713">
        <v>4177.0054389999996</v>
      </c>
      <c r="H713" t="s">
        <v>4</v>
      </c>
      <c r="I713">
        <v>990.16341899999998</v>
      </c>
      <c r="J713">
        <v>3186.84202</v>
      </c>
      <c r="K713" t="s">
        <v>6</v>
      </c>
      <c r="L713" t="s">
        <v>7</v>
      </c>
      <c r="M713" t="s">
        <v>8</v>
      </c>
      <c r="N713" t="s">
        <v>6</v>
      </c>
      <c r="O713" t="s">
        <v>3</v>
      </c>
      <c r="P713" t="s">
        <v>3</v>
      </c>
      <c r="Q713" t="s">
        <v>3</v>
      </c>
      <c r="R713" t="s">
        <v>3</v>
      </c>
      <c r="S713" t="s">
        <v>3</v>
      </c>
      <c r="T713" t="s">
        <v>7</v>
      </c>
      <c r="U713">
        <v>2</v>
      </c>
      <c r="V713">
        <v>0</v>
      </c>
      <c r="W713">
        <v>0</v>
      </c>
      <c r="X713">
        <v>5</v>
      </c>
      <c r="Y713">
        <v>0</v>
      </c>
      <c r="Z713" t="s">
        <v>8</v>
      </c>
      <c r="AA713" t="s">
        <v>4</v>
      </c>
      <c r="AB713" t="s">
        <v>6</v>
      </c>
      <c r="AC713" t="s">
        <v>7</v>
      </c>
      <c r="AD713" t="s">
        <v>8</v>
      </c>
      <c r="AE713" t="s">
        <v>6</v>
      </c>
      <c r="AF713" t="s">
        <v>3</v>
      </c>
      <c r="AG713" t="s">
        <v>3</v>
      </c>
      <c r="AH713" t="s">
        <v>3</v>
      </c>
      <c r="AI713" t="s">
        <v>3</v>
      </c>
      <c r="AJ713" t="s">
        <v>3</v>
      </c>
      <c r="AK713" t="s">
        <v>7</v>
      </c>
      <c r="AL713">
        <v>0</v>
      </c>
      <c r="AM713">
        <v>0</v>
      </c>
      <c r="AN713">
        <v>0</v>
      </c>
      <c r="AO713">
        <v>0</v>
      </c>
      <c r="AP713">
        <v>0</v>
      </c>
      <c r="AQ713" t="s">
        <v>9</v>
      </c>
      <c r="AR713" s="1">
        <v>4.9699515199999998E-5</v>
      </c>
      <c r="AS713" s="1">
        <v>2.11485654E-26</v>
      </c>
      <c r="AT713">
        <v>34</v>
      </c>
      <c r="AU713" t="s">
        <v>10</v>
      </c>
      <c r="AV713">
        <v>2</v>
      </c>
      <c r="AW713">
        <v>0</v>
      </c>
      <c r="AX713">
        <v>0</v>
      </c>
      <c r="AY713">
        <v>5</v>
      </c>
      <c r="AZ713">
        <v>0</v>
      </c>
      <c r="BA713" t="s">
        <v>8</v>
      </c>
      <c r="BB713" t="s">
        <v>4</v>
      </c>
      <c r="BC713" t="s">
        <v>10</v>
      </c>
      <c r="BD713">
        <v>0</v>
      </c>
      <c r="BE713">
        <v>0</v>
      </c>
      <c r="BF713">
        <v>0</v>
      </c>
      <c r="BG713">
        <v>0</v>
      </c>
      <c r="BH713">
        <v>0</v>
      </c>
      <c r="BI713" t="s">
        <v>9</v>
      </c>
      <c r="BJ713">
        <v>-4.935E-5</v>
      </c>
      <c r="BK713">
        <v>0</v>
      </c>
      <c r="BL713">
        <v>-5.9200000000000001E-6</v>
      </c>
      <c r="BM713" s="2">
        <f t="shared" si="11"/>
        <v>1.2735963855680831E-7</v>
      </c>
    </row>
    <row r="714" spans="1:65" x14ac:dyDescent="0.35">
      <c r="A714">
        <v>0</v>
      </c>
      <c r="B714" t="s">
        <v>3</v>
      </c>
      <c r="C714" t="s">
        <v>4</v>
      </c>
      <c r="D714">
        <v>0</v>
      </c>
      <c r="E714" t="s">
        <v>3</v>
      </c>
      <c r="F714" t="s">
        <v>5</v>
      </c>
      <c r="G714">
        <v>3952.3829139999998</v>
      </c>
      <c r="H714" t="s">
        <v>4</v>
      </c>
      <c r="I714">
        <v>990.16341899999998</v>
      </c>
      <c r="J714">
        <v>2962.2194949999998</v>
      </c>
      <c r="K714" t="s">
        <v>6</v>
      </c>
      <c r="L714" t="s">
        <v>7</v>
      </c>
      <c r="M714" t="s">
        <v>8</v>
      </c>
      <c r="N714" t="s">
        <v>6</v>
      </c>
      <c r="O714" t="s">
        <v>3</v>
      </c>
      <c r="P714" t="s">
        <v>3</v>
      </c>
      <c r="Q714" t="s">
        <v>3</v>
      </c>
      <c r="R714" t="s">
        <v>3</v>
      </c>
      <c r="S714" t="s">
        <v>3</v>
      </c>
      <c r="T714" t="s">
        <v>7</v>
      </c>
      <c r="U714">
        <v>0</v>
      </c>
      <c r="V714">
        <v>0</v>
      </c>
      <c r="W714">
        <v>0</v>
      </c>
      <c r="X714">
        <v>2</v>
      </c>
      <c r="Y714">
        <v>0</v>
      </c>
      <c r="Z714" t="s">
        <v>27</v>
      </c>
      <c r="AA714" t="s">
        <v>4</v>
      </c>
      <c r="AB714" t="s">
        <v>6</v>
      </c>
      <c r="AC714" t="s">
        <v>7</v>
      </c>
      <c r="AD714" t="s">
        <v>8</v>
      </c>
      <c r="AE714" t="s">
        <v>6</v>
      </c>
      <c r="AF714" t="s">
        <v>3</v>
      </c>
      <c r="AG714" t="s">
        <v>3</v>
      </c>
      <c r="AH714" t="s">
        <v>3</v>
      </c>
      <c r="AI714" t="s">
        <v>3</v>
      </c>
      <c r="AJ714" t="s">
        <v>3</v>
      </c>
      <c r="AK714" t="s">
        <v>7</v>
      </c>
      <c r="AL714">
        <v>0</v>
      </c>
      <c r="AM714">
        <v>0</v>
      </c>
      <c r="AN714">
        <v>0</v>
      </c>
      <c r="AO714">
        <v>0</v>
      </c>
      <c r="AP714">
        <v>0</v>
      </c>
      <c r="AQ714" t="s">
        <v>9</v>
      </c>
      <c r="AR714" s="1">
        <v>1.04872378E-4</v>
      </c>
      <c r="AS714" s="1">
        <v>8.7529684699999999E-26</v>
      </c>
      <c r="AT714">
        <v>29</v>
      </c>
      <c r="AU714" t="s">
        <v>10</v>
      </c>
      <c r="AV714">
        <v>0</v>
      </c>
      <c r="AW714">
        <v>0</v>
      </c>
      <c r="AX714">
        <v>0</v>
      </c>
      <c r="AY714">
        <v>2</v>
      </c>
      <c r="AZ714">
        <v>0</v>
      </c>
      <c r="BA714" t="s">
        <v>27</v>
      </c>
      <c r="BB714" t="s">
        <v>4</v>
      </c>
      <c r="BC714" t="s">
        <v>10</v>
      </c>
      <c r="BD714">
        <v>0</v>
      </c>
      <c r="BE714">
        <v>0</v>
      </c>
      <c r="BF714">
        <v>0</v>
      </c>
      <c r="BG714">
        <v>0</v>
      </c>
      <c r="BH714">
        <v>0</v>
      </c>
      <c r="BI714" t="s">
        <v>9</v>
      </c>
      <c r="BJ714">
        <v>8.3020000000000001E-5</v>
      </c>
      <c r="BK714">
        <v>0</v>
      </c>
      <c r="BL714">
        <v>6.4070000000000002E-5</v>
      </c>
      <c r="BM714" s="2">
        <f t="shared" si="11"/>
        <v>5.2711608544300576E-7</v>
      </c>
    </row>
    <row r="715" spans="1:65" x14ac:dyDescent="0.35">
      <c r="A715">
        <v>0</v>
      </c>
      <c r="B715" t="s">
        <v>3</v>
      </c>
      <c r="C715" t="s">
        <v>4</v>
      </c>
      <c r="D715">
        <v>0</v>
      </c>
      <c r="E715" t="s">
        <v>3</v>
      </c>
      <c r="F715" t="s">
        <v>5</v>
      </c>
      <c r="G715">
        <v>3072.8698410000002</v>
      </c>
      <c r="H715" t="s">
        <v>4</v>
      </c>
      <c r="I715">
        <v>990.16341899999998</v>
      </c>
      <c r="J715">
        <v>2082.7064220000002</v>
      </c>
      <c r="K715" t="s">
        <v>6</v>
      </c>
      <c r="L715" t="s">
        <v>7</v>
      </c>
      <c r="M715" t="s">
        <v>8</v>
      </c>
      <c r="N715" t="s">
        <v>6</v>
      </c>
      <c r="O715" t="s">
        <v>3</v>
      </c>
      <c r="P715" t="s">
        <v>3</v>
      </c>
      <c r="Q715" t="s">
        <v>3</v>
      </c>
      <c r="R715" t="s">
        <v>3</v>
      </c>
      <c r="S715" t="s">
        <v>3</v>
      </c>
      <c r="T715" t="s">
        <v>7</v>
      </c>
      <c r="U715">
        <v>2</v>
      </c>
      <c r="V715">
        <v>0</v>
      </c>
      <c r="W715">
        <v>0</v>
      </c>
      <c r="X715">
        <v>2</v>
      </c>
      <c r="Y715">
        <v>0</v>
      </c>
      <c r="Z715" t="s">
        <v>9</v>
      </c>
      <c r="AA715" t="s">
        <v>4</v>
      </c>
      <c r="AB715" t="s">
        <v>6</v>
      </c>
      <c r="AC715" t="s">
        <v>7</v>
      </c>
      <c r="AD715" t="s">
        <v>8</v>
      </c>
      <c r="AE715" t="s">
        <v>6</v>
      </c>
      <c r="AF715" t="s">
        <v>3</v>
      </c>
      <c r="AG715" t="s">
        <v>3</v>
      </c>
      <c r="AH715" t="s">
        <v>3</v>
      </c>
      <c r="AI715" t="s">
        <v>3</v>
      </c>
      <c r="AJ715" t="s">
        <v>3</v>
      </c>
      <c r="AK715" t="s">
        <v>7</v>
      </c>
      <c r="AL715">
        <v>0</v>
      </c>
      <c r="AM715">
        <v>0</v>
      </c>
      <c r="AN715">
        <v>0</v>
      </c>
      <c r="AO715">
        <v>0</v>
      </c>
      <c r="AP715">
        <v>0</v>
      </c>
      <c r="AQ715" t="s">
        <v>9</v>
      </c>
      <c r="AR715" s="1">
        <v>1.1104618700000001E-3</v>
      </c>
      <c r="AS715" s="1">
        <v>6.8997422799999999E-24</v>
      </c>
      <c r="AT715">
        <v>31</v>
      </c>
      <c r="AU715" t="s">
        <v>10</v>
      </c>
      <c r="AV715">
        <v>2</v>
      </c>
      <c r="AW715">
        <v>0</v>
      </c>
      <c r="AX715">
        <v>0</v>
      </c>
      <c r="AY715">
        <v>2</v>
      </c>
      <c r="AZ715">
        <v>0</v>
      </c>
      <c r="BA715" t="s">
        <v>9</v>
      </c>
      <c r="BB715" t="s">
        <v>4</v>
      </c>
      <c r="BC715" t="s">
        <v>10</v>
      </c>
      <c r="BD715">
        <v>0</v>
      </c>
      <c r="BE715">
        <v>0</v>
      </c>
      <c r="BF715">
        <v>0</v>
      </c>
      <c r="BG715">
        <v>0</v>
      </c>
      <c r="BH715">
        <v>0</v>
      </c>
      <c r="BI715" t="s">
        <v>9</v>
      </c>
      <c r="BJ715">
        <v>-1.09428E-3</v>
      </c>
      <c r="BK715">
        <v>0</v>
      </c>
      <c r="BL715">
        <v>-1.8887999999999999E-4</v>
      </c>
      <c r="BM715" s="2">
        <f t="shared" si="11"/>
        <v>4.1551219493873024E-5</v>
      </c>
    </row>
    <row r="716" spans="1:65" x14ac:dyDescent="0.35">
      <c r="A716">
        <v>0</v>
      </c>
      <c r="B716" t="s">
        <v>3</v>
      </c>
      <c r="C716" t="s">
        <v>4</v>
      </c>
      <c r="D716">
        <v>0</v>
      </c>
      <c r="E716" t="s">
        <v>3</v>
      </c>
      <c r="F716" t="s">
        <v>5</v>
      </c>
      <c r="G716">
        <v>4553.9342839999999</v>
      </c>
      <c r="H716" t="s">
        <v>4</v>
      </c>
      <c r="I716">
        <v>990.16341899999998</v>
      </c>
      <c r="J716">
        <v>3563.770865</v>
      </c>
      <c r="K716" t="s">
        <v>6</v>
      </c>
      <c r="L716" t="s">
        <v>7</v>
      </c>
      <c r="M716" t="s">
        <v>8</v>
      </c>
      <c r="N716" t="s">
        <v>6</v>
      </c>
      <c r="O716" t="s">
        <v>3</v>
      </c>
      <c r="P716" t="s">
        <v>3</v>
      </c>
      <c r="Q716" t="s">
        <v>3</v>
      </c>
      <c r="R716" t="s">
        <v>3</v>
      </c>
      <c r="S716" t="s">
        <v>3</v>
      </c>
      <c r="T716" t="s">
        <v>7</v>
      </c>
      <c r="U716">
        <v>2</v>
      </c>
      <c r="V716">
        <v>0</v>
      </c>
      <c r="W716">
        <v>0</v>
      </c>
      <c r="X716">
        <v>2</v>
      </c>
      <c r="Y716">
        <v>1</v>
      </c>
      <c r="Z716" t="s">
        <v>15</v>
      </c>
      <c r="AA716" t="s">
        <v>4</v>
      </c>
      <c r="AB716" t="s">
        <v>6</v>
      </c>
      <c r="AC716" t="s">
        <v>7</v>
      </c>
      <c r="AD716" t="s">
        <v>8</v>
      </c>
      <c r="AE716" t="s">
        <v>6</v>
      </c>
      <c r="AF716" t="s">
        <v>3</v>
      </c>
      <c r="AG716" t="s">
        <v>3</v>
      </c>
      <c r="AH716" t="s">
        <v>3</v>
      </c>
      <c r="AI716" t="s">
        <v>3</v>
      </c>
      <c r="AJ716" t="s">
        <v>3</v>
      </c>
      <c r="AK716" t="s">
        <v>7</v>
      </c>
      <c r="AL716">
        <v>0</v>
      </c>
      <c r="AM716">
        <v>0</v>
      </c>
      <c r="AN716">
        <v>0</v>
      </c>
      <c r="AO716">
        <v>0</v>
      </c>
      <c r="AP716">
        <v>0</v>
      </c>
      <c r="AQ716" t="s">
        <v>9</v>
      </c>
      <c r="AR716" s="1">
        <v>1.5266551599999999E-5</v>
      </c>
      <c r="AS716" s="1">
        <v>2.23155617E-27</v>
      </c>
      <c r="AT716">
        <v>29</v>
      </c>
      <c r="AU716" t="s">
        <v>10</v>
      </c>
      <c r="AV716">
        <v>2</v>
      </c>
      <c r="AW716">
        <v>0</v>
      </c>
      <c r="AX716">
        <v>0</v>
      </c>
      <c r="AY716">
        <v>2</v>
      </c>
      <c r="AZ716">
        <v>1</v>
      </c>
      <c r="BA716" t="s">
        <v>15</v>
      </c>
      <c r="BB716" t="s">
        <v>4</v>
      </c>
      <c r="BC716" t="s">
        <v>10</v>
      </c>
      <c r="BD716">
        <v>0</v>
      </c>
      <c r="BE716">
        <v>0</v>
      </c>
      <c r="BF716">
        <v>0</v>
      </c>
      <c r="BG716">
        <v>0</v>
      </c>
      <c r="BH716">
        <v>0</v>
      </c>
      <c r="BI716" t="s">
        <v>9</v>
      </c>
      <c r="BJ716">
        <v>-1.309E-5</v>
      </c>
      <c r="BK716">
        <v>0</v>
      </c>
      <c r="BL716">
        <v>7.8599999999999993E-6</v>
      </c>
      <c r="BM716" s="2">
        <f t="shared" si="11"/>
        <v>1.3438745458848736E-8</v>
      </c>
    </row>
    <row r="717" spans="1:65" x14ac:dyDescent="0.35">
      <c r="A717">
        <v>0</v>
      </c>
      <c r="B717" t="s">
        <v>11</v>
      </c>
      <c r="C717" t="s">
        <v>4</v>
      </c>
      <c r="D717">
        <v>0</v>
      </c>
      <c r="E717" t="s">
        <v>3</v>
      </c>
      <c r="F717" t="s">
        <v>5</v>
      </c>
      <c r="G717">
        <v>4632.006684</v>
      </c>
      <c r="H717" t="s">
        <v>4</v>
      </c>
      <c r="I717">
        <v>990.16341899999998</v>
      </c>
      <c r="J717">
        <v>3641.843265</v>
      </c>
      <c r="K717" t="s">
        <v>6</v>
      </c>
      <c r="L717" t="s">
        <v>7</v>
      </c>
      <c r="M717" t="s">
        <v>8</v>
      </c>
      <c r="N717" t="s">
        <v>6</v>
      </c>
      <c r="O717" t="s">
        <v>3</v>
      </c>
      <c r="P717" t="s">
        <v>3</v>
      </c>
      <c r="Q717" t="s">
        <v>3</v>
      </c>
      <c r="R717" t="s">
        <v>3</v>
      </c>
      <c r="S717" t="s">
        <v>11</v>
      </c>
      <c r="T717" t="s">
        <v>7</v>
      </c>
      <c r="U717">
        <v>0</v>
      </c>
      <c r="V717">
        <v>1</v>
      </c>
      <c r="W717">
        <v>0</v>
      </c>
      <c r="X717">
        <v>2</v>
      </c>
      <c r="Y717">
        <v>1</v>
      </c>
      <c r="Z717" t="s">
        <v>13</v>
      </c>
      <c r="AA717" t="s">
        <v>4</v>
      </c>
      <c r="AB717" t="s">
        <v>6</v>
      </c>
      <c r="AC717" t="s">
        <v>7</v>
      </c>
      <c r="AD717" t="s">
        <v>8</v>
      </c>
      <c r="AE717" t="s">
        <v>6</v>
      </c>
      <c r="AF717" t="s">
        <v>3</v>
      </c>
      <c r="AG717" t="s">
        <v>3</v>
      </c>
      <c r="AH717" t="s">
        <v>3</v>
      </c>
      <c r="AI717" t="s">
        <v>3</v>
      </c>
      <c r="AJ717" t="s">
        <v>3</v>
      </c>
      <c r="AK717" t="s">
        <v>7</v>
      </c>
      <c r="AL717">
        <v>0</v>
      </c>
      <c r="AM717">
        <v>0</v>
      </c>
      <c r="AN717">
        <v>0</v>
      </c>
      <c r="AO717">
        <v>0</v>
      </c>
      <c r="AP717">
        <v>0</v>
      </c>
      <c r="AQ717" t="s">
        <v>9</v>
      </c>
      <c r="AR717" s="1">
        <v>5.7354949699999997E-6</v>
      </c>
      <c r="AS717" s="1">
        <v>3.2186904400000001E-28</v>
      </c>
      <c r="AT717">
        <v>34</v>
      </c>
      <c r="AU717" t="s">
        <v>10</v>
      </c>
      <c r="AV717">
        <v>0</v>
      </c>
      <c r="AW717">
        <v>1</v>
      </c>
      <c r="AX717">
        <v>0</v>
      </c>
      <c r="AY717">
        <v>2</v>
      </c>
      <c r="AZ717">
        <v>1</v>
      </c>
      <c r="BA717" t="s">
        <v>13</v>
      </c>
      <c r="BB717" t="s">
        <v>4</v>
      </c>
      <c r="BC717" t="s">
        <v>10</v>
      </c>
      <c r="BD717">
        <v>0</v>
      </c>
      <c r="BE717">
        <v>0</v>
      </c>
      <c r="BF717">
        <v>0</v>
      </c>
      <c r="BG717">
        <v>0</v>
      </c>
      <c r="BH717">
        <v>0</v>
      </c>
      <c r="BI717" t="s">
        <v>9</v>
      </c>
      <c r="BJ717">
        <v>0</v>
      </c>
      <c r="BK717">
        <v>-5.7400000000000001E-6</v>
      </c>
      <c r="BL717">
        <v>0</v>
      </c>
      <c r="BM717" s="2">
        <f t="shared" si="11"/>
        <v>1.9383407021293953E-9</v>
      </c>
    </row>
    <row r="718" spans="1:65" x14ac:dyDescent="0.35">
      <c r="A718">
        <v>0</v>
      </c>
      <c r="B718" t="s">
        <v>11</v>
      </c>
      <c r="C718" t="s">
        <v>4</v>
      </c>
      <c r="D718">
        <v>0</v>
      </c>
      <c r="E718" t="s">
        <v>3</v>
      </c>
      <c r="F718" t="s">
        <v>5</v>
      </c>
      <c r="G718">
        <v>4696.5171540000001</v>
      </c>
      <c r="H718" t="s">
        <v>4</v>
      </c>
      <c r="I718">
        <v>990.16341899999998</v>
      </c>
      <c r="J718">
        <v>3706.3537350000001</v>
      </c>
      <c r="K718" t="s">
        <v>6</v>
      </c>
      <c r="L718" t="s">
        <v>7</v>
      </c>
      <c r="M718" t="s">
        <v>8</v>
      </c>
      <c r="N718" t="s">
        <v>6</v>
      </c>
      <c r="O718" t="s">
        <v>3</v>
      </c>
      <c r="P718" t="s">
        <v>3</v>
      </c>
      <c r="Q718" t="s">
        <v>3</v>
      </c>
      <c r="R718" t="s">
        <v>3</v>
      </c>
      <c r="S718" t="s">
        <v>11</v>
      </c>
      <c r="T718" t="s">
        <v>7</v>
      </c>
      <c r="U718">
        <v>0</v>
      </c>
      <c r="V718">
        <v>2</v>
      </c>
      <c r="W718">
        <v>0</v>
      </c>
      <c r="X718">
        <v>0</v>
      </c>
      <c r="Y718">
        <v>1</v>
      </c>
      <c r="Z718" t="s">
        <v>13</v>
      </c>
      <c r="AA718" t="s">
        <v>4</v>
      </c>
      <c r="AB718" t="s">
        <v>6</v>
      </c>
      <c r="AC718" t="s">
        <v>7</v>
      </c>
      <c r="AD718" t="s">
        <v>8</v>
      </c>
      <c r="AE718" t="s">
        <v>6</v>
      </c>
      <c r="AF718" t="s">
        <v>3</v>
      </c>
      <c r="AG718" t="s">
        <v>3</v>
      </c>
      <c r="AH718" t="s">
        <v>3</v>
      </c>
      <c r="AI718" t="s">
        <v>3</v>
      </c>
      <c r="AJ718" t="s">
        <v>3</v>
      </c>
      <c r="AK718" t="s">
        <v>7</v>
      </c>
      <c r="AL718">
        <v>0</v>
      </c>
      <c r="AM718">
        <v>0</v>
      </c>
      <c r="AN718">
        <v>0</v>
      </c>
      <c r="AO718">
        <v>0</v>
      </c>
      <c r="AP718">
        <v>0</v>
      </c>
      <c r="AQ718" t="s">
        <v>9</v>
      </c>
      <c r="AR718" s="1">
        <v>4.13446713E-6</v>
      </c>
      <c r="AS718" s="1">
        <v>1.7021667799999999E-28</v>
      </c>
      <c r="AT718">
        <v>30</v>
      </c>
      <c r="AU718" t="s">
        <v>10</v>
      </c>
      <c r="AV718">
        <v>0</v>
      </c>
      <c r="AW718">
        <v>2</v>
      </c>
      <c r="AX718">
        <v>0</v>
      </c>
      <c r="AY718">
        <v>0</v>
      </c>
      <c r="AZ718">
        <v>1</v>
      </c>
      <c r="BA718" t="s">
        <v>13</v>
      </c>
      <c r="BB718" t="s">
        <v>4</v>
      </c>
      <c r="BC718" t="s">
        <v>10</v>
      </c>
      <c r="BD718">
        <v>0</v>
      </c>
      <c r="BE718">
        <v>0</v>
      </c>
      <c r="BF718">
        <v>0</v>
      </c>
      <c r="BG718">
        <v>0</v>
      </c>
      <c r="BH718">
        <v>0</v>
      </c>
      <c r="BI718" t="s">
        <v>9</v>
      </c>
      <c r="BJ718">
        <v>0</v>
      </c>
      <c r="BK718">
        <v>4.1300000000000003E-6</v>
      </c>
      <c r="BL718">
        <v>0</v>
      </c>
      <c r="BM718" s="2">
        <f t="shared" si="11"/>
        <v>1.0250688014242624E-9</v>
      </c>
    </row>
    <row r="719" spans="1:65" x14ac:dyDescent="0.35">
      <c r="A719">
        <v>0</v>
      </c>
      <c r="B719" t="s">
        <v>3</v>
      </c>
      <c r="C719" t="s">
        <v>4</v>
      </c>
      <c r="D719">
        <v>0</v>
      </c>
      <c r="E719" t="s">
        <v>3</v>
      </c>
      <c r="F719" t="s">
        <v>5</v>
      </c>
      <c r="G719">
        <v>2803.3898840000002</v>
      </c>
      <c r="H719" t="s">
        <v>4</v>
      </c>
      <c r="I719">
        <v>990.16341899999998</v>
      </c>
      <c r="J719">
        <v>1813.226465</v>
      </c>
      <c r="K719" t="s">
        <v>6</v>
      </c>
      <c r="L719" t="s">
        <v>7</v>
      </c>
      <c r="M719" t="s">
        <v>8</v>
      </c>
      <c r="N719" t="s">
        <v>6</v>
      </c>
      <c r="O719" t="s">
        <v>3</v>
      </c>
      <c r="P719" t="s">
        <v>3</v>
      </c>
      <c r="Q719" t="s">
        <v>3</v>
      </c>
      <c r="R719" t="s">
        <v>3</v>
      </c>
      <c r="S719" t="s">
        <v>3</v>
      </c>
      <c r="T719" t="s">
        <v>7</v>
      </c>
      <c r="U719">
        <v>0</v>
      </c>
      <c r="V719">
        <v>0</v>
      </c>
      <c r="W719">
        <v>0</v>
      </c>
      <c r="X719">
        <v>7</v>
      </c>
      <c r="Y719">
        <v>0</v>
      </c>
      <c r="Z719" t="s">
        <v>8</v>
      </c>
      <c r="AA719" t="s">
        <v>4</v>
      </c>
      <c r="AB719" t="s">
        <v>6</v>
      </c>
      <c r="AC719" t="s">
        <v>7</v>
      </c>
      <c r="AD719" t="s">
        <v>8</v>
      </c>
      <c r="AE719" t="s">
        <v>6</v>
      </c>
      <c r="AF719" t="s">
        <v>3</v>
      </c>
      <c r="AG719" t="s">
        <v>3</v>
      </c>
      <c r="AH719" t="s">
        <v>3</v>
      </c>
      <c r="AI719" t="s">
        <v>3</v>
      </c>
      <c r="AJ719" t="s">
        <v>3</v>
      </c>
      <c r="AK719" t="s">
        <v>7</v>
      </c>
      <c r="AL719">
        <v>0</v>
      </c>
      <c r="AM719">
        <v>0</v>
      </c>
      <c r="AN719">
        <v>0</v>
      </c>
      <c r="AO719">
        <v>0</v>
      </c>
      <c r="AP719">
        <v>0</v>
      </c>
      <c r="AQ719" t="s">
        <v>9</v>
      </c>
      <c r="AR719" s="1">
        <v>4.7652170200000001E-7</v>
      </c>
      <c r="AS719" s="1">
        <v>1.1060252900000001E-30</v>
      </c>
      <c r="AT719">
        <v>29</v>
      </c>
      <c r="AU719" t="s">
        <v>10</v>
      </c>
      <c r="AV719">
        <v>0</v>
      </c>
      <c r="AW719">
        <v>0</v>
      </c>
      <c r="AX719">
        <v>0</v>
      </c>
      <c r="AY719">
        <v>7</v>
      </c>
      <c r="AZ719">
        <v>0</v>
      </c>
      <c r="BA719" t="s">
        <v>8</v>
      </c>
      <c r="BB719" t="s">
        <v>4</v>
      </c>
      <c r="BC719" t="s">
        <v>10</v>
      </c>
      <c r="BD719">
        <v>0</v>
      </c>
      <c r="BE719">
        <v>0</v>
      </c>
      <c r="BF719">
        <v>0</v>
      </c>
      <c r="BG719">
        <v>0</v>
      </c>
      <c r="BH719">
        <v>0</v>
      </c>
      <c r="BI719" t="s">
        <v>9</v>
      </c>
      <c r="BJ719">
        <v>3.4999999999999998E-7</v>
      </c>
      <c r="BK719">
        <v>0</v>
      </c>
      <c r="BL719">
        <v>-3.2000000000000001E-7</v>
      </c>
      <c r="BM719" s="2">
        <f t="shared" si="11"/>
        <v>6.6606400247408313E-12</v>
      </c>
    </row>
    <row r="720" spans="1:65" x14ac:dyDescent="0.35">
      <c r="A720">
        <v>0</v>
      </c>
      <c r="B720" t="s">
        <v>11</v>
      </c>
      <c r="C720" t="s">
        <v>4</v>
      </c>
      <c r="D720">
        <v>0</v>
      </c>
      <c r="E720" t="s">
        <v>3</v>
      </c>
      <c r="F720" t="s">
        <v>5</v>
      </c>
      <c r="G720">
        <v>4984.1115110000001</v>
      </c>
      <c r="H720" t="s">
        <v>4</v>
      </c>
      <c r="I720">
        <v>990.16341899999998</v>
      </c>
      <c r="J720">
        <v>3993.9480920000001</v>
      </c>
      <c r="K720" t="s">
        <v>6</v>
      </c>
      <c r="L720" t="s">
        <v>7</v>
      </c>
      <c r="M720" t="s">
        <v>8</v>
      </c>
      <c r="N720" t="s">
        <v>6</v>
      </c>
      <c r="O720" t="s">
        <v>3</v>
      </c>
      <c r="P720" t="s">
        <v>3</v>
      </c>
      <c r="Q720" t="s">
        <v>3</v>
      </c>
      <c r="R720" t="s">
        <v>3</v>
      </c>
      <c r="S720" t="s">
        <v>11</v>
      </c>
      <c r="T720" t="s">
        <v>7</v>
      </c>
      <c r="U720">
        <v>2</v>
      </c>
      <c r="V720">
        <v>0</v>
      </c>
      <c r="W720">
        <v>0</v>
      </c>
      <c r="X720">
        <v>0</v>
      </c>
      <c r="Y720">
        <v>2</v>
      </c>
      <c r="Z720" t="s">
        <v>14</v>
      </c>
      <c r="AA720" t="s">
        <v>4</v>
      </c>
      <c r="AB720" t="s">
        <v>6</v>
      </c>
      <c r="AC720" t="s">
        <v>7</v>
      </c>
      <c r="AD720" t="s">
        <v>8</v>
      </c>
      <c r="AE720" t="s">
        <v>6</v>
      </c>
      <c r="AF720" t="s">
        <v>3</v>
      </c>
      <c r="AG720" t="s">
        <v>3</v>
      </c>
      <c r="AH720" t="s">
        <v>3</v>
      </c>
      <c r="AI720" t="s">
        <v>3</v>
      </c>
      <c r="AJ720" t="s">
        <v>3</v>
      </c>
      <c r="AK720" t="s">
        <v>7</v>
      </c>
      <c r="AL720">
        <v>0</v>
      </c>
      <c r="AM720">
        <v>0</v>
      </c>
      <c r="AN720">
        <v>0</v>
      </c>
      <c r="AO720">
        <v>0</v>
      </c>
      <c r="AP720">
        <v>0</v>
      </c>
      <c r="AQ720" t="s">
        <v>9</v>
      </c>
      <c r="AR720" s="1">
        <v>1.73651817E-5</v>
      </c>
      <c r="AS720" s="1">
        <v>3.2357669799999997E-27</v>
      </c>
      <c r="AT720">
        <v>31</v>
      </c>
      <c r="AU720" t="s">
        <v>10</v>
      </c>
      <c r="AV720">
        <v>2</v>
      </c>
      <c r="AW720">
        <v>0</v>
      </c>
      <c r="AX720">
        <v>0</v>
      </c>
      <c r="AY720">
        <v>0</v>
      </c>
      <c r="AZ720">
        <v>2</v>
      </c>
      <c r="BA720" t="s">
        <v>14</v>
      </c>
      <c r="BB720" t="s">
        <v>4</v>
      </c>
      <c r="BC720" t="s">
        <v>10</v>
      </c>
      <c r="BD720">
        <v>0</v>
      </c>
      <c r="BE720">
        <v>0</v>
      </c>
      <c r="BF720">
        <v>0</v>
      </c>
      <c r="BG720">
        <v>0</v>
      </c>
      <c r="BH720">
        <v>0</v>
      </c>
      <c r="BI720" t="s">
        <v>9</v>
      </c>
      <c r="BJ720">
        <v>0</v>
      </c>
      <c r="BK720">
        <v>1.7370000000000001E-5</v>
      </c>
      <c r="BL720">
        <v>0</v>
      </c>
      <c r="BM720" s="2">
        <f t="shared" si="11"/>
        <v>1.9486244349550782E-8</v>
      </c>
    </row>
    <row r="721" spans="1:65" x14ac:dyDescent="0.35">
      <c r="A721">
        <v>0</v>
      </c>
      <c r="B721" t="s">
        <v>3</v>
      </c>
      <c r="C721" t="s">
        <v>4</v>
      </c>
      <c r="D721">
        <v>0</v>
      </c>
      <c r="E721" t="s">
        <v>3</v>
      </c>
      <c r="F721" t="s">
        <v>5</v>
      </c>
      <c r="G721">
        <v>4924.715612</v>
      </c>
      <c r="H721" t="s">
        <v>4</v>
      </c>
      <c r="I721">
        <v>990.16341899999998</v>
      </c>
      <c r="J721">
        <v>3934.552193</v>
      </c>
      <c r="K721" t="s">
        <v>6</v>
      </c>
      <c r="L721" t="s">
        <v>7</v>
      </c>
      <c r="M721" t="s">
        <v>8</v>
      </c>
      <c r="N721" t="s">
        <v>6</v>
      </c>
      <c r="O721" t="s">
        <v>3</v>
      </c>
      <c r="P721" t="s">
        <v>3</v>
      </c>
      <c r="Q721" t="s">
        <v>3</v>
      </c>
      <c r="R721" t="s">
        <v>3</v>
      </c>
      <c r="S721" t="s">
        <v>3</v>
      </c>
      <c r="T721" t="s">
        <v>7</v>
      </c>
      <c r="U721">
        <v>1</v>
      </c>
      <c r="V721">
        <v>1</v>
      </c>
      <c r="W721">
        <v>0</v>
      </c>
      <c r="X721">
        <v>2</v>
      </c>
      <c r="Y721">
        <v>0</v>
      </c>
      <c r="Z721" t="s">
        <v>21</v>
      </c>
      <c r="AA721" t="s">
        <v>4</v>
      </c>
      <c r="AB721" t="s">
        <v>6</v>
      </c>
      <c r="AC721" t="s">
        <v>7</v>
      </c>
      <c r="AD721" t="s">
        <v>8</v>
      </c>
      <c r="AE721" t="s">
        <v>6</v>
      </c>
      <c r="AF721" t="s">
        <v>3</v>
      </c>
      <c r="AG721" t="s">
        <v>3</v>
      </c>
      <c r="AH721" t="s">
        <v>3</v>
      </c>
      <c r="AI721" t="s">
        <v>3</v>
      </c>
      <c r="AJ721" t="s">
        <v>3</v>
      </c>
      <c r="AK721" t="s">
        <v>7</v>
      </c>
      <c r="AL721">
        <v>0</v>
      </c>
      <c r="AM721">
        <v>0</v>
      </c>
      <c r="AN721">
        <v>0</v>
      </c>
      <c r="AO721">
        <v>0</v>
      </c>
      <c r="AP721">
        <v>0</v>
      </c>
      <c r="AQ721" t="s">
        <v>9</v>
      </c>
      <c r="AR721" s="1">
        <v>8.1291117999999994E-6</v>
      </c>
      <c r="AS721" s="1">
        <v>6.98550268E-28</v>
      </c>
      <c r="AT721">
        <v>31</v>
      </c>
      <c r="AU721" t="s">
        <v>10</v>
      </c>
      <c r="AV721">
        <v>1</v>
      </c>
      <c r="AW721">
        <v>1</v>
      </c>
      <c r="AX721">
        <v>0</v>
      </c>
      <c r="AY721">
        <v>2</v>
      </c>
      <c r="AZ721">
        <v>0</v>
      </c>
      <c r="BA721" t="s">
        <v>21</v>
      </c>
      <c r="BB721" t="s">
        <v>4</v>
      </c>
      <c r="BC721" t="s">
        <v>10</v>
      </c>
      <c r="BD721">
        <v>0</v>
      </c>
      <c r="BE721">
        <v>0</v>
      </c>
      <c r="BF721">
        <v>0</v>
      </c>
      <c r="BG721">
        <v>0</v>
      </c>
      <c r="BH721">
        <v>0</v>
      </c>
      <c r="BI721" t="s">
        <v>9</v>
      </c>
      <c r="BJ721">
        <v>-2.2800000000000002E-6</v>
      </c>
      <c r="BK721">
        <v>0</v>
      </c>
      <c r="BL721">
        <v>7.7999999999999999E-6</v>
      </c>
      <c r="BM721" s="2">
        <f t="shared" si="11"/>
        <v>4.2067680697737349E-9</v>
      </c>
    </row>
    <row r="722" spans="1:65" x14ac:dyDescent="0.35">
      <c r="A722">
        <v>0</v>
      </c>
      <c r="B722" t="s">
        <v>3</v>
      </c>
      <c r="C722" t="s">
        <v>4</v>
      </c>
      <c r="D722">
        <v>0</v>
      </c>
      <c r="E722" t="s">
        <v>3</v>
      </c>
      <c r="F722" t="s">
        <v>5</v>
      </c>
      <c r="G722">
        <v>3475.8281849999998</v>
      </c>
      <c r="H722" t="s">
        <v>4</v>
      </c>
      <c r="I722">
        <v>990.16341899999998</v>
      </c>
      <c r="J722">
        <v>2485.6647659999999</v>
      </c>
      <c r="K722" t="s">
        <v>6</v>
      </c>
      <c r="L722" t="s">
        <v>7</v>
      </c>
      <c r="M722" t="s">
        <v>8</v>
      </c>
      <c r="N722" t="s">
        <v>6</v>
      </c>
      <c r="O722" t="s">
        <v>3</v>
      </c>
      <c r="P722" t="s">
        <v>3</v>
      </c>
      <c r="Q722" t="s">
        <v>3</v>
      </c>
      <c r="R722" t="s">
        <v>3</v>
      </c>
      <c r="S722" t="s">
        <v>3</v>
      </c>
      <c r="T722" t="s">
        <v>7</v>
      </c>
      <c r="U722">
        <v>0</v>
      </c>
      <c r="V722">
        <v>0</v>
      </c>
      <c r="W722">
        <v>0</v>
      </c>
      <c r="X722">
        <v>1</v>
      </c>
      <c r="Y722">
        <v>2</v>
      </c>
      <c r="Z722" t="s">
        <v>15</v>
      </c>
      <c r="AA722" t="s">
        <v>4</v>
      </c>
      <c r="AB722" t="s">
        <v>6</v>
      </c>
      <c r="AC722" t="s">
        <v>7</v>
      </c>
      <c r="AD722" t="s">
        <v>8</v>
      </c>
      <c r="AE722" t="s">
        <v>6</v>
      </c>
      <c r="AF722" t="s">
        <v>3</v>
      </c>
      <c r="AG722" t="s">
        <v>3</v>
      </c>
      <c r="AH722" t="s">
        <v>3</v>
      </c>
      <c r="AI722" t="s">
        <v>3</v>
      </c>
      <c r="AJ722" t="s">
        <v>3</v>
      </c>
      <c r="AK722" t="s">
        <v>7</v>
      </c>
      <c r="AL722">
        <v>0</v>
      </c>
      <c r="AM722">
        <v>0</v>
      </c>
      <c r="AN722">
        <v>0</v>
      </c>
      <c r="AO722">
        <v>0</v>
      </c>
      <c r="AP722">
        <v>0</v>
      </c>
      <c r="AQ722" t="s">
        <v>9</v>
      </c>
      <c r="AR722" s="1">
        <v>1.1498493699999999E-3</v>
      </c>
      <c r="AS722" s="1">
        <v>8.8295375899999993E-24</v>
      </c>
      <c r="AT722">
        <v>34</v>
      </c>
      <c r="AU722" t="s">
        <v>10</v>
      </c>
      <c r="AV722">
        <v>0</v>
      </c>
      <c r="AW722">
        <v>0</v>
      </c>
      <c r="AX722">
        <v>0</v>
      </c>
      <c r="AY722">
        <v>1</v>
      </c>
      <c r="AZ722">
        <v>2</v>
      </c>
      <c r="BA722" t="s">
        <v>15</v>
      </c>
      <c r="BB722" t="s">
        <v>4</v>
      </c>
      <c r="BC722" t="s">
        <v>10</v>
      </c>
      <c r="BD722">
        <v>0</v>
      </c>
      <c r="BE722">
        <v>0</v>
      </c>
      <c r="BF722">
        <v>0</v>
      </c>
      <c r="BG722">
        <v>0</v>
      </c>
      <c r="BH722">
        <v>0</v>
      </c>
      <c r="BI722" t="s">
        <v>9</v>
      </c>
      <c r="BJ722">
        <v>-1.1498299999999999E-3</v>
      </c>
      <c r="BK722">
        <v>0</v>
      </c>
      <c r="BL722">
        <v>7.3599999999999998E-6</v>
      </c>
      <c r="BM722" s="2">
        <f t="shared" si="11"/>
        <v>5.3172718565872662E-5</v>
      </c>
    </row>
    <row r="723" spans="1:65" x14ac:dyDescent="0.35">
      <c r="A723">
        <v>0</v>
      </c>
      <c r="B723" t="s">
        <v>11</v>
      </c>
      <c r="C723" t="s">
        <v>4</v>
      </c>
      <c r="D723">
        <v>0</v>
      </c>
      <c r="E723" t="s">
        <v>3</v>
      </c>
      <c r="F723" t="s">
        <v>5</v>
      </c>
      <c r="G723">
        <v>4338.049567</v>
      </c>
      <c r="H723" t="s">
        <v>4</v>
      </c>
      <c r="I723">
        <v>990.16341899999998</v>
      </c>
      <c r="J723">
        <v>3347.886148</v>
      </c>
      <c r="K723" t="s">
        <v>6</v>
      </c>
      <c r="L723" t="s">
        <v>7</v>
      </c>
      <c r="M723" t="s">
        <v>8</v>
      </c>
      <c r="N723" t="s">
        <v>6</v>
      </c>
      <c r="O723" t="s">
        <v>3</v>
      </c>
      <c r="P723" t="s">
        <v>3</v>
      </c>
      <c r="Q723" t="s">
        <v>3</v>
      </c>
      <c r="R723" t="s">
        <v>3</v>
      </c>
      <c r="S723" t="s">
        <v>11</v>
      </c>
      <c r="T723" t="s">
        <v>7</v>
      </c>
      <c r="U723">
        <v>0</v>
      </c>
      <c r="V723">
        <v>0</v>
      </c>
      <c r="W723">
        <v>0</v>
      </c>
      <c r="X723">
        <v>3</v>
      </c>
      <c r="Y723">
        <v>0</v>
      </c>
      <c r="Z723" t="s">
        <v>16</v>
      </c>
      <c r="AA723" t="s">
        <v>4</v>
      </c>
      <c r="AB723" t="s">
        <v>6</v>
      </c>
      <c r="AC723" t="s">
        <v>7</v>
      </c>
      <c r="AD723" t="s">
        <v>8</v>
      </c>
      <c r="AE723" t="s">
        <v>6</v>
      </c>
      <c r="AF723" t="s">
        <v>3</v>
      </c>
      <c r="AG723" t="s">
        <v>3</v>
      </c>
      <c r="AH723" t="s">
        <v>3</v>
      </c>
      <c r="AI723" t="s">
        <v>3</v>
      </c>
      <c r="AJ723" t="s">
        <v>3</v>
      </c>
      <c r="AK723" t="s">
        <v>7</v>
      </c>
      <c r="AL723">
        <v>0</v>
      </c>
      <c r="AM723">
        <v>0</v>
      </c>
      <c r="AN723">
        <v>0</v>
      </c>
      <c r="AO723">
        <v>0</v>
      </c>
      <c r="AP723">
        <v>0</v>
      </c>
      <c r="AQ723" t="s">
        <v>9</v>
      </c>
      <c r="AR723" s="1">
        <v>8.3068578800000006E-6</v>
      </c>
      <c r="AS723" s="1">
        <v>6.2066943999999997E-28</v>
      </c>
      <c r="AT723">
        <v>30</v>
      </c>
      <c r="AU723" t="s">
        <v>10</v>
      </c>
      <c r="AV723">
        <v>0</v>
      </c>
      <c r="AW723">
        <v>0</v>
      </c>
      <c r="AX723">
        <v>0</v>
      </c>
      <c r="AY723">
        <v>3</v>
      </c>
      <c r="AZ723">
        <v>0</v>
      </c>
      <c r="BA723" t="s">
        <v>16</v>
      </c>
      <c r="BB723" t="s">
        <v>4</v>
      </c>
      <c r="BC723" t="s">
        <v>10</v>
      </c>
      <c r="BD723">
        <v>0</v>
      </c>
      <c r="BE723">
        <v>0</v>
      </c>
      <c r="BF723">
        <v>0</v>
      </c>
      <c r="BG723">
        <v>0</v>
      </c>
      <c r="BH723">
        <v>0</v>
      </c>
      <c r="BI723" t="s">
        <v>9</v>
      </c>
      <c r="BJ723">
        <v>0</v>
      </c>
      <c r="BK723">
        <v>8.3100000000000001E-6</v>
      </c>
      <c r="BL723">
        <v>0</v>
      </c>
      <c r="BM723" s="2">
        <f t="shared" si="11"/>
        <v>3.7377587579371513E-9</v>
      </c>
    </row>
    <row r="724" spans="1:65" x14ac:dyDescent="0.35">
      <c r="A724">
        <v>0</v>
      </c>
      <c r="B724" t="s">
        <v>11</v>
      </c>
      <c r="C724" t="s">
        <v>4</v>
      </c>
      <c r="D724">
        <v>0</v>
      </c>
      <c r="E724" t="s">
        <v>3</v>
      </c>
      <c r="F724" t="s">
        <v>5</v>
      </c>
      <c r="G724">
        <v>4862.1417789999996</v>
      </c>
      <c r="H724" t="s">
        <v>4</v>
      </c>
      <c r="I724">
        <v>990.16341899999998</v>
      </c>
      <c r="J724">
        <v>3871.9783600000001</v>
      </c>
      <c r="K724" t="s">
        <v>6</v>
      </c>
      <c r="L724" t="s">
        <v>7</v>
      </c>
      <c r="M724" t="s">
        <v>8</v>
      </c>
      <c r="N724" t="s">
        <v>6</v>
      </c>
      <c r="O724" t="s">
        <v>3</v>
      </c>
      <c r="P724" t="s">
        <v>3</v>
      </c>
      <c r="Q724" t="s">
        <v>3</v>
      </c>
      <c r="R724" t="s">
        <v>3</v>
      </c>
      <c r="S724" t="s">
        <v>11</v>
      </c>
      <c r="T724" t="s">
        <v>7</v>
      </c>
      <c r="U724">
        <v>0</v>
      </c>
      <c r="V724">
        <v>2</v>
      </c>
      <c r="W724">
        <v>0</v>
      </c>
      <c r="X724">
        <v>2</v>
      </c>
      <c r="Y724">
        <v>0</v>
      </c>
      <c r="Z724" t="s">
        <v>13</v>
      </c>
      <c r="AA724" t="s">
        <v>4</v>
      </c>
      <c r="AB724" t="s">
        <v>6</v>
      </c>
      <c r="AC724" t="s">
        <v>7</v>
      </c>
      <c r="AD724" t="s">
        <v>8</v>
      </c>
      <c r="AE724" t="s">
        <v>6</v>
      </c>
      <c r="AF724" t="s">
        <v>3</v>
      </c>
      <c r="AG724" t="s">
        <v>3</v>
      </c>
      <c r="AH724" t="s">
        <v>3</v>
      </c>
      <c r="AI724" t="s">
        <v>3</v>
      </c>
      <c r="AJ724" t="s">
        <v>3</v>
      </c>
      <c r="AK724" t="s">
        <v>7</v>
      </c>
      <c r="AL724">
        <v>0</v>
      </c>
      <c r="AM724">
        <v>0</v>
      </c>
      <c r="AN724">
        <v>0</v>
      </c>
      <c r="AO724">
        <v>0</v>
      </c>
      <c r="AP724">
        <v>0</v>
      </c>
      <c r="AQ724" t="s">
        <v>9</v>
      </c>
      <c r="AR724" s="1">
        <v>1.03870878E-5</v>
      </c>
      <c r="AS724" s="1">
        <v>1.12237164E-27</v>
      </c>
      <c r="AT724">
        <v>31</v>
      </c>
      <c r="AU724" t="s">
        <v>10</v>
      </c>
      <c r="AV724">
        <v>0</v>
      </c>
      <c r="AW724">
        <v>2</v>
      </c>
      <c r="AX724">
        <v>0</v>
      </c>
      <c r="AY724">
        <v>2</v>
      </c>
      <c r="AZ724">
        <v>0</v>
      </c>
      <c r="BA724" t="s">
        <v>13</v>
      </c>
      <c r="BB724" t="s">
        <v>4</v>
      </c>
      <c r="BC724" t="s">
        <v>10</v>
      </c>
      <c r="BD724">
        <v>0</v>
      </c>
      <c r="BE724">
        <v>0</v>
      </c>
      <c r="BF724">
        <v>0</v>
      </c>
      <c r="BG724">
        <v>0</v>
      </c>
      <c r="BH724">
        <v>0</v>
      </c>
      <c r="BI724" t="s">
        <v>9</v>
      </c>
      <c r="BJ724">
        <v>0</v>
      </c>
      <c r="BK724">
        <v>1.039E-5</v>
      </c>
      <c r="BL724">
        <v>0</v>
      </c>
      <c r="BM724" s="2">
        <f t="shared" si="11"/>
        <v>6.7590800460069107E-9</v>
      </c>
    </row>
    <row r="725" spans="1:65" x14ac:dyDescent="0.35">
      <c r="A725">
        <v>0</v>
      </c>
      <c r="B725" t="s">
        <v>11</v>
      </c>
      <c r="C725" t="s">
        <v>4</v>
      </c>
      <c r="D725">
        <v>0</v>
      </c>
      <c r="E725" t="s">
        <v>3</v>
      </c>
      <c r="F725" t="s">
        <v>5</v>
      </c>
      <c r="G725">
        <v>4442.839148</v>
      </c>
      <c r="H725" t="s">
        <v>4</v>
      </c>
      <c r="I725">
        <v>990.16341899999998</v>
      </c>
      <c r="J725">
        <v>3452.675729</v>
      </c>
      <c r="K725" t="s">
        <v>6</v>
      </c>
      <c r="L725" t="s">
        <v>7</v>
      </c>
      <c r="M725" t="s">
        <v>8</v>
      </c>
      <c r="N725" t="s">
        <v>6</v>
      </c>
      <c r="O725" t="s">
        <v>3</v>
      </c>
      <c r="P725" t="s">
        <v>3</v>
      </c>
      <c r="Q725" t="s">
        <v>3</v>
      </c>
      <c r="R725" t="s">
        <v>3</v>
      </c>
      <c r="S725" t="s">
        <v>11</v>
      </c>
      <c r="T725" t="s">
        <v>7</v>
      </c>
      <c r="U725">
        <v>1</v>
      </c>
      <c r="V725">
        <v>0</v>
      </c>
      <c r="W725">
        <v>0</v>
      </c>
      <c r="X725">
        <v>0</v>
      </c>
      <c r="Y725">
        <v>0</v>
      </c>
      <c r="Z725" t="s">
        <v>28</v>
      </c>
      <c r="AA725" t="s">
        <v>4</v>
      </c>
      <c r="AB725" t="s">
        <v>6</v>
      </c>
      <c r="AC725" t="s">
        <v>7</v>
      </c>
      <c r="AD725" t="s">
        <v>8</v>
      </c>
      <c r="AE725" t="s">
        <v>6</v>
      </c>
      <c r="AF725" t="s">
        <v>3</v>
      </c>
      <c r="AG725" t="s">
        <v>3</v>
      </c>
      <c r="AH725" t="s">
        <v>3</v>
      </c>
      <c r="AI725" t="s">
        <v>3</v>
      </c>
      <c r="AJ725" t="s">
        <v>3</v>
      </c>
      <c r="AK725" t="s">
        <v>7</v>
      </c>
      <c r="AL725">
        <v>0</v>
      </c>
      <c r="AM725">
        <v>0</v>
      </c>
      <c r="AN725">
        <v>0</v>
      </c>
      <c r="AO725">
        <v>0</v>
      </c>
      <c r="AP725">
        <v>0</v>
      </c>
      <c r="AQ725" t="s">
        <v>9</v>
      </c>
      <c r="AR725" s="1">
        <v>1.5926220200000001E-5</v>
      </c>
      <c r="AS725" s="1">
        <v>2.3528669E-27</v>
      </c>
      <c r="AT725">
        <v>16</v>
      </c>
      <c r="AU725" t="s">
        <v>10</v>
      </c>
      <c r="AV725">
        <v>1</v>
      </c>
      <c r="AW725">
        <v>0</v>
      </c>
      <c r="AX725">
        <v>0</v>
      </c>
      <c r="AY725">
        <v>0</v>
      </c>
      <c r="AZ725">
        <v>0</v>
      </c>
      <c r="BA725" t="s">
        <v>28</v>
      </c>
      <c r="BB725" t="s">
        <v>4</v>
      </c>
      <c r="BC725" t="s">
        <v>10</v>
      </c>
      <c r="BD725">
        <v>0</v>
      </c>
      <c r="BE725">
        <v>0</v>
      </c>
      <c r="BF725">
        <v>0</v>
      </c>
      <c r="BG725">
        <v>0</v>
      </c>
      <c r="BH725">
        <v>0</v>
      </c>
      <c r="BI725" t="s">
        <v>9</v>
      </c>
      <c r="BJ725">
        <v>0</v>
      </c>
      <c r="BK725">
        <v>-1.5930000000000002E-5</v>
      </c>
      <c r="BL725">
        <v>0</v>
      </c>
      <c r="BM725" s="2">
        <f t="shared" si="11"/>
        <v>1.4169295755459518E-8</v>
      </c>
    </row>
    <row r="726" spans="1:65" x14ac:dyDescent="0.35">
      <c r="A726">
        <v>0</v>
      </c>
      <c r="B726" t="s">
        <v>3</v>
      </c>
      <c r="C726" t="s">
        <v>4</v>
      </c>
      <c r="D726">
        <v>0</v>
      </c>
      <c r="E726" t="s">
        <v>3</v>
      </c>
      <c r="F726" t="s">
        <v>5</v>
      </c>
      <c r="G726">
        <v>3305.854104</v>
      </c>
      <c r="H726" t="s">
        <v>4</v>
      </c>
      <c r="I726">
        <v>990.16341899999998</v>
      </c>
      <c r="J726">
        <v>2315.690685</v>
      </c>
      <c r="K726" t="s">
        <v>6</v>
      </c>
      <c r="L726" t="s">
        <v>7</v>
      </c>
      <c r="M726" t="s">
        <v>8</v>
      </c>
      <c r="N726" t="s">
        <v>6</v>
      </c>
      <c r="O726" t="s">
        <v>3</v>
      </c>
      <c r="P726" t="s">
        <v>3</v>
      </c>
      <c r="Q726" t="s">
        <v>3</v>
      </c>
      <c r="R726" t="s">
        <v>3</v>
      </c>
      <c r="S726" t="s">
        <v>3</v>
      </c>
      <c r="T726" t="s">
        <v>7</v>
      </c>
      <c r="U726">
        <v>3</v>
      </c>
      <c r="V726">
        <v>0</v>
      </c>
      <c r="W726">
        <v>0</v>
      </c>
      <c r="X726">
        <v>2</v>
      </c>
      <c r="Y726">
        <v>0</v>
      </c>
      <c r="Z726" t="s">
        <v>8</v>
      </c>
      <c r="AA726" t="s">
        <v>4</v>
      </c>
      <c r="AB726" t="s">
        <v>6</v>
      </c>
      <c r="AC726" t="s">
        <v>7</v>
      </c>
      <c r="AD726" t="s">
        <v>8</v>
      </c>
      <c r="AE726" t="s">
        <v>6</v>
      </c>
      <c r="AF726" t="s">
        <v>3</v>
      </c>
      <c r="AG726" t="s">
        <v>3</v>
      </c>
      <c r="AH726" t="s">
        <v>3</v>
      </c>
      <c r="AI726" t="s">
        <v>3</v>
      </c>
      <c r="AJ726" t="s">
        <v>3</v>
      </c>
      <c r="AK726" t="s">
        <v>7</v>
      </c>
      <c r="AL726">
        <v>0</v>
      </c>
      <c r="AM726">
        <v>0</v>
      </c>
      <c r="AN726">
        <v>0</v>
      </c>
      <c r="AO726">
        <v>0</v>
      </c>
      <c r="AP726">
        <v>0</v>
      </c>
      <c r="AQ726" t="s">
        <v>9</v>
      </c>
      <c r="AR726" s="1">
        <v>2.49269866E-4</v>
      </c>
      <c r="AS726" s="1">
        <v>3.8657184300000001E-25</v>
      </c>
      <c r="AT726">
        <v>34</v>
      </c>
      <c r="AU726" t="s">
        <v>10</v>
      </c>
      <c r="AV726">
        <v>3</v>
      </c>
      <c r="AW726">
        <v>0</v>
      </c>
      <c r="AX726">
        <v>0</v>
      </c>
      <c r="AY726">
        <v>2</v>
      </c>
      <c r="AZ726">
        <v>0</v>
      </c>
      <c r="BA726" t="s">
        <v>8</v>
      </c>
      <c r="BB726" t="s">
        <v>4</v>
      </c>
      <c r="BC726" t="s">
        <v>10</v>
      </c>
      <c r="BD726">
        <v>0</v>
      </c>
      <c r="BE726">
        <v>0</v>
      </c>
      <c r="BF726">
        <v>0</v>
      </c>
      <c r="BG726">
        <v>0</v>
      </c>
      <c r="BH726">
        <v>0</v>
      </c>
      <c r="BI726" t="s">
        <v>9</v>
      </c>
      <c r="BJ726">
        <v>2.4221999999999999E-4</v>
      </c>
      <c r="BK726">
        <v>0</v>
      </c>
      <c r="BL726">
        <v>-5.8869999999999997E-5</v>
      </c>
      <c r="BM726" s="2">
        <f t="shared" si="11"/>
        <v>2.327990067861494E-6</v>
      </c>
    </row>
    <row r="727" spans="1:65" x14ac:dyDescent="0.35">
      <c r="A727">
        <v>0</v>
      </c>
      <c r="B727" t="s">
        <v>11</v>
      </c>
      <c r="C727" t="s">
        <v>4</v>
      </c>
      <c r="D727">
        <v>0</v>
      </c>
      <c r="E727" t="s">
        <v>3</v>
      </c>
      <c r="F727" t="s">
        <v>5</v>
      </c>
      <c r="G727">
        <v>4758.5151900000001</v>
      </c>
      <c r="H727" t="s">
        <v>4</v>
      </c>
      <c r="I727">
        <v>990.16341899999998</v>
      </c>
      <c r="J727">
        <v>3768.3517710000001</v>
      </c>
      <c r="K727" t="s">
        <v>6</v>
      </c>
      <c r="L727" t="s">
        <v>7</v>
      </c>
      <c r="M727" t="s">
        <v>8</v>
      </c>
      <c r="N727" t="s">
        <v>6</v>
      </c>
      <c r="O727" t="s">
        <v>3</v>
      </c>
      <c r="P727" t="s">
        <v>3</v>
      </c>
      <c r="Q727" t="s">
        <v>3</v>
      </c>
      <c r="R727" t="s">
        <v>3</v>
      </c>
      <c r="S727" t="s">
        <v>11</v>
      </c>
      <c r="T727" t="s">
        <v>7</v>
      </c>
      <c r="U727">
        <v>1</v>
      </c>
      <c r="V727">
        <v>1</v>
      </c>
      <c r="W727">
        <v>0</v>
      </c>
      <c r="X727">
        <v>5</v>
      </c>
      <c r="Y727">
        <v>0</v>
      </c>
      <c r="Z727" t="s">
        <v>18</v>
      </c>
      <c r="AA727" t="s">
        <v>4</v>
      </c>
      <c r="AB727" t="s">
        <v>6</v>
      </c>
      <c r="AC727" t="s">
        <v>7</v>
      </c>
      <c r="AD727" t="s">
        <v>8</v>
      </c>
      <c r="AE727" t="s">
        <v>6</v>
      </c>
      <c r="AF727" t="s">
        <v>3</v>
      </c>
      <c r="AG727" t="s">
        <v>3</v>
      </c>
      <c r="AH727" t="s">
        <v>3</v>
      </c>
      <c r="AI727" t="s">
        <v>3</v>
      </c>
      <c r="AJ727" t="s">
        <v>3</v>
      </c>
      <c r="AK727" t="s">
        <v>7</v>
      </c>
      <c r="AL727">
        <v>0</v>
      </c>
      <c r="AM727">
        <v>0</v>
      </c>
      <c r="AN727">
        <v>0</v>
      </c>
      <c r="AO727">
        <v>0</v>
      </c>
      <c r="AP727">
        <v>0</v>
      </c>
      <c r="AQ727" t="s">
        <v>9</v>
      </c>
      <c r="AR727" s="1">
        <v>2.9735172999999997E-7</v>
      </c>
      <c r="AS727" s="1">
        <v>8.95176211E-31</v>
      </c>
      <c r="AT727">
        <v>30</v>
      </c>
      <c r="AU727" t="s">
        <v>10</v>
      </c>
      <c r="AV727">
        <v>1</v>
      </c>
      <c r="AW727">
        <v>1</v>
      </c>
      <c r="AX727">
        <v>0</v>
      </c>
      <c r="AY727">
        <v>5</v>
      </c>
      <c r="AZ727">
        <v>0</v>
      </c>
      <c r="BA727" t="s">
        <v>18</v>
      </c>
      <c r="BB727" t="s">
        <v>4</v>
      </c>
      <c r="BC727" t="s">
        <v>10</v>
      </c>
      <c r="BD727">
        <v>0</v>
      </c>
      <c r="BE727">
        <v>0</v>
      </c>
      <c r="BF727">
        <v>0</v>
      </c>
      <c r="BG727">
        <v>0</v>
      </c>
      <c r="BH727">
        <v>0</v>
      </c>
      <c r="BI727" t="s">
        <v>9</v>
      </c>
      <c r="BJ727">
        <v>0</v>
      </c>
      <c r="BK727">
        <v>-2.9999999999999999E-7</v>
      </c>
      <c r="BL727">
        <v>0</v>
      </c>
      <c r="BM727" s="2">
        <f t="shared" si="11"/>
        <v>5.3908771834525089E-12</v>
      </c>
    </row>
    <row r="728" spans="1:65" x14ac:dyDescent="0.35">
      <c r="A728">
        <v>0</v>
      </c>
      <c r="B728" t="s">
        <v>3</v>
      </c>
      <c r="C728" t="s">
        <v>4</v>
      </c>
      <c r="D728">
        <v>0</v>
      </c>
      <c r="E728" t="s">
        <v>3</v>
      </c>
      <c r="F728" t="s">
        <v>5</v>
      </c>
      <c r="G728">
        <v>2030.6334079999999</v>
      </c>
      <c r="H728" t="s">
        <v>4</v>
      </c>
      <c r="I728">
        <v>990.16341899999998</v>
      </c>
      <c r="J728">
        <v>1040.4699889999999</v>
      </c>
      <c r="K728" t="s">
        <v>6</v>
      </c>
      <c r="L728" t="s">
        <v>7</v>
      </c>
      <c r="M728" t="s">
        <v>8</v>
      </c>
      <c r="N728" t="s">
        <v>6</v>
      </c>
      <c r="O728" t="s">
        <v>3</v>
      </c>
      <c r="P728" t="s">
        <v>3</v>
      </c>
      <c r="Q728" t="s">
        <v>3</v>
      </c>
      <c r="R728" t="s">
        <v>3</v>
      </c>
      <c r="S728" t="s">
        <v>3</v>
      </c>
      <c r="T728" t="s">
        <v>7</v>
      </c>
      <c r="U728">
        <v>1</v>
      </c>
      <c r="V728">
        <v>0</v>
      </c>
      <c r="W728">
        <v>0</v>
      </c>
      <c r="X728">
        <v>3</v>
      </c>
      <c r="Y728">
        <v>0</v>
      </c>
      <c r="Z728" t="s">
        <v>8</v>
      </c>
      <c r="AA728" t="s">
        <v>4</v>
      </c>
      <c r="AB728" t="s">
        <v>6</v>
      </c>
      <c r="AC728" t="s">
        <v>7</v>
      </c>
      <c r="AD728" t="s">
        <v>8</v>
      </c>
      <c r="AE728" t="s">
        <v>6</v>
      </c>
      <c r="AF728" t="s">
        <v>3</v>
      </c>
      <c r="AG728" t="s">
        <v>3</v>
      </c>
      <c r="AH728" t="s">
        <v>3</v>
      </c>
      <c r="AI728" t="s">
        <v>3</v>
      </c>
      <c r="AJ728" t="s">
        <v>3</v>
      </c>
      <c r="AK728" t="s">
        <v>7</v>
      </c>
      <c r="AL728">
        <v>0</v>
      </c>
      <c r="AM728">
        <v>0</v>
      </c>
      <c r="AN728">
        <v>0</v>
      </c>
      <c r="AO728">
        <v>0</v>
      </c>
      <c r="AP728">
        <v>0</v>
      </c>
      <c r="AQ728" t="s">
        <v>9</v>
      </c>
      <c r="AR728" s="1">
        <v>1.07737214E-6</v>
      </c>
      <c r="AS728" s="1">
        <v>3.22336422E-30</v>
      </c>
      <c r="AT728">
        <v>35</v>
      </c>
      <c r="AU728" t="s">
        <v>10</v>
      </c>
      <c r="AV728">
        <v>1</v>
      </c>
      <c r="AW728">
        <v>0</v>
      </c>
      <c r="AX728">
        <v>0</v>
      </c>
      <c r="AY728">
        <v>3</v>
      </c>
      <c r="AZ728">
        <v>0</v>
      </c>
      <c r="BA728" t="s">
        <v>8</v>
      </c>
      <c r="BB728" t="s">
        <v>4</v>
      </c>
      <c r="BC728" t="s">
        <v>10</v>
      </c>
      <c r="BD728">
        <v>0</v>
      </c>
      <c r="BE728">
        <v>0</v>
      </c>
      <c r="BF728">
        <v>0</v>
      </c>
      <c r="BG728">
        <v>0</v>
      </c>
      <c r="BH728">
        <v>0</v>
      </c>
      <c r="BI728" t="s">
        <v>9</v>
      </c>
      <c r="BJ728">
        <v>-4.7999999999999996E-7</v>
      </c>
      <c r="BK728">
        <v>0</v>
      </c>
      <c r="BL728">
        <v>-9.5999999999999991E-7</v>
      </c>
      <c r="BM728" s="2">
        <f t="shared" si="11"/>
        <v>1.9411553182522177E-11</v>
      </c>
    </row>
    <row r="729" spans="1:65" x14ac:dyDescent="0.35">
      <c r="A729">
        <v>0</v>
      </c>
      <c r="B729" t="s">
        <v>3</v>
      </c>
      <c r="C729" t="s">
        <v>4</v>
      </c>
      <c r="D729">
        <v>0</v>
      </c>
      <c r="E729" t="s">
        <v>3</v>
      </c>
      <c r="F729" t="s">
        <v>5</v>
      </c>
      <c r="G729">
        <v>4256.5233310000003</v>
      </c>
      <c r="H729" t="s">
        <v>4</v>
      </c>
      <c r="I729">
        <v>990.16341899999998</v>
      </c>
      <c r="J729">
        <v>3266.3599119999999</v>
      </c>
      <c r="K729" t="s">
        <v>6</v>
      </c>
      <c r="L729" t="s">
        <v>7</v>
      </c>
      <c r="M729" t="s">
        <v>8</v>
      </c>
      <c r="N729" t="s">
        <v>6</v>
      </c>
      <c r="O729" t="s">
        <v>3</v>
      </c>
      <c r="P729" t="s">
        <v>3</v>
      </c>
      <c r="Q729" t="s">
        <v>3</v>
      </c>
      <c r="R729" t="s">
        <v>3</v>
      </c>
      <c r="S729" t="s">
        <v>3</v>
      </c>
      <c r="T729" t="s">
        <v>7</v>
      </c>
      <c r="U729">
        <v>2</v>
      </c>
      <c r="V729">
        <v>2</v>
      </c>
      <c r="W729">
        <v>0</v>
      </c>
      <c r="X729">
        <v>0</v>
      </c>
      <c r="Y729">
        <v>0</v>
      </c>
      <c r="Z729" t="s">
        <v>8</v>
      </c>
      <c r="AA729" t="s">
        <v>4</v>
      </c>
      <c r="AB729" t="s">
        <v>6</v>
      </c>
      <c r="AC729" t="s">
        <v>7</v>
      </c>
      <c r="AD729" t="s">
        <v>8</v>
      </c>
      <c r="AE729" t="s">
        <v>6</v>
      </c>
      <c r="AF729" t="s">
        <v>3</v>
      </c>
      <c r="AG729" t="s">
        <v>3</v>
      </c>
      <c r="AH729" t="s">
        <v>3</v>
      </c>
      <c r="AI729" t="s">
        <v>3</v>
      </c>
      <c r="AJ729" t="s">
        <v>3</v>
      </c>
      <c r="AK729" t="s">
        <v>7</v>
      </c>
      <c r="AL729">
        <v>0</v>
      </c>
      <c r="AM729">
        <v>0</v>
      </c>
      <c r="AN729">
        <v>0</v>
      </c>
      <c r="AO729">
        <v>0</v>
      </c>
      <c r="AP729">
        <v>0</v>
      </c>
      <c r="AQ729" t="s">
        <v>9</v>
      </c>
      <c r="AR729" s="1">
        <v>6.5387154400000004E-5</v>
      </c>
      <c r="AS729" s="1">
        <v>3.7520188700000003E-26</v>
      </c>
      <c r="AT729">
        <v>30</v>
      </c>
      <c r="AU729" t="s">
        <v>10</v>
      </c>
      <c r="AV729">
        <v>2</v>
      </c>
      <c r="AW729">
        <v>2</v>
      </c>
      <c r="AX729">
        <v>0</v>
      </c>
      <c r="AY729">
        <v>0</v>
      </c>
      <c r="AZ729">
        <v>0</v>
      </c>
      <c r="BA729" t="s">
        <v>8</v>
      </c>
      <c r="BB729" t="s">
        <v>4</v>
      </c>
      <c r="BC729" t="s">
        <v>10</v>
      </c>
      <c r="BD729">
        <v>0</v>
      </c>
      <c r="BE729">
        <v>0</v>
      </c>
      <c r="BF729">
        <v>0</v>
      </c>
      <c r="BG729">
        <v>0</v>
      </c>
      <c r="BH729">
        <v>0</v>
      </c>
      <c r="BI729" t="s">
        <v>9</v>
      </c>
      <c r="BJ729">
        <v>6.4579999999999995E-5</v>
      </c>
      <c r="BK729">
        <v>0</v>
      </c>
      <c r="BL729">
        <v>1.027E-5</v>
      </c>
      <c r="BM729" s="2">
        <f t="shared" si="11"/>
        <v>2.2595185919396896E-7</v>
      </c>
    </row>
    <row r="730" spans="1:65" x14ac:dyDescent="0.35">
      <c r="A730">
        <v>0</v>
      </c>
      <c r="B730" t="s">
        <v>3</v>
      </c>
      <c r="C730" t="s">
        <v>4</v>
      </c>
      <c r="D730">
        <v>0</v>
      </c>
      <c r="E730" t="s">
        <v>3</v>
      </c>
      <c r="F730" t="s">
        <v>5</v>
      </c>
      <c r="G730">
        <v>4060.9443019999999</v>
      </c>
      <c r="H730" t="s">
        <v>4</v>
      </c>
      <c r="I730">
        <v>990.16341899999998</v>
      </c>
      <c r="J730">
        <v>3070.780882</v>
      </c>
      <c r="K730" t="s">
        <v>6</v>
      </c>
      <c r="L730" t="s">
        <v>7</v>
      </c>
      <c r="M730" t="s">
        <v>8</v>
      </c>
      <c r="N730" t="s">
        <v>6</v>
      </c>
      <c r="O730" t="s">
        <v>3</v>
      </c>
      <c r="P730" t="s">
        <v>3</v>
      </c>
      <c r="Q730" t="s">
        <v>3</v>
      </c>
      <c r="R730" t="s">
        <v>3</v>
      </c>
      <c r="S730" t="s">
        <v>3</v>
      </c>
      <c r="T730" t="s">
        <v>7</v>
      </c>
      <c r="U730">
        <v>1</v>
      </c>
      <c r="V730">
        <v>1</v>
      </c>
      <c r="W730">
        <v>0</v>
      </c>
      <c r="X730">
        <v>0</v>
      </c>
      <c r="Y730">
        <v>1</v>
      </c>
      <c r="Z730" t="s">
        <v>9</v>
      </c>
      <c r="AA730" t="s">
        <v>4</v>
      </c>
      <c r="AB730" t="s">
        <v>6</v>
      </c>
      <c r="AC730" t="s">
        <v>7</v>
      </c>
      <c r="AD730" t="s">
        <v>8</v>
      </c>
      <c r="AE730" t="s">
        <v>6</v>
      </c>
      <c r="AF730" t="s">
        <v>3</v>
      </c>
      <c r="AG730" t="s">
        <v>3</v>
      </c>
      <c r="AH730" t="s">
        <v>3</v>
      </c>
      <c r="AI730" t="s">
        <v>3</v>
      </c>
      <c r="AJ730" t="s">
        <v>3</v>
      </c>
      <c r="AK730" t="s">
        <v>7</v>
      </c>
      <c r="AL730">
        <v>0</v>
      </c>
      <c r="AM730">
        <v>0</v>
      </c>
      <c r="AN730">
        <v>0</v>
      </c>
      <c r="AO730">
        <v>0</v>
      </c>
      <c r="AP730">
        <v>0</v>
      </c>
      <c r="AQ730" t="s">
        <v>9</v>
      </c>
      <c r="AR730" s="1">
        <v>1.1734531600000001E-4</v>
      </c>
      <c r="AS730" s="1">
        <v>1.13604713E-25</v>
      </c>
      <c r="AT730">
        <v>31</v>
      </c>
      <c r="AU730" t="s">
        <v>10</v>
      </c>
      <c r="AV730">
        <v>1</v>
      </c>
      <c r="AW730">
        <v>1</v>
      </c>
      <c r="AX730">
        <v>0</v>
      </c>
      <c r="AY730">
        <v>0</v>
      </c>
      <c r="AZ730">
        <v>1</v>
      </c>
      <c r="BA730" t="s">
        <v>9</v>
      </c>
      <c r="BB730" t="s">
        <v>4</v>
      </c>
      <c r="BC730" t="s">
        <v>10</v>
      </c>
      <c r="BD730">
        <v>0</v>
      </c>
      <c r="BE730">
        <v>0</v>
      </c>
      <c r="BF730">
        <v>0</v>
      </c>
      <c r="BG730">
        <v>0</v>
      </c>
      <c r="BH730">
        <v>0</v>
      </c>
      <c r="BI730" t="s">
        <v>9</v>
      </c>
      <c r="BJ730">
        <v>-4.6869999999999997E-5</v>
      </c>
      <c r="BK730">
        <v>0</v>
      </c>
      <c r="BL730">
        <v>-1.0758E-4</v>
      </c>
      <c r="BM730" s="2">
        <f t="shared" si="11"/>
        <v>6.8414357722959033E-7</v>
      </c>
    </row>
    <row r="731" spans="1:65" x14ac:dyDescent="0.35">
      <c r="A731">
        <v>0</v>
      </c>
      <c r="B731" t="s">
        <v>3</v>
      </c>
      <c r="C731" t="s">
        <v>4</v>
      </c>
      <c r="D731">
        <v>0</v>
      </c>
      <c r="E731" t="s">
        <v>3</v>
      </c>
      <c r="F731" t="s">
        <v>5</v>
      </c>
      <c r="G731">
        <v>4403.9152089999998</v>
      </c>
      <c r="H731" t="s">
        <v>4</v>
      </c>
      <c r="I731">
        <v>990.16341899999998</v>
      </c>
      <c r="J731">
        <v>3413.7517899999998</v>
      </c>
      <c r="K731" t="s">
        <v>6</v>
      </c>
      <c r="L731" t="s">
        <v>7</v>
      </c>
      <c r="M731" t="s">
        <v>8</v>
      </c>
      <c r="N731" t="s">
        <v>6</v>
      </c>
      <c r="O731" t="s">
        <v>3</v>
      </c>
      <c r="P731" t="s">
        <v>3</v>
      </c>
      <c r="Q731" t="s">
        <v>3</v>
      </c>
      <c r="R731" t="s">
        <v>3</v>
      </c>
      <c r="S731" t="s">
        <v>3</v>
      </c>
      <c r="T731" t="s">
        <v>7</v>
      </c>
      <c r="U731">
        <v>1</v>
      </c>
      <c r="V731">
        <v>1</v>
      </c>
      <c r="W731">
        <v>0</v>
      </c>
      <c r="X731">
        <v>3</v>
      </c>
      <c r="Y731">
        <v>0</v>
      </c>
      <c r="Z731" t="s">
        <v>15</v>
      </c>
      <c r="AA731" t="s">
        <v>4</v>
      </c>
      <c r="AB731" t="s">
        <v>6</v>
      </c>
      <c r="AC731" t="s">
        <v>7</v>
      </c>
      <c r="AD731" t="s">
        <v>8</v>
      </c>
      <c r="AE731" t="s">
        <v>6</v>
      </c>
      <c r="AF731" t="s">
        <v>3</v>
      </c>
      <c r="AG731" t="s">
        <v>3</v>
      </c>
      <c r="AH731" t="s">
        <v>3</v>
      </c>
      <c r="AI731" t="s">
        <v>3</v>
      </c>
      <c r="AJ731" t="s">
        <v>3</v>
      </c>
      <c r="AK731" t="s">
        <v>7</v>
      </c>
      <c r="AL731">
        <v>0</v>
      </c>
      <c r="AM731">
        <v>0</v>
      </c>
      <c r="AN731">
        <v>0</v>
      </c>
      <c r="AO731">
        <v>0</v>
      </c>
      <c r="AP731">
        <v>0</v>
      </c>
      <c r="AQ731" t="s">
        <v>9</v>
      </c>
      <c r="AR731" s="1">
        <v>4.2374955399999997E-5</v>
      </c>
      <c r="AS731" s="1">
        <v>1.6468975500000001E-26</v>
      </c>
      <c r="AT731">
        <v>30</v>
      </c>
      <c r="AU731" t="s">
        <v>10</v>
      </c>
      <c r="AV731">
        <v>1</v>
      </c>
      <c r="AW731">
        <v>1</v>
      </c>
      <c r="AX731">
        <v>0</v>
      </c>
      <c r="AY731">
        <v>3</v>
      </c>
      <c r="AZ731">
        <v>0</v>
      </c>
      <c r="BA731" t="s">
        <v>15</v>
      </c>
      <c r="BB731" t="s">
        <v>4</v>
      </c>
      <c r="BC731" t="s">
        <v>10</v>
      </c>
      <c r="BD731">
        <v>0</v>
      </c>
      <c r="BE731">
        <v>0</v>
      </c>
      <c r="BF731">
        <v>0</v>
      </c>
      <c r="BG731">
        <v>0</v>
      </c>
      <c r="BH731">
        <v>0</v>
      </c>
      <c r="BI731" t="s">
        <v>9</v>
      </c>
      <c r="BJ731">
        <v>-3.7070000000000003E-5</v>
      </c>
      <c r="BK731">
        <v>0</v>
      </c>
      <c r="BL731">
        <v>-2.052E-5</v>
      </c>
      <c r="BM731" s="2">
        <f t="shared" si="11"/>
        <v>9.9178489292750406E-8</v>
      </c>
    </row>
    <row r="732" spans="1:65" x14ac:dyDescent="0.35">
      <c r="A732">
        <v>0</v>
      </c>
      <c r="B732" t="s">
        <v>3</v>
      </c>
      <c r="C732" t="s">
        <v>4</v>
      </c>
      <c r="D732">
        <v>0</v>
      </c>
      <c r="E732" t="s">
        <v>3</v>
      </c>
      <c r="F732" t="s">
        <v>5</v>
      </c>
      <c r="G732">
        <v>3754.4773540000001</v>
      </c>
      <c r="H732" t="s">
        <v>4</v>
      </c>
      <c r="I732">
        <v>990.16341899999998</v>
      </c>
      <c r="J732">
        <v>2764.3139350000001</v>
      </c>
      <c r="K732" t="s">
        <v>6</v>
      </c>
      <c r="L732" t="s">
        <v>7</v>
      </c>
      <c r="M732" t="s">
        <v>8</v>
      </c>
      <c r="N732" t="s">
        <v>6</v>
      </c>
      <c r="O732" t="s">
        <v>3</v>
      </c>
      <c r="P732" t="s">
        <v>3</v>
      </c>
      <c r="Q732" t="s">
        <v>3</v>
      </c>
      <c r="R732" t="s">
        <v>3</v>
      </c>
      <c r="S732" t="s">
        <v>3</v>
      </c>
      <c r="T732" t="s">
        <v>7</v>
      </c>
      <c r="U732">
        <v>4</v>
      </c>
      <c r="V732">
        <v>0</v>
      </c>
      <c r="W732">
        <v>0</v>
      </c>
      <c r="X732">
        <v>1</v>
      </c>
      <c r="Y732">
        <v>0</v>
      </c>
      <c r="Z732" t="s">
        <v>8</v>
      </c>
      <c r="AA732" t="s">
        <v>4</v>
      </c>
      <c r="AB732" t="s">
        <v>6</v>
      </c>
      <c r="AC732" t="s">
        <v>7</v>
      </c>
      <c r="AD732" t="s">
        <v>8</v>
      </c>
      <c r="AE732" t="s">
        <v>6</v>
      </c>
      <c r="AF732" t="s">
        <v>3</v>
      </c>
      <c r="AG732" t="s">
        <v>3</v>
      </c>
      <c r="AH732" t="s">
        <v>3</v>
      </c>
      <c r="AI732" t="s">
        <v>3</v>
      </c>
      <c r="AJ732" t="s">
        <v>3</v>
      </c>
      <c r="AK732" t="s">
        <v>7</v>
      </c>
      <c r="AL732">
        <v>0</v>
      </c>
      <c r="AM732">
        <v>0</v>
      </c>
      <c r="AN732">
        <v>0</v>
      </c>
      <c r="AO732">
        <v>0</v>
      </c>
      <c r="AP732">
        <v>0</v>
      </c>
      <c r="AQ732" t="s">
        <v>9</v>
      </c>
      <c r="AR732" s="1">
        <v>6.2230324700000006E-5</v>
      </c>
      <c r="AS732" s="1">
        <v>2.8761197599999999E-26</v>
      </c>
      <c r="AT732">
        <v>35</v>
      </c>
      <c r="AU732" t="s">
        <v>10</v>
      </c>
      <c r="AV732">
        <v>4</v>
      </c>
      <c r="AW732">
        <v>0</v>
      </c>
      <c r="AX732">
        <v>0</v>
      </c>
      <c r="AY732">
        <v>1</v>
      </c>
      <c r="AZ732">
        <v>0</v>
      </c>
      <c r="BA732" t="s">
        <v>8</v>
      </c>
      <c r="BB732" t="s">
        <v>4</v>
      </c>
      <c r="BC732" t="s">
        <v>10</v>
      </c>
      <c r="BD732">
        <v>0</v>
      </c>
      <c r="BE732">
        <v>0</v>
      </c>
      <c r="BF732">
        <v>0</v>
      </c>
      <c r="BG732">
        <v>0</v>
      </c>
      <c r="BH732">
        <v>0</v>
      </c>
      <c r="BI732" t="s">
        <v>9</v>
      </c>
      <c r="BJ732">
        <v>2.4260000000000002E-5</v>
      </c>
      <c r="BK732">
        <v>0</v>
      </c>
      <c r="BL732">
        <v>5.7309999999999998E-5</v>
      </c>
      <c r="BM732" s="2">
        <f t="shared" si="11"/>
        <v>1.7320398152382209E-7</v>
      </c>
    </row>
    <row r="733" spans="1:65" x14ac:dyDescent="0.35">
      <c r="A733">
        <v>0</v>
      </c>
      <c r="B733" t="s">
        <v>11</v>
      </c>
      <c r="C733" t="s">
        <v>4</v>
      </c>
      <c r="D733">
        <v>0</v>
      </c>
      <c r="E733" t="s">
        <v>3</v>
      </c>
      <c r="F733" t="s">
        <v>5</v>
      </c>
      <c r="G733">
        <v>3854.5197870000002</v>
      </c>
      <c r="H733" t="s">
        <v>4</v>
      </c>
      <c r="I733">
        <v>990.16341899999998</v>
      </c>
      <c r="J733">
        <v>2864.3563669999999</v>
      </c>
      <c r="K733" t="s">
        <v>6</v>
      </c>
      <c r="L733" t="s">
        <v>7</v>
      </c>
      <c r="M733" t="s">
        <v>8</v>
      </c>
      <c r="N733" t="s">
        <v>6</v>
      </c>
      <c r="O733" t="s">
        <v>3</v>
      </c>
      <c r="P733" t="s">
        <v>3</v>
      </c>
      <c r="Q733" t="s">
        <v>3</v>
      </c>
      <c r="R733" t="s">
        <v>3</v>
      </c>
      <c r="S733" t="s">
        <v>11</v>
      </c>
      <c r="T733" t="s">
        <v>7</v>
      </c>
      <c r="U733">
        <v>0</v>
      </c>
      <c r="V733">
        <v>1</v>
      </c>
      <c r="W733">
        <v>0</v>
      </c>
      <c r="X733">
        <v>0</v>
      </c>
      <c r="Y733">
        <v>1</v>
      </c>
      <c r="Z733" t="s">
        <v>13</v>
      </c>
      <c r="AA733" t="s">
        <v>4</v>
      </c>
      <c r="AB733" t="s">
        <v>6</v>
      </c>
      <c r="AC733" t="s">
        <v>7</v>
      </c>
      <c r="AD733" t="s">
        <v>8</v>
      </c>
      <c r="AE733" t="s">
        <v>6</v>
      </c>
      <c r="AF733" t="s">
        <v>3</v>
      </c>
      <c r="AG733" t="s">
        <v>3</v>
      </c>
      <c r="AH733" t="s">
        <v>3</v>
      </c>
      <c r="AI733" t="s">
        <v>3</v>
      </c>
      <c r="AJ733" t="s">
        <v>3</v>
      </c>
      <c r="AK733" t="s">
        <v>7</v>
      </c>
      <c r="AL733">
        <v>0</v>
      </c>
      <c r="AM733">
        <v>0</v>
      </c>
      <c r="AN733">
        <v>0</v>
      </c>
      <c r="AO733">
        <v>0</v>
      </c>
      <c r="AP733">
        <v>0</v>
      </c>
      <c r="AQ733" t="s">
        <v>9</v>
      </c>
      <c r="AR733" s="1">
        <v>2.27515097E-5</v>
      </c>
      <c r="AS733" s="1">
        <v>3.9834853599999997E-27</v>
      </c>
      <c r="AT733">
        <v>30</v>
      </c>
      <c r="AU733" t="s">
        <v>10</v>
      </c>
      <c r="AV733">
        <v>0</v>
      </c>
      <c r="AW733">
        <v>1</v>
      </c>
      <c r="AX733">
        <v>0</v>
      </c>
      <c r="AY733">
        <v>0</v>
      </c>
      <c r="AZ733">
        <v>1</v>
      </c>
      <c r="BA733" t="s">
        <v>13</v>
      </c>
      <c r="BB733" t="s">
        <v>4</v>
      </c>
      <c r="BC733" t="s">
        <v>10</v>
      </c>
      <c r="BD733">
        <v>0</v>
      </c>
      <c r="BE733">
        <v>0</v>
      </c>
      <c r="BF733">
        <v>0</v>
      </c>
      <c r="BG733">
        <v>0</v>
      </c>
      <c r="BH733">
        <v>0</v>
      </c>
      <c r="BI733" t="s">
        <v>9</v>
      </c>
      <c r="BJ733">
        <v>0</v>
      </c>
      <c r="BK733">
        <v>2.2750000000000001E-5</v>
      </c>
      <c r="BL733">
        <v>0</v>
      </c>
      <c r="BM733" s="2">
        <f t="shared" si="11"/>
        <v>2.3989109712658687E-8</v>
      </c>
    </row>
    <row r="734" spans="1:65" x14ac:dyDescent="0.35">
      <c r="A734">
        <v>0</v>
      </c>
      <c r="B734" t="s">
        <v>3</v>
      </c>
      <c r="C734" t="s">
        <v>4</v>
      </c>
      <c r="D734">
        <v>0</v>
      </c>
      <c r="E734" t="s">
        <v>3</v>
      </c>
      <c r="F734" t="s">
        <v>5</v>
      </c>
      <c r="G734">
        <v>3574.3093009999998</v>
      </c>
      <c r="H734" t="s">
        <v>4</v>
      </c>
      <c r="I734">
        <v>990.16341899999998</v>
      </c>
      <c r="J734">
        <v>2584.1458819999998</v>
      </c>
      <c r="K734" t="s">
        <v>6</v>
      </c>
      <c r="L734" t="s">
        <v>7</v>
      </c>
      <c r="M734" t="s">
        <v>8</v>
      </c>
      <c r="N734" t="s">
        <v>6</v>
      </c>
      <c r="O734" t="s">
        <v>3</v>
      </c>
      <c r="P734" t="s">
        <v>3</v>
      </c>
      <c r="Q734" t="s">
        <v>3</v>
      </c>
      <c r="R734" t="s">
        <v>3</v>
      </c>
      <c r="S734" t="s">
        <v>3</v>
      </c>
      <c r="T734" t="s">
        <v>7</v>
      </c>
      <c r="U734">
        <v>0</v>
      </c>
      <c r="V734">
        <v>0</v>
      </c>
      <c r="W734">
        <v>1</v>
      </c>
      <c r="X734">
        <v>0</v>
      </c>
      <c r="Y734">
        <v>0</v>
      </c>
      <c r="Z734" t="s">
        <v>8</v>
      </c>
      <c r="AA734" t="s">
        <v>4</v>
      </c>
      <c r="AB734" t="s">
        <v>6</v>
      </c>
      <c r="AC734" t="s">
        <v>7</v>
      </c>
      <c r="AD734" t="s">
        <v>8</v>
      </c>
      <c r="AE734" t="s">
        <v>6</v>
      </c>
      <c r="AF734" t="s">
        <v>3</v>
      </c>
      <c r="AG734" t="s">
        <v>3</v>
      </c>
      <c r="AH734" t="s">
        <v>3</v>
      </c>
      <c r="AI734" t="s">
        <v>3</v>
      </c>
      <c r="AJ734" t="s">
        <v>3</v>
      </c>
      <c r="AK734" t="s">
        <v>7</v>
      </c>
      <c r="AL734">
        <v>0</v>
      </c>
      <c r="AM734">
        <v>0</v>
      </c>
      <c r="AN734">
        <v>0</v>
      </c>
      <c r="AO734">
        <v>0</v>
      </c>
      <c r="AP734">
        <v>0</v>
      </c>
      <c r="AQ734" t="s">
        <v>9</v>
      </c>
      <c r="AR734" s="1">
        <v>6.7370157700000005E-4</v>
      </c>
      <c r="AS734" s="1">
        <v>3.15113247E-24</v>
      </c>
      <c r="AT734">
        <v>30</v>
      </c>
      <c r="AU734" t="s">
        <v>10</v>
      </c>
      <c r="AV734">
        <v>0</v>
      </c>
      <c r="AW734">
        <v>0</v>
      </c>
      <c r="AX734">
        <v>1</v>
      </c>
      <c r="AY734">
        <v>0</v>
      </c>
      <c r="AZ734">
        <v>0</v>
      </c>
      <c r="BA734" t="s">
        <v>8</v>
      </c>
      <c r="BB734" t="s">
        <v>4</v>
      </c>
      <c r="BC734" t="s">
        <v>10</v>
      </c>
      <c r="BD734">
        <v>0</v>
      </c>
      <c r="BE734">
        <v>0</v>
      </c>
      <c r="BF734">
        <v>0</v>
      </c>
      <c r="BG734">
        <v>0</v>
      </c>
      <c r="BH734">
        <v>0</v>
      </c>
      <c r="BI734" t="s">
        <v>9</v>
      </c>
      <c r="BJ734">
        <v>-6.7361999999999999E-4</v>
      </c>
      <c r="BK734">
        <v>0</v>
      </c>
      <c r="BL734">
        <v>-1.064E-5</v>
      </c>
      <c r="BM734" s="2">
        <f t="shared" si="11"/>
        <v>1.8976563413791776E-5</v>
      </c>
    </row>
    <row r="735" spans="1:65" x14ac:dyDescent="0.35">
      <c r="A735">
        <v>0</v>
      </c>
      <c r="B735" t="s">
        <v>11</v>
      </c>
      <c r="C735" t="s">
        <v>4</v>
      </c>
      <c r="D735">
        <v>0</v>
      </c>
      <c r="E735" t="s">
        <v>3</v>
      </c>
      <c r="F735" t="s">
        <v>5</v>
      </c>
      <c r="G735">
        <v>4810.7264100000002</v>
      </c>
      <c r="H735" t="s">
        <v>4</v>
      </c>
      <c r="I735">
        <v>990.16341899999998</v>
      </c>
      <c r="J735">
        <v>3820.5629909999998</v>
      </c>
      <c r="K735" t="s">
        <v>6</v>
      </c>
      <c r="L735" t="s">
        <v>7</v>
      </c>
      <c r="M735" t="s">
        <v>8</v>
      </c>
      <c r="N735" t="s">
        <v>6</v>
      </c>
      <c r="O735" t="s">
        <v>3</v>
      </c>
      <c r="P735" t="s">
        <v>3</v>
      </c>
      <c r="Q735" t="s">
        <v>3</v>
      </c>
      <c r="R735" t="s">
        <v>3</v>
      </c>
      <c r="S735" t="s">
        <v>11</v>
      </c>
      <c r="T735" t="s">
        <v>7</v>
      </c>
      <c r="U735">
        <v>0</v>
      </c>
      <c r="V735">
        <v>0</v>
      </c>
      <c r="W735">
        <v>0</v>
      </c>
      <c r="X735">
        <v>9</v>
      </c>
      <c r="Y735">
        <v>0</v>
      </c>
      <c r="Z735" t="s">
        <v>18</v>
      </c>
      <c r="AA735" t="s">
        <v>4</v>
      </c>
      <c r="AB735" t="s">
        <v>6</v>
      </c>
      <c r="AC735" t="s">
        <v>7</v>
      </c>
      <c r="AD735" t="s">
        <v>8</v>
      </c>
      <c r="AE735" t="s">
        <v>6</v>
      </c>
      <c r="AF735" t="s">
        <v>3</v>
      </c>
      <c r="AG735" t="s">
        <v>3</v>
      </c>
      <c r="AH735" t="s">
        <v>3</v>
      </c>
      <c r="AI735" t="s">
        <v>3</v>
      </c>
      <c r="AJ735" t="s">
        <v>3</v>
      </c>
      <c r="AK735" t="s">
        <v>7</v>
      </c>
      <c r="AL735">
        <v>0</v>
      </c>
      <c r="AM735">
        <v>0</v>
      </c>
      <c r="AN735">
        <v>0</v>
      </c>
      <c r="AO735">
        <v>0</v>
      </c>
      <c r="AP735">
        <v>0</v>
      </c>
      <c r="AQ735" t="s">
        <v>9</v>
      </c>
      <c r="AR735" s="1">
        <v>3.1817145E-5</v>
      </c>
      <c r="AS735" s="1">
        <v>1.03912056E-26</v>
      </c>
      <c r="AT735">
        <v>32</v>
      </c>
      <c r="AU735" t="s">
        <v>10</v>
      </c>
      <c r="AV735">
        <v>0</v>
      </c>
      <c r="AW735">
        <v>0</v>
      </c>
      <c r="AX735">
        <v>0</v>
      </c>
      <c r="AY735">
        <v>9</v>
      </c>
      <c r="AZ735">
        <v>0</v>
      </c>
      <c r="BA735" t="s">
        <v>18</v>
      </c>
      <c r="BB735" t="s">
        <v>4</v>
      </c>
      <c r="BC735" t="s">
        <v>10</v>
      </c>
      <c r="BD735">
        <v>0</v>
      </c>
      <c r="BE735">
        <v>0</v>
      </c>
      <c r="BF735">
        <v>0</v>
      </c>
      <c r="BG735">
        <v>0</v>
      </c>
      <c r="BH735">
        <v>0</v>
      </c>
      <c r="BI735" t="s">
        <v>9</v>
      </c>
      <c r="BJ735">
        <v>0</v>
      </c>
      <c r="BK735">
        <v>-3.1819999999999997E-5</v>
      </c>
      <c r="BL735">
        <v>0</v>
      </c>
      <c r="BM735" s="2">
        <f t="shared" si="11"/>
        <v>6.2577303204948481E-8</v>
      </c>
    </row>
    <row r="736" spans="1:65" x14ac:dyDescent="0.35">
      <c r="A736">
        <v>0</v>
      </c>
      <c r="B736" t="s">
        <v>3</v>
      </c>
      <c r="C736" t="s">
        <v>4</v>
      </c>
      <c r="D736">
        <v>0</v>
      </c>
      <c r="E736" t="s">
        <v>3</v>
      </c>
      <c r="F736" t="s">
        <v>5</v>
      </c>
      <c r="G736">
        <v>4180.2092439999997</v>
      </c>
      <c r="H736" t="s">
        <v>4</v>
      </c>
      <c r="I736">
        <v>990.16341899999998</v>
      </c>
      <c r="J736">
        <v>3190.0458250000001</v>
      </c>
      <c r="K736" t="s">
        <v>6</v>
      </c>
      <c r="L736" t="s">
        <v>7</v>
      </c>
      <c r="M736" t="s">
        <v>8</v>
      </c>
      <c r="N736" t="s">
        <v>6</v>
      </c>
      <c r="O736" t="s">
        <v>3</v>
      </c>
      <c r="P736" t="s">
        <v>3</v>
      </c>
      <c r="Q736" t="s">
        <v>3</v>
      </c>
      <c r="R736" t="s">
        <v>3</v>
      </c>
      <c r="S736" t="s">
        <v>3</v>
      </c>
      <c r="T736" t="s">
        <v>7</v>
      </c>
      <c r="U736">
        <v>0</v>
      </c>
      <c r="V736">
        <v>2</v>
      </c>
      <c r="W736">
        <v>0</v>
      </c>
      <c r="X736">
        <v>2</v>
      </c>
      <c r="Y736">
        <v>1</v>
      </c>
      <c r="Z736" t="s">
        <v>8</v>
      </c>
      <c r="AA736" t="s">
        <v>4</v>
      </c>
      <c r="AB736" t="s">
        <v>6</v>
      </c>
      <c r="AC736" t="s">
        <v>7</v>
      </c>
      <c r="AD736" t="s">
        <v>8</v>
      </c>
      <c r="AE736" t="s">
        <v>6</v>
      </c>
      <c r="AF736" t="s">
        <v>3</v>
      </c>
      <c r="AG736" t="s">
        <v>3</v>
      </c>
      <c r="AH736" t="s">
        <v>3</v>
      </c>
      <c r="AI736" t="s">
        <v>3</v>
      </c>
      <c r="AJ736" t="s">
        <v>3</v>
      </c>
      <c r="AK736" t="s">
        <v>7</v>
      </c>
      <c r="AL736">
        <v>0</v>
      </c>
      <c r="AM736">
        <v>0</v>
      </c>
      <c r="AN736">
        <v>0</v>
      </c>
      <c r="AO736">
        <v>0</v>
      </c>
      <c r="AP736">
        <v>0</v>
      </c>
      <c r="AQ736" t="s">
        <v>9</v>
      </c>
      <c r="AR736" s="1">
        <v>2.3810577999999998E-5</v>
      </c>
      <c r="AS736" s="1">
        <v>4.8590668300000002E-27</v>
      </c>
      <c r="AT736">
        <v>35</v>
      </c>
      <c r="AU736" t="s">
        <v>10</v>
      </c>
      <c r="AV736">
        <v>0</v>
      </c>
      <c r="AW736">
        <v>2</v>
      </c>
      <c r="AX736">
        <v>0</v>
      </c>
      <c r="AY736">
        <v>2</v>
      </c>
      <c r="AZ736">
        <v>1</v>
      </c>
      <c r="BA736" t="s">
        <v>8</v>
      </c>
      <c r="BB736" t="s">
        <v>4</v>
      </c>
      <c r="BC736" t="s">
        <v>10</v>
      </c>
      <c r="BD736">
        <v>0</v>
      </c>
      <c r="BE736">
        <v>0</v>
      </c>
      <c r="BF736">
        <v>0</v>
      </c>
      <c r="BG736">
        <v>0</v>
      </c>
      <c r="BH736">
        <v>0</v>
      </c>
      <c r="BI736" t="s">
        <v>9</v>
      </c>
      <c r="BJ736">
        <v>-2.3640000000000001E-5</v>
      </c>
      <c r="BK736">
        <v>0</v>
      </c>
      <c r="BL736">
        <v>-2.88E-6</v>
      </c>
      <c r="BM736" s="2">
        <f t="shared" si="11"/>
        <v>2.9261984606869661E-8</v>
      </c>
    </row>
    <row r="737" spans="1:65" x14ac:dyDescent="0.35">
      <c r="A737">
        <v>0</v>
      </c>
      <c r="B737" t="s">
        <v>3</v>
      </c>
      <c r="C737" t="s">
        <v>4</v>
      </c>
      <c r="D737">
        <v>0</v>
      </c>
      <c r="E737" t="s">
        <v>3</v>
      </c>
      <c r="F737" t="s">
        <v>5</v>
      </c>
      <c r="G737">
        <v>2501.520767</v>
      </c>
      <c r="H737" t="s">
        <v>4</v>
      </c>
      <c r="I737">
        <v>990.16341899999998</v>
      </c>
      <c r="J737">
        <v>1511.357348</v>
      </c>
      <c r="K737" t="s">
        <v>6</v>
      </c>
      <c r="L737" t="s">
        <v>7</v>
      </c>
      <c r="M737" t="s">
        <v>8</v>
      </c>
      <c r="N737" t="s">
        <v>6</v>
      </c>
      <c r="O737" t="s">
        <v>3</v>
      </c>
      <c r="P737" t="s">
        <v>3</v>
      </c>
      <c r="Q737" t="s">
        <v>3</v>
      </c>
      <c r="R737" t="s">
        <v>3</v>
      </c>
      <c r="S737" t="s">
        <v>3</v>
      </c>
      <c r="T737" t="s">
        <v>7</v>
      </c>
      <c r="U737">
        <v>1</v>
      </c>
      <c r="V737">
        <v>1</v>
      </c>
      <c r="W737">
        <v>0</v>
      </c>
      <c r="X737">
        <v>1</v>
      </c>
      <c r="Y737">
        <v>0</v>
      </c>
      <c r="Z737" t="s">
        <v>8</v>
      </c>
      <c r="AA737" t="s">
        <v>4</v>
      </c>
      <c r="AB737" t="s">
        <v>6</v>
      </c>
      <c r="AC737" t="s">
        <v>7</v>
      </c>
      <c r="AD737" t="s">
        <v>8</v>
      </c>
      <c r="AE737" t="s">
        <v>6</v>
      </c>
      <c r="AF737" t="s">
        <v>3</v>
      </c>
      <c r="AG737" t="s">
        <v>3</v>
      </c>
      <c r="AH737" t="s">
        <v>3</v>
      </c>
      <c r="AI737" t="s">
        <v>3</v>
      </c>
      <c r="AJ737" t="s">
        <v>3</v>
      </c>
      <c r="AK737" t="s">
        <v>7</v>
      </c>
      <c r="AL737">
        <v>0</v>
      </c>
      <c r="AM737">
        <v>0</v>
      </c>
      <c r="AN737">
        <v>0</v>
      </c>
      <c r="AO737">
        <v>0</v>
      </c>
      <c r="AP737">
        <v>0</v>
      </c>
      <c r="AQ737" t="s">
        <v>9</v>
      </c>
      <c r="AR737" s="1">
        <v>4.5721369099999999E-5</v>
      </c>
      <c r="AS737" s="1">
        <v>8.4825689800000001E-27</v>
      </c>
      <c r="AT737">
        <v>30</v>
      </c>
      <c r="AU737" t="s">
        <v>10</v>
      </c>
      <c r="AV737">
        <v>1</v>
      </c>
      <c r="AW737">
        <v>1</v>
      </c>
      <c r="AX737">
        <v>0</v>
      </c>
      <c r="AY737">
        <v>1</v>
      </c>
      <c r="AZ737">
        <v>0</v>
      </c>
      <c r="BA737" t="s">
        <v>8</v>
      </c>
      <c r="BB737" t="s">
        <v>4</v>
      </c>
      <c r="BC737" t="s">
        <v>10</v>
      </c>
      <c r="BD737">
        <v>0</v>
      </c>
      <c r="BE737">
        <v>0</v>
      </c>
      <c r="BF737">
        <v>0</v>
      </c>
      <c r="BG737">
        <v>0</v>
      </c>
      <c r="BH737">
        <v>0</v>
      </c>
      <c r="BI737" t="s">
        <v>9</v>
      </c>
      <c r="BJ737">
        <v>1.72E-6</v>
      </c>
      <c r="BK737">
        <v>0</v>
      </c>
      <c r="BL737">
        <v>-4.5689999999999998E-5</v>
      </c>
      <c r="BM737" s="2">
        <f t="shared" si="11"/>
        <v>5.1083224743272384E-8</v>
      </c>
    </row>
    <row r="738" spans="1:65" x14ac:dyDescent="0.35">
      <c r="A738">
        <v>0</v>
      </c>
      <c r="B738" t="s">
        <v>11</v>
      </c>
      <c r="C738" t="s">
        <v>4</v>
      </c>
      <c r="D738">
        <v>0</v>
      </c>
      <c r="E738" t="s">
        <v>3</v>
      </c>
      <c r="F738" t="s">
        <v>5</v>
      </c>
      <c r="G738">
        <v>3955.971595</v>
      </c>
      <c r="H738" t="s">
        <v>4</v>
      </c>
      <c r="I738">
        <v>990.16341899999998</v>
      </c>
      <c r="J738">
        <v>2965.808176</v>
      </c>
      <c r="K738" t="s">
        <v>6</v>
      </c>
      <c r="L738" t="s">
        <v>7</v>
      </c>
      <c r="M738" t="s">
        <v>8</v>
      </c>
      <c r="N738" t="s">
        <v>6</v>
      </c>
      <c r="O738" t="s">
        <v>3</v>
      </c>
      <c r="P738" t="s">
        <v>3</v>
      </c>
      <c r="Q738" t="s">
        <v>3</v>
      </c>
      <c r="R738" t="s">
        <v>3</v>
      </c>
      <c r="S738" t="s">
        <v>11</v>
      </c>
      <c r="T738" t="s">
        <v>7</v>
      </c>
      <c r="U738">
        <v>3</v>
      </c>
      <c r="V738">
        <v>0</v>
      </c>
      <c r="W738">
        <v>0</v>
      </c>
      <c r="X738">
        <v>0</v>
      </c>
      <c r="Y738">
        <v>0</v>
      </c>
      <c r="Z738" t="s">
        <v>14</v>
      </c>
      <c r="AA738" t="s">
        <v>4</v>
      </c>
      <c r="AB738" t="s">
        <v>6</v>
      </c>
      <c r="AC738" t="s">
        <v>7</v>
      </c>
      <c r="AD738" t="s">
        <v>8</v>
      </c>
      <c r="AE738" t="s">
        <v>6</v>
      </c>
      <c r="AF738" t="s">
        <v>3</v>
      </c>
      <c r="AG738" t="s">
        <v>3</v>
      </c>
      <c r="AH738" t="s">
        <v>3</v>
      </c>
      <c r="AI738" t="s">
        <v>3</v>
      </c>
      <c r="AJ738" t="s">
        <v>3</v>
      </c>
      <c r="AK738" t="s">
        <v>7</v>
      </c>
      <c r="AL738">
        <v>0</v>
      </c>
      <c r="AM738">
        <v>0</v>
      </c>
      <c r="AN738">
        <v>0</v>
      </c>
      <c r="AO738">
        <v>0</v>
      </c>
      <c r="AP738">
        <v>0</v>
      </c>
      <c r="AQ738" t="s">
        <v>9</v>
      </c>
      <c r="AR738" s="1">
        <v>2.4489596999999999E-4</v>
      </c>
      <c r="AS738" s="1">
        <v>4.7788371900000001E-25</v>
      </c>
      <c r="AT738">
        <v>30</v>
      </c>
      <c r="AU738" t="s">
        <v>10</v>
      </c>
      <c r="AV738">
        <v>3</v>
      </c>
      <c r="AW738">
        <v>0</v>
      </c>
      <c r="AX738">
        <v>0</v>
      </c>
      <c r="AY738">
        <v>0</v>
      </c>
      <c r="AZ738">
        <v>0</v>
      </c>
      <c r="BA738" t="s">
        <v>14</v>
      </c>
      <c r="BB738" t="s">
        <v>4</v>
      </c>
      <c r="BC738" t="s">
        <v>10</v>
      </c>
      <c r="BD738">
        <v>0</v>
      </c>
      <c r="BE738">
        <v>0</v>
      </c>
      <c r="BF738">
        <v>0</v>
      </c>
      <c r="BG738">
        <v>0</v>
      </c>
      <c r="BH738">
        <v>0</v>
      </c>
      <c r="BI738" t="s">
        <v>9</v>
      </c>
      <c r="BJ738">
        <v>0</v>
      </c>
      <c r="BK738">
        <v>2.4489999999999999E-4</v>
      </c>
      <c r="BL738">
        <v>0</v>
      </c>
      <c r="BM738" s="2">
        <f t="shared" si="11"/>
        <v>2.8778830418456356E-6</v>
      </c>
    </row>
    <row r="739" spans="1:65" x14ac:dyDescent="0.35">
      <c r="A739">
        <v>0</v>
      </c>
      <c r="B739" t="s">
        <v>3</v>
      </c>
      <c r="C739" t="s">
        <v>4</v>
      </c>
      <c r="D739">
        <v>0</v>
      </c>
      <c r="E739" t="s">
        <v>3</v>
      </c>
      <c r="F739" t="s">
        <v>5</v>
      </c>
      <c r="G739">
        <v>4632.0565079999997</v>
      </c>
      <c r="H739" t="s">
        <v>4</v>
      </c>
      <c r="I739">
        <v>990.16341899999998</v>
      </c>
      <c r="J739">
        <v>3641.8930890000001</v>
      </c>
      <c r="K739" t="s">
        <v>6</v>
      </c>
      <c r="L739" t="s">
        <v>7</v>
      </c>
      <c r="M739" t="s">
        <v>8</v>
      </c>
      <c r="N739" t="s">
        <v>6</v>
      </c>
      <c r="O739" t="s">
        <v>3</v>
      </c>
      <c r="P739" t="s">
        <v>3</v>
      </c>
      <c r="Q739" t="s">
        <v>3</v>
      </c>
      <c r="R739" t="s">
        <v>3</v>
      </c>
      <c r="S739" t="s">
        <v>3</v>
      </c>
      <c r="T739" t="s">
        <v>7</v>
      </c>
      <c r="U739">
        <v>4</v>
      </c>
      <c r="V739">
        <v>1</v>
      </c>
      <c r="W739">
        <v>0</v>
      </c>
      <c r="X739">
        <v>0</v>
      </c>
      <c r="Y739">
        <v>0</v>
      </c>
      <c r="Z739" t="s">
        <v>8</v>
      </c>
      <c r="AA739" t="s">
        <v>4</v>
      </c>
      <c r="AB739" t="s">
        <v>6</v>
      </c>
      <c r="AC739" t="s">
        <v>7</v>
      </c>
      <c r="AD739" t="s">
        <v>8</v>
      </c>
      <c r="AE739" t="s">
        <v>6</v>
      </c>
      <c r="AF739" t="s">
        <v>3</v>
      </c>
      <c r="AG739" t="s">
        <v>3</v>
      </c>
      <c r="AH739" t="s">
        <v>3</v>
      </c>
      <c r="AI739" t="s">
        <v>3</v>
      </c>
      <c r="AJ739" t="s">
        <v>3</v>
      </c>
      <c r="AK739" t="s">
        <v>7</v>
      </c>
      <c r="AL739">
        <v>0</v>
      </c>
      <c r="AM739">
        <v>0</v>
      </c>
      <c r="AN739">
        <v>0</v>
      </c>
      <c r="AO739">
        <v>0</v>
      </c>
      <c r="AP739">
        <v>0</v>
      </c>
      <c r="AQ739" t="s">
        <v>9</v>
      </c>
      <c r="AR739" s="1">
        <v>3.70192822E-4</v>
      </c>
      <c r="AS739" s="1">
        <v>1.3409090799999999E-24</v>
      </c>
      <c r="AT739">
        <v>35</v>
      </c>
      <c r="AU739" t="s">
        <v>10</v>
      </c>
      <c r="AV739">
        <v>4</v>
      </c>
      <c r="AW739">
        <v>1</v>
      </c>
      <c r="AX739">
        <v>0</v>
      </c>
      <c r="AY739">
        <v>0</v>
      </c>
      <c r="AZ739">
        <v>0</v>
      </c>
      <c r="BA739" t="s">
        <v>8</v>
      </c>
      <c r="BB739" t="s">
        <v>4</v>
      </c>
      <c r="BC739" t="s">
        <v>10</v>
      </c>
      <c r="BD739">
        <v>0</v>
      </c>
      <c r="BE739">
        <v>0</v>
      </c>
      <c r="BF739">
        <v>0</v>
      </c>
      <c r="BG739">
        <v>0</v>
      </c>
      <c r="BH739">
        <v>0</v>
      </c>
      <c r="BI739" t="s">
        <v>9</v>
      </c>
      <c r="BJ739">
        <v>-2.7200999999999999E-4</v>
      </c>
      <c r="BK739">
        <v>0</v>
      </c>
      <c r="BL739">
        <v>2.5109999999999998E-4</v>
      </c>
      <c r="BM739" s="2">
        <f t="shared" si="11"/>
        <v>8.0751432797584629E-6</v>
      </c>
    </row>
    <row r="740" spans="1:65" x14ac:dyDescent="0.35">
      <c r="A740">
        <v>0</v>
      </c>
      <c r="B740" t="s">
        <v>3</v>
      </c>
      <c r="C740" t="s">
        <v>4</v>
      </c>
      <c r="D740">
        <v>0</v>
      </c>
      <c r="E740" t="s">
        <v>3</v>
      </c>
      <c r="F740" t="s">
        <v>5</v>
      </c>
      <c r="G740">
        <v>3081.1934299999998</v>
      </c>
      <c r="H740" t="s">
        <v>4</v>
      </c>
      <c r="I740">
        <v>990.16341899999998</v>
      </c>
      <c r="J740">
        <v>2091.0300109999998</v>
      </c>
      <c r="K740" t="s">
        <v>6</v>
      </c>
      <c r="L740" t="s">
        <v>7</v>
      </c>
      <c r="M740" t="s">
        <v>8</v>
      </c>
      <c r="N740" t="s">
        <v>6</v>
      </c>
      <c r="O740" t="s">
        <v>3</v>
      </c>
      <c r="P740" t="s">
        <v>3</v>
      </c>
      <c r="Q740" t="s">
        <v>3</v>
      </c>
      <c r="R740" t="s">
        <v>3</v>
      </c>
      <c r="S740" t="s">
        <v>3</v>
      </c>
      <c r="T740" t="s">
        <v>7</v>
      </c>
      <c r="U740">
        <v>1</v>
      </c>
      <c r="V740">
        <v>0</v>
      </c>
      <c r="W740">
        <v>0</v>
      </c>
      <c r="X740">
        <v>1</v>
      </c>
      <c r="Y740">
        <v>0</v>
      </c>
      <c r="Z740" t="s">
        <v>24</v>
      </c>
      <c r="AA740" t="s">
        <v>4</v>
      </c>
      <c r="AB740" t="s">
        <v>6</v>
      </c>
      <c r="AC740" t="s">
        <v>7</v>
      </c>
      <c r="AD740" t="s">
        <v>8</v>
      </c>
      <c r="AE740" t="s">
        <v>6</v>
      </c>
      <c r="AF740" t="s">
        <v>3</v>
      </c>
      <c r="AG740" t="s">
        <v>3</v>
      </c>
      <c r="AH740" t="s">
        <v>3</v>
      </c>
      <c r="AI740" t="s">
        <v>3</v>
      </c>
      <c r="AJ740" t="s">
        <v>3</v>
      </c>
      <c r="AK740" t="s">
        <v>7</v>
      </c>
      <c r="AL740">
        <v>0</v>
      </c>
      <c r="AM740">
        <v>0</v>
      </c>
      <c r="AN740">
        <v>0</v>
      </c>
      <c r="AO740">
        <v>0</v>
      </c>
      <c r="AP740">
        <v>0</v>
      </c>
      <c r="AQ740" t="s">
        <v>9</v>
      </c>
      <c r="AR740" s="1">
        <v>7.1877928200000005E-5</v>
      </c>
      <c r="AS740" s="1">
        <v>2.9023488500000002E-26</v>
      </c>
      <c r="AT740">
        <v>32</v>
      </c>
      <c r="AU740" t="s">
        <v>10</v>
      </c>
      <c r="AV740">
        <v>1</v>
      </c>
      <c r="AW740">
        <v>0</v>
      </c>
      <c r="AX740">
        <v>0</v>
      </c>
      <c r="AY740">
        <v>1</v>
      </c>
      <c r="AZ740">
        <v>0</v>
      </c>
      <c r="BA740" t="s">
        <v>24</v>
      </c>
      <c r="BB740" t="s">
        <v>4</v>
      </c>
      <c r="BC740" t="s">
        <v>10</v>
      </c>
      <c r="BD740">
        <v>0</v>
      </c>
      <c r="BE740">
        <v>0</v>
      </c>
      <c r="BF740">
        <v>0</v>
      </c>
      <c r="BG740">
        <v>0</v>
      </c>
      <c r="BH740">
        <v>0</v>
      </c>
      <c r="BI740" t="s">
        <v>9</v>
      </c>
      <c r="BJ740">
        <v>7.0160000000000006E-5</v>
      </c>
      <c r="BK740">
        <v>0</v>
      </c>
      <c r="BL740">
        <v>-1.5630000000000001E-5</v>
      </c>
      <c r="BM740" s="2">
        <f t="shared" si="11"/>
        <v>1.7478353425418081E-7</v>
      </c>
    </row>
    <row r="741" spans="1:65" x14ac:dyDescent="0.35">
      <c r="A741">
        <v>0</v>
      </c>
      <c r="B741" t="s">
        <v>11</v>
      </c>
      <c r="C741" t="s">
        <v>4</v>
      </c>
      <c r="D741">
        <v>0</v>
      </c>
      <c r="E741" t="s">
        <v>3</v>
      </c>
      <c r="F741" t="s">
        <v>5</v>
      </c>
      <c r="G741">
        <v>4558.7352659999997</v>
      </c>
      <c r="H741" t="s">
        <v>4</v>
      </c>
      <c r="I741">
        <v>990.16341899999998</v>
      </c>
      <c r="J741">
        <v>3568.5718470000002</v>
      </c>
      <c r="K741" t="s">
        <v>6</v>
      </c>
      <c r="L741" t="s">
        <v>7</v>
      </c>
      <c r="M741" t="s">
        <v>8</v>
      </c>
      <c r="N741" t="s">
        <v>6</v>
      </c>
      <c r="O741" t="s">
        <v>3</v>
      </c>
      <c r="P741" t="s">
        <v>3</v>
      </c>
      <c r="Q741" t="s">
        <v>3</v>
      </c>
      <c r="R741" t="s">
        <v>3</v>
      </c>
      <c r="S741" t="s">
        <v>11</v>
      </c>
      <c r="T741" t="s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 t="s">
        <v>31</v>
      </c>
      <c r="AA741" t="s">
        <v>4</v>
      </c>
      <c r="AB741" t="s">
        <v>6</v>
      </c>
      <c r="AC741" t="s">
        <v>7</v>
      </c>
      <c r="AD741" t="s">
        <v>8</v>
      </c>
      <c r="AE741" t="s">
        <v>6</v>
      </c>
      <c r="AF741" t="s">
        <v>3</v>
      </c>
      <c r="AG741" t="s">
        <v>3</v>
      </c>
      <c r="AH741" t="s">
        <v>3</v>
      </c>
      <c r="AI741" t="s">
        <v>3</v>
      </c>
      <c r="AJ741" t="s">
        <v>3</v>
      </c>
      <c r="AK741" t="s">
        <v>7</v>
      </c>
      <c r="AL741">
        <v>0</v>
      </c>
      <c r="AM741">
        <v>0</v>
      </c>
      <c r="AN741">
        <v>0</v>
      </c>
      <c r="AO741">
        <v>0</v>
      </c>
      <c r="AP741">
        <v>0</v>
      </c>
      <c r="AQ741" t="s">
        <v>9</v>
      </c>
      <c r="AR741" s="1">
        <v>3.5961163500000001E-5</v>
      </c>
      <c r="AS741" s="1">
        <v>1.2398754499999999E-26</v>
      </c>
      <c r="AT741">
        <v>30</v>
      </c>
      <c r="AU741" t="s">
        <v>10</v>
      </c>
      <c r="AV741">
        <v>0</v>
      </c>
      <c r="AW741">
        <v>0</v>
      </c>
      <c r="AX741">
        <v>0</v>
      </c>
      <c r="AY741">
        <v>0</v>
      </c>
      <c r="AZ741">
        <v>0</v>
      </c>
      <c r="BA741" t="s">
        <v>31</v>
      </c>
      <c r="BB741" t="s">
        <v>4</v>
      </c>
      <c r="BC741" t="s">
        <v>10</v>
      </c>
      <c r="BD741">
        <v>0</v>
      </c>
      <c r="BE741">
        <v>0</v>
      </c>
      <c r="BF741">
        <v>0</v>
      </c>
      <c r="BG741">
        <v>0</v>
      </c>
      <c r="BH741">
        <v>0</v>
      </c>
      <c r="BI741" t="s">
        <v>9</v>
      </c>
      <c r="BJ741">
        <v>0</v>
      </c>
      <c r="BK741">
        <v>3.5960000000000001E-5</v>
      </c>
      <c r="BL741">
        <v>0</v>
      </c>
      <c r="BM741" s="2">
        <f t="shared" si="11"/>
        <v>7.4667045343633598E-8</v>
      </c>
    </row>
    <row r="742" spans="1:65" x14ac:dyDescent="0.35">
      <c r="A742">
        <v>0</v>
      </c>
      <c r="B742" t="s">
        <v>11</v>
      </c>
      <c r="C742" t="s">
        <v>4</v>
      </c>
      <c r="D742">
        <v>0</v>
      </c>
      <c r="E742" t="s">
        <v>3</v>
      </c>
      <c r="F742" t="s">
        <v>5</v>
      </c>
      <c r="G742">
        <v>4697.7973240000001</v>
      </c>
      <c r="H742" t="s">
        <v>4</v>
      </c>
      <c r="I742">
        <v>990.16341899999998</v>
      </c>
      <c r="J742">
        <v>3707.6339050000001</v>
      </c>
      <c r="K742" t="s">
        <v>6</v>
      </c>
      <c r="L742" t="s">
        <v>7</v>
      </c>
      <c r="M742" t="s">
        <v>8</v>
      </c>
      <c r="N742" t="s">
        <v>6</v>
      </c>
      <c r="O742" t="s">
        <v>3</v>
      </c>
      <c r="P742" t="s">
        <v>3</v>
      </c>
      <c r="Q742" t="s">
        <v>3</v>
      </c>
      <c r="R742" t="s">
        <v>3</v>
      </c>
      <c r="S742" t="s">
        <v>11</v>
      </c>
      <c r="T742" t="s">
        <v>7</v>
      </c>
      <c r="U742">
        <v>0</v>
      </c>
      <c r="V742">
        <v>2</v>
      </c>
      <c r="W742">
        <v>0</v>
      </c>
      <c r="X742">
        <v>2</v>
      </c>
      <c r="Y742">
        <v>1</v>
      </c>
      <c r="Z742" t="s">
        <v>18</v>
      </c>
      <c r="AA742" t="s">
        <v>4</v>
      </c>
      <c r="AB742" t="s">
        <v>6</v>
      </c>
      <c r="AC742" t="s">
        <v>7</v>
      </c>
      <c r="AD742" t="s">
        <v>8</v>
      </c>
      <c r="AE742" t="s">
        <v>6</v>
      </c>
      <c r="AF742" t="s">
        <v>3</v>
      </c>
      <c r="AG742" t="s">
        <v>3</v>
      </c>
      <c r="AH742" t="s">
        <v>3</v>
      </c>
      <c r="AI742" t="s">
        <v>3</v>
      </c>
      <c r="AJ742" t="s">
        <v>3</v>
      </c>
      <c r="AK742" t="s">
        <v>7</v>
      </c>
      <c r="AL742">
        <v>0</v>
      </c>
      <c r="AM742">
        <v>0</v>
      </c>
      <c r="AN742">
        <v>0</v>
      </c>
      <c r="AO742">
        <v>0</v>
      </c>
      <c r="AP742">
        <v>0</v>
      </c>
      <c r="AQ742" t="s">
        <v>9</v>
      </c>
      <c r="AR742" s="1">
        <v>4.2701558699999996E-6</v>
      </c>
      <c r="AS742" s="1">
        <v>1.81635384E-28</v>
      </c>
      <c r="AT742">
        <v>31</v>
      </c>
      <c r="AU742" t="s">
        <v>10</v>
      </c>
      <c r="AV742">
        <v>0</v>
      </c>
      <c r="AW742">
        <v>2</v>
      </c>
      <c r="AX742">
        <v>0</v>
      </c>
      <c r="AY742">
        <v>2</v>
      </c>
      <c r="AZ742">
        <v>1</v>
      </c>
      <c r="BA742" t="s">
        <v>18</v>
      </c>
      <c r="BB742" t="s">
        <v>4</v>
      </c>
      <c r="BC742" t="s">
        <v>10</v>
      </c>
      <c r="BD742">
        <v>0</v>
      </c>
      <c r="BE742">
        <v>0</v>
      </c>
      <c r="BF742">
        <v>0</v>
      </c>
      <c r="BG742">
        <v>0</v>
      </c>
      <c r="BH742">
        <v>0</v>
      </c>
      <c r="BI742" t="s">
        <v>9</v>
      </c>
      <c r="BJ742">
        <v>0</v>
      </c>
      <c r="BK742">
        <v>4.2699999999999998E-6</v>
      </c>
      <c r="BL742">
        <v>0</v>
      </c>
      <c r="BM742" s="2">
        <f t="shared" si="11"/>
        <v>1.0938338567100671E-9</v>
      </c>
    </row>
    <row r="743" spans="1:65" x14ac:dyDescent="0.35">
      <c r="A743">
        <v>0</v>
      </c>
      <c r="B743" t="s">
        <v>11</v>
      </c>
      <c r="C743" t="s">
        <v>4</v>
      </c>
      <c r="D743">
        <v>0</v>
      </c>
      <c r="E743" t="s">
        <v>3</v>
      </c>
      <c r="F743" t="s">
        <v>5</v>
      </c>
      <c r="G743">
        <v>2806.6281130000002</v>
      </c>
      <c r="H743" t="s">
        <v>4</v>
      </c>
      <c r="I743">
        <v>990.16341899999998</v>
      </c>
      <c r="J743">
        <v>1816.464694</v>
      </c>
      <c r="K743" t="s">
        <v>6</v>
      </c>
      <c r="L743" t="s">
        <v>7</v>
      </c>
      <c r="M743" t="s">
        <v>8</v>
      </c>
      <c r="N743" t="s">
        <v>6</v>
      </c>
      <c r="O743" t="s">
        <v>3</v>
      </c>
      <c r="P743" t="s">
        <v>3</v>
      </c>
      <c r="Q743" t="s">
        <v>3</v>
      </c>
      <c r="R743" t="s">
        <v>3</v>
      </c>
      <c r="S743" t="s">
        <v>11</v>
      </c>
      <c r="T743" t="s">
        <v>7</v>
      </c>
      <c r="U743">
        <v>0</v>
      </c>
      <c r="V743">
        <v>0</v>
      </c>
      <c r="W743">
        <v>0</v>
      </c>
      <c r="X743">
        <v>1</v>
      </c>
      <c r="Y743">
        <v>1</v>
      </c>
      <c r="Z743" t="s">
        <v>14</v>
      </c>
      <c r="AA743" t="s">
        <v>4</v>
      </c>
      <c r="AB743" t="s">
        <v>6</v>
      </c>
      <c r="AC743" t="s">
        <v>7</v>
      </c>
      <c r="AD743" t="s">
        <v>8</v>
      </c>
      <c r="AE743" t="s">
        <v>6</v>
      </c>
      <c r="AF743" t="s">
        <v>3</v>
      </c>
      <c r="AG743" t="s">
        <v>3</v>
      </c>
      <c r="AH743" t="s">
        <v>3</v>
      </c>
      <c r="AI743" t="s">
        <v>3</v>
      </c>
      <c r="AJ743" t="s">
        <v>3</v>
      </c>
      <c r="AK743" t="s">
        <v>7</v>
      </c>
      <c r="AL743">
        <v>0</v>
      </c>
      <c r="AM743">
        <v>0</v>
      </c>
      <c r="AN743">
        <v>0</v>
      </c>
      <c r="AO743">
        <v>0</v>
      </c>
      <c r="AP743">
        <v>0</v>
      </c>
      <c r="AQ743" t="s">
        <v>9</v>
      </c>
      <c r="AR743" s="1">
        <v>1.01357561E-3</v>
      </c>
      <c r="AS743" s="1">
        <v>5.0128875699999997E-24</v>
      </c>
      <c r="AT743">
        <v>30</v>
      </c>
      <c r="AU743" t="s">
        <v>10</v>
      </c>
      <c r="AV743">
        <v>0</v>
      </c>
      <c r="AW743">
        <v>0</v>
      </c>
      <c r="AX743">
        <v>0</v>
      </c>
      <c r="AY743">
        <v>1</v>
      </c>
      <c r="AZ743">
        <v>1</v>
      </c>
      <c r="BA743" t="s">
        <v>14</v>
      </c>
      <c r="BB743" t="s">
        <v>4</v>
      </c>
      <c r="BC743" t="s">
        <v>10</v>
      </c>
      <c r="BD743">
        <v>0</v>
      </c>
      <c r="BE743">
        <v>0</v>
      </c>
      <c r="BF743">
        <v>0</v>
      </c>
      <c r="BG743">
        <v>0</v>
      </c>
      <c r="BH743">
        <v>0</v>
      </c>
      <c r="BI743" t="s">
        <v>9</v>
      </c>
      <c r="BJ743">
        <v>0</v>
      </c>
      <c r="BK743">
        <v>-1.01358E-3</v>
      </c>
      <c r="BL743">
        <v>0</v>
      </c>
      <c r="BM743" s="2">
        <f t="shared" si="11"/>
        <v>3.0188314761109856E-5</v>
      </c>
    </row>
    <row r="744" spans="1:65" x14ac:dyDescent="0.35">
      <c r="A744">
        <v>0</v>
      </c>
      <c r="B744" t="s">
        <v>3</v>
      </c>
      <c r="C744" t="s">
        <v>4</v>
      </c>
      <c r="D744">
        <v>0</v>
      </c>
      <c r="E744" t="s">
        <v>3</v>
      </c>
      <c r="F744" t="s">
        <v>5</v>
      </c>
      <c r="G744">
        <v>3479.9216200000001</v>
      </c>
      <c r="H744" t="s">
        <v>4</v>
      </c>
      <c r="I744">
        <v>990.16341899999998</v>
      </c>
      <c r="J744">
        <v>2489.7582010000001</v>
      </c>
      <c r="K744" t="s">
        <v>6</v>
      </c>
      <c r="L744" t="s">
        <v>7</v>
      </c>
      <c r="M744" t="s">
        <v>8</v>
      </c>
      <c r="N744" t="s">
        <v>6</v>
      </c>
      <c r="O744" t="s">
        <v>3</v>
      </c>
      <c r="P744" t="s">
        <v>3</v>
      </c>
      <c r="Q744" t="s">
        <v>3</v>
      </c>
      <c r="R744" t="s">
        <v>3</v>
      </c>
      <c r="S744" t="s">
        <v>3</v>
      </c>
      <c r="T744" t="s">
        <v>7</v>
      </c>
      <c r="U744">
        <v>1</v>
      </c>
      <c r="V744">
        <v>1</v>
      </c>
      <c r="W744">
        <v>0</v>
      </c>
      <c r="X744">
        <v>1</v>
      </c>
      <c r="Y744">
        <v>1</v>
      </c>
      <c r="Z744" t="s">
        <v>8</v>
      </c>
      <c r="AA744" t="s">
        <v>4</v>
      </c>
      <c r="AB744" t="s">
        <v>6</v>
      </c>
      <c r="AC744" t="s">
        <v>7</v>
      </c>
      <c r="AD744" t="s">
        <v>8</v>
      </c>
      <c r="AE744" t="s">
        <v>6</v>
      </c>
      <c r="AF744" t="s">
        <v>3</v>
      </c>
      <c r="AG744" t="s">
        <v>3</v>
      </c>
      <c r="AH744" t="s">
        <v>3</v>
      </c>
      <c r="AI744" t="s">
        <v>3</v>
      </c>
      <c r="AJ744" t="s">
        <v>3</v>
      </c>
      <c r="AK744" t="s">
        <v>7</v>
      </c>
      <c r="AL744">
        <v>0</v>
      </c>
      <c r="AM744">
        <v>0</v>
      </c>
      <c r="AN744">
        <v>0</v>
      </c>
      <c r="AO744">
        <v>0</v>
      </c>
      <c r="AP744">
        <v>0</v>
      </c>
      <c r="AQ744" t="s">
        <v>9</v>
      </c>
      <c r="AR744" s="1">
        <v>6.6765091700000001E-4</v>
      </c>
      <c r="AS744" s="1">
        <v>2.98173897E-24</v>
      </c>
      <c r="AT744">
        <v>35</v>
      </c>
      <c r="AU744" t="s">
        <v>10</v>
      </c>
      <c r="AV744">
        <v>1</v>
      </c>
      <c r="AW744">
        <v>1</v>
      </c>
      <c r="AX744">
        <v>0</v>
      </c>
      <c r="AY744">
        <v>1</v>
      </c>
      <c r="AZ744">
        <v>1</v>
      </c>
      <c r="BA744" t="s">
        <v>8</v>
      </c>
      <c r="BB744" t="s">
        <v>4</v>
      </c>
      <c r="BC744" t="s">
        <v>10</v>
      </c>
      <c r="BD744">
        <v>0</v>
      </c>
      <c r="BE744">
        <v>0</v>
      </c>
      <c r="BF744">
        <v>0</v>
      </c>
      <c r="BG744">
        <v>0</v>
      </c>
      <c r="BH744">
        <v>0</v>
      </c>
      <c r="BI744" t="s">
        <v>9</v>
      </c>
      <c r="BJ744">
        <v>-6.6545999999999999E-4</v>
      </c>
      <c r="BK744">
        <v>0</v>
      </c>
      <c r="BL744">
        <v>5.4020000000000001E-5</v>
      </c>
      <c r="BM744" s="2">
        <f t="shared" si="11"/>
        <v>1.7956451906186976E-5</v>
      </c>
    </row>
    <row r="745" spans="1:65" x14ac:dyDescent="0.35">
      <c r="A745">
        <v>0</v>
      </c>
      <c r="B745" t="s">
        <v>11</v>
      </c>
      <c r="C745" t="s">
        <v>4</v>
      </c>
      <c r="D745">
        <v>0</v>
      </c>
      <c r="E745" t="s">
        <v>3</v>
      </c>
      <c r="F745" t="s">
        <v>5</v>
      </c>
      <c r="G745">
        <v>4924.928782</v>
      </c>
      <c r="H745" t="s">
        <v>4</v>
      </c>
      <c r="I745">
        <v>990.16341899999998</v>
      </c>
      <c r="J745">
        <v>3934.765363</v>
      </c>
      <c r="K745" t="s">
        <v>6</v>
      </c>
      <c r="L745" t="s">
        <v>7</v>
      </c>
      <c r="M745" t="s">
        <v>8</v>
      </c>
      <c r="N745" t="s">
        <v>6</v>
      </c>
      <c r="O745" t="s">
        <v>3</v>
      </c>
      <c r="P745" t="s">
        <v>3</v>
      </c>
      <c r="Q745" t="s">
        <v>3</v>
      </c>
      <c r="R745" t="s">
        <v>3</v>
      </c>
      <c r="S745" t="s">
        <v>11</v>
      </c>
      <c r="T745" t="s">
        <v>7</v>
      </c>
      <c r="U745">
        <v>0</v>
      </c>
      <c r="V745">
        <v>1</v>
      </c>
      <c r="W745">
        <v>0</v>
      </c>
      <c r="X745">
        <v>5</v>
      </c>
      <c r="Y745">
        <v>0</v>
      </c>
      <c r="Z745" t="s">
        <v>13</v>
      </c>
      <c r="AA745" t="s">
        <v>4</v>
      </c>
      <c r="AB745" t="s">
        <v>6</v>
      </c>
      <c r="AC745" t="s">
        <v>7</v>
      </c>
      <c r="AD745" t="s">
        <v>8</v>
      </c>
      <c r="AE745" t="s">
        <v>6</v>
      </c>
      <c r="AF745" t="s">
        <v>3</v>
      </c>
      <c r="AG745" t="s">
        <v>3</v>
      </c>
      <c r="AH745" t="s">
        <v>3</v>
      </c>
      <c r="AI745" t="s">
        <v>3</v>
      </c>
      <c r="AJ745" t="s">
        <v>3</v>
      </c>
      <c r="AK745" t="s">
        <v>7</v>
      </c>
      <c r="AL745">
        <v>0</v>
      </c>
      <c r="AM745">
        <v>0</v>
      </c>
      <c r="AN745">
        <v>0</v>
      </c>
      <c r="AO745">
        <v>0</v>
      </c>
      <c r="AP745">
        <v>0</v>
      </c>
      <c r="AQ745" t="s">
        <v>9</v>
      </c>
      <c r="AR745" s="1">
        <v>1.6952180499999999E-6</v>
      </c>
      <c r="AS745" s="1">
        <v>3.0379885699999999E-29</v>
      </c>
      <c r="AT745">
        <v>32</v>
      </c>
      <c r="AU745" t="s">
        <v>10</v>
      </c>
      <c r="AV745">
        <v>0</v>
      </c>
      <c r="AW745">
        <v>1</v>
      </c>
      <c r="AX745">
        <v>0</v>
      </c>
      <c r="AY745">
        <v>5</v>
      </c>
      <c r="AZ745">
        <v>0</v>
      </c>
      <c r="BA745" t="s">
        <v>13</v>
      </c>
      <c r="BB745" t="s">
        <v>4</v>
      </c>
      <c r="BC745" t="s">
        <v>10</v>
      </c>
      <c r="BD745">
        <v>0</v>
      </c>
      <c r="BE745">
        <v>0</v>
      </c>
      <c r="BF745">
        <v>0</v>
      </c>
      <c r="BG745">
        <v>0</v>
      </c>
      <c r="BH745">
        <v>0</v>
      </c>
      <c r="BI745" t="s">
        <v>9</v>
      </c>
      <c r="BJ745">
        <v>0</v>
      </c>
      <c r="BK745">
        <v>-1.7E-6</v>
      </c>
      <c r="BL745">
        <v>0</v>
      </c>
      <c r="BM745" s="2">
        <f t="shared" si="11"/>
        <v>1.8295194917330657E-10</v>
      </c>
    </row>
    <row r="746" spans="1:65" x14ac:dyDescent="0.35">
      <c r="A746">
        <v>0</v>
      </c>
      <c r="B746" t="s">
        <v>3</v>
      </c>
      <c r="C746" t="s">
        <v>4</v>
      </c>
      <c r="D746">
        <v>0</v>
      </c>
      <c r="E746" t="s">
        <v>3</v>
      </c>
      <c r="F746" t="s">
        <v>5</v>
      </c>
      <c r="G746">
        <v>4984.1584499999999</v>
      </c>
      <c r="H746" t="s">
        <v>4</v>
      </c>
      <c r="I746">
        <v>990.16341899999998</v>
      </c>
      <c r="J746">
        <v>3993.9950309999999</v>
      </c>
      <c r="K746" t="s">
        <v>6</v>
      </c>
      <c r="L746" t="s">
        <v>7</v>
      </c>
      <c r="M746" t="s">
        <v>8</v>
      </c>
      <c r="N746" t="s">
        <v>6</v>
      </c>
      <c r="O746" t="s">
        <v>3</v>
      </c>
      <c r="P746" t="s">
        <v>3</v>
      </c>
      <c r="Q746" t="s">
        <v>3</v>
      </c>
      <c r="R746" t="s">
        <v>3</v>
      </c>
      <c r="S746" t="s">
        <v>3</v>
      </c>
      <c r="T746" t="s">
        <v>7</v>
      </c>
      <c r="U746">
        <v>1</v>
      </c>
      <c r="V746">
        <v>1</v>
      </c>
      <c r="W746">
        <v>0</v>
      </c>
      <c r="X746">
        <v>0</v>
      </c>
      <c r="Y746">
        <v>1</v>
      </c>
      <c r="Z746" t="s">
        <v>21</v>
      </c>
      <c r="AA746" t="s">
        <v>4</v>
      </c>
      <c r="AB746" t="s">
        <v>6</v>
      </c>
      <c r="AC746" t="s">
        <v>7</v>
      </c>
      <c r="AD746" t="s">
        <v>8</v>
      </c>
      <c r="AE746" t="s">
        <v>6</v>
      </c>
      <c r="AF746" t="s">
        <v>3</v>
      </c>
      <c r="AG746" t="s">
        <v>3</v>
      </c>
      <c r="AH746" t="s">
        <v>3</v>
      </c>
      <c r="AI746" t="s">
        <v>3</v>
      </c>
      <c r="AJ746" t="s">
        <v>3</v>
      </c>
      <c r="AK746" t="s">
        <v>7</v>
      </c>
      <c r="AL746">
        <v>0</v>
      </c>
      <c r="AM746">
        <v>0</v>
      </c>
      <c r="AN746">
        <v>0</v>
      </c>
      <c r="AO746">
        <v>0</v>
      </c>
      <c r="AP746">
        <v>0</v>
      </c>
      <c r="AQ746" t="s">
        <v>9</v>
      </c>
      <c r="AR746" s="1">
        <v>2.6483637E-5</v>
      </c>
      <c r="AS746" s="1">
        <v>7.5262551199999997E-27</v>
      </c>
      <c r="AT746">
        <v>32</v>
      </c>
      <c r="AU746" t="s">
        <v>10</v>
      </c>
      <c r="AV746">
        <v>1</v>
      </c>
      <c r="AW746">
        <v>1</v>
      </c>
      <c r="AX746">
        <v>0</v>
      </c>
      <c r="AY746">
        <v>0</v>
      </c>
      <c r="AZ746">
        <v>1</v>
      </c>
      <c r="BA746" t="s">
        <v>21</v>
      </c>
      <c r="BB746" t="s">
        <v>4</v>
      </c>
      <c r="BC746" t="s">
        <v>10</v>
      </c>
      <c r="BD746">
        <v>0</v>
      </c>
      <c r="BE746">
        <v>0</v>
      </c>
      <c r="BF746">
        <v>0</v>
      </c>
      <c r="BG746">
        <v>0</v>
      </c>
      <c r="BH746">
        <v>0</v>
      </c>
      <c r="BI746" t="s">
        <v>9</v>
      </c>
      <c r="BJ746">
        <v>-2.3200000000000001E-5</v>
      </c>
      <c r="BK746">
        <v>0</v>
      </c>
      <c r="BL746">
        <v>1.277E-5</v>
      </c>
      <c r="BM746" s="2">
        <f t="shared" si="11"/>
        <v>4.5324168029360892E-8</v>
      </c>
    </row>
    <row r="747" spans="1:65" x14ac:dyDescent="0.35">
      <c r="A747">
        <v>0</v>
      </c>
      <c r="B747" t="s">
        <v>3</v>
      </c>
      <c r="C747" t="s">
        <v>4</v>
      </c>
      <c r="D747">
        <v>0</v>
      </c>
      <c r="E747" t="s">
        <v>3</v>
      </c>
      <c r="F747" t="s">
        <v>5</v>
      </c>
      <c r="G747">
        <v>4862.5003390000002</v>
      </c>
      <c r="H747" t="s">
        <v>4</v>
      </c>
      <c r="I747">
        <v>990.16341899999998</v>
      </c>
      <c r="J747">
        <v>3872.3369200000002</v>
      </c>
      <c r="K747" t="s">
        <v>6</v>
      </c>
      <c r="L747" t="s">
        <v>7</v>
      </c>
      <c r="M747" t="s">
        <v>8</v>
      </c>
      <c r="N747" t="s">
        <v>6</v>
      </c>
      <c r="O747" t="s">
        <v>3</v>
      </c>
      <c r="P747" t="s">
        <v>3</v>
      </c>
      <c r="Q747" t="s">
        <v>3</v>
      </c>
      <c r="R747" t="s">
        <v>3</v>
      </c>
      <c r="S747" t="s">
        <v>3</v>
      </c>
      <c r="T747" t="s">
        <v>7</v>
      </c>
      <c r="U747">
        <v>0</v>
      </c>
      <c r="V747">
        <v>1</v>
      </c>
      <c r="W747">
        <v>0</v>
      </c>
      <c r="X747">
        <v>6</v>
      </c>
      <c r="Y747">
        <v>0</v>
      </c>
      <c r="Z747" t="s">
        <v>15</v>
      </c>
      <c r="AA747" t="s">
        <v>4</v>
      </c>
      <c r="AB747" t="s">
        <v>6</v>
      </c>
      <c r="AC747" t="s">
        <v>7</v>
      </c>
      <c r="AD747" t="s">
        <v>8</v>
      </c>
      <c r="AE747" t="s">
        <v>6</v>
      </c>
      <c r="AF747" t="s">
        <v>3</v>
      </c>
      <c r="AG747" t="s">
        <v>3</v>
      </c>
      <c r="AH747" t="s">
        <v>3</v>
      </c>
      <c r="AI747" t="s">
        <v>3</v>
      </c>
      <c r="AJ747" t="s">
        <v>3</v>
      </c>
      <c r="AK747" t="s">
        <v>7</v>
      </c>
      <c r="AL747">
        <v>0</v>
      </c>
      <c r="AM747">
        <v>0</v>
      </c>
      <c r="AN747">
        <v>0</v>
      </c>
      <c r="AO747">
        <v>0</v>
      </c>
      <c r="AP747">
        <v>0</v>
      </c>
      <c r="AQ747" t="s">
        <v>9</v>
      </c>
      <c r="AR747" s="1">
        <v>3.6325089599999999E-7</v>
      </c>
      <c r="AS747" s="1">
        <v>1.3727855E-30</v>
      </c>
      <c r="AT747">
        <v>32</v>
      </c>
      <c r="AU747" t="s">
        <v>10</v>
      </c>
      <c r="AV747">
        <v>0</v>
      </c>
      <c r="AW747">
        <v>1</v>
      </c>
      <c r="AX747">
        <v>0</v>
      </c>
      <c r="AY747">
        <v>6</v>
      </c>
      <c r="AZ747">
        <v>0</v>
      </c>
      <c r="BA747" t="s">
        <v>15</v>
      </c>
      <c r="BB747" t="s">
        <v>4</v>
      </c>
      <c r="BC747" t="s">
        <v>10</v>
      </c>
      <c r="BD747">
        <v>0</v>
      </c>
      <c r="BE747">
        <v>0</v>
      </c>
      <c r="BF747">
        <v>0</v>
      </c>
      <c r="BG747">
        <v>0</v>
      </c>
      <c r="BH747">
        <v>0</v>
      </c>
      <c r="BI747" t="s">
        <v>9</v>
      </c>
      <c r="BJ747">
        <v>4.9999999999999998E-8</v>
      </c>
      <c r="BK747">
        <v>0</v>
      </c>
      <c r="BL747">
        <v>-3.5999999999999999E-7</v>
      </c>
      <c r="BM747" s="2">
        <f t="shared" si="11"/>
        <v>8.2671075691984001E-12</v>
      </c>
    </row>
    <row r="748" spans="1:65" x14ac:dyDescent="0.35">
      <c r="A748">
        <v>0</v>
      </c>
      <c r="B748" t="s">
        <v>3</v>
      </c>
      <c r="C748" t="s">
        <v>4</v>
      </c>
      <c r="D748">
        <v>0</v>
      </c>
      <c r="E748" t="s">
        <v>3</v>
      </c>
      <c r="F748" t="s">
        <v>5</v>
      </c>
      <c r="G748">
        <v>4342.964516</v>
      </c>
      <c r="H748" t="s">
        <v>4</v>
      </c>
      <c r="I748">
        <v>990.16341899999998</v>
      </c>
      <c r="J748">
        <v>3352.801097</v>
      </c>
      <c r="K748" t="s">
        <v>6</v>
      </c>
      <c r="L748" t="s">
        <v>7</v>
      </c>
      <c r="M748" t="s">
        <v>8</v>
      </c>
      <c r="N748" t="s">
        <v>6</v>
      </c>
      <c r="O748" t="s">
        <v>3</v>
      </c>
      <c r="P748" t="s">
        <v>3</v>
      </c>
      <c r="Q748" t="s">
        <v>3</v>
      </c>
      <c r="R748" t="s">
        <v>3</v>
      </c>
      <c r="S748" t="s">
        <v>3</v>
      </c>
      <c r="T748" t="s">
        <v>7</v>
      </c>
      <c r="U748">
        <v>1</v>
      </c>
      <c r="V748">
        <v>0</v>
      </c>
      <c r="W748">
        <v>0</v>
      </c>
      <c r="X748">
        <v>1</v>
      </c>
      <c r="Y748">
        <v>0</v>
      </c>
      <c r="Z748" t="s">
        <v>27</v>
      </c>
      <c r="AA748" t="s">
        <v>4</v>
      </c>
      <c r="AB748" t="s">
        <v>6</v>
      </c>
      <c r="AC748" t="s">
        <v>7</v>
      </c>
      <c r="AD748" t="s">
        <v>8</v>
      </c>
      <c r="AE748" t="s">
        <v>6</v>
      </c>
      <c r="AF748" t="s">
        <v>3</v>
      </c>
      <c r="AG748" t="s">
        <v>3</v>
      </c>
      <c r="AH748" t="s">
        <v>3</v>
      </c>
      <c r="AI748" t="s">
        <v>3</v>
      </c>
      <c r="AJ748" t="s">
        <v>3</v>
      </c>
      <c r="AK748" t="s">
        <v>7</v>
      </c>
      <c r="AL748">
        <v>0</v>
      </c>
      <c r="AM748">
        <v>0</v>
      </c>
      <c r="AN748">
        <v>0</v>
      </c>
      <c r="AO748">
        <v>0</v>
      </c>
      <c r="AP748">
        <v>0</v>
      </c>
      <c r="AQ748" t="s">
        <v>9</v>
      </c>
      <c r="AR748" s="1">
        <v>2.8216055899999998E-4</v>
      </c>
      <c r="AS748" s="1">
        <v>7.1716077399999998E-25</v>
      </c>
      <c r="AT748">
        <v>31</v>
      </c>
      <c r="AU748" t="s">
        <v>10</v>
      </c>
      <c r="AV748">
        <v>1</v>
      </c>
      <c r="AW748">
        <v>0</v>
      </c>
      <c r="AX748">
        <v>0</v>
      </c>
      <c r="AY748">
        <v>1</v>
      </c>
      <c r="AZ748">
        <v>0</v>
      </c>
      <c r="BA748" t="s">
        <v>27</v>
      </c>
      <c r="BB748" t="s">
        <v>4</v>
      </c>
      <c r="BC748" t="s">
        <v>10</v>
      </c>
      <c r="BD748">
        <v>0</v>
      </c>
      <c r="BE748">
        <v>0</v>
      </c>
      <c r="BF748">
        <v>0</v>
      </c>
      <c r="BG748">
        <v>0</v>
      </c>
      <c r="BH748">
        <v>0</v>
      </c>
      <c r="BI748" t="s">
        <v>9</v>
      </c>
      <c r="BJ748">
        <v>-2.7788999999999998E-4</v>
      </c>
      <c r="BK748">
        <v>0</v>
      </c>
      <c r="BL748">
        <v>4.8900000000000003E-5</v>
      </c>
      <c r="BM748" s="2">
        <f t="shared" si="11"/>
        <v>4.3188431572649788E-6</v>
      </c>
    </row>
    <row r="749" spans="1:65" x14ac:dyDescent="0.35">
      <c r="A749">
        <v>0</v>
      </c>
      <c r="B749" t="s">
        <v>3</v>
      </c>
      <c r="C749" t="s">
        <v>4</v>
      </c>
      <c r="D749">
        <v>0</v>
      </c>
      <c r="E749" t="s">
        <v>3</v>
      </c>
      <c r="F749" t="s">
        <v>5</v>
      </c>
      <c r="G749">
        <v>3308.2728350000002</v>
      </c>
      <c r="H749" t="s">
        <v>4</v>
      </c>
      <c r="I749">
        <v>990.16341899999998</v>
      </c>
      <c r="J749">
        <v>2318.1094149999999</v>
      </c>
      <c r="K749" t="s">
        <v>6</v>
      </c>
      <c r="L749" t="s">
        <v>7</v>
      </c>
      <c r="M749" t="s">
        <v>8</v>
      </c>
      <c r="N749" t="s">
        <v>6</v>
      </c>
      <c r="O749" t="s">
        <v>3</v>
      </c>
      <c r="P749" t="s">
        <v>3</v>
      </c>
      <c r="Q749" t="s">
        <v>3</v>
      </c>
      <c r="R749" t="s">
        <v>3</v>
      </c>
      <c r="S749" t="s">
        <v>3</v>
      </c>
      <c r="T749" t="s">
        <v>7</v>
      </c>
      <c r="U749">
        <v>0</v>
      </c>
      <c r="V749">
        <v>0</v>
      </c>
      <c r="W749">
        <v>0</v>
      </c>
      <c r="X749">
        <v>7</v>
      </c>
      <c r="Y749">
        <v>0</v>
      </c>
      <c r="Z749" t="s">
        <v>8</v>
      </c>
      <c r="AA749" t="s">
        <v>4</v>
      </c>
      <c r="AB749" t="s">
        <v>6</v>
      </c>
      <c r="AC749" t="s">
        <v>7</v>
      </c>
      <c r="AD749" t="s">
        <v>8</v>
      </c>
      <c r="AE749" t="s">
        <v>6</v>
      </c>
      <c r="AF749" t="s">
        <v>3</v>
      </c>
      <c r="AG749" t="s">
        <v>3</v>
      </c>
      <c r="AH749" t="s">
        <v>3</v>
      </c>
      <c r="AI749" t="s">
        <v>3</v>
      </c>
      <c r="AJ749" t="s">
        <v>3</v>
      </c>
      <c r="AK749" t="s">
        <v>7</v>
      </c>
      <c r="AL749">
        <v>0</v>
      </c>
      <c r="AM749">
        <v>0</v>
      </c>
      <c r="AN749">
        <v>0</v>
      </c>
      <c r="AO749">
        <v>0</v>
      </c>
      <c r="AP749">
        <v>0</v>
      </c>
      <c r="AQ749" t="s">
        <v>9</v>
      </c>
      <c r="AR749" s="1">
        <v>2.1417938799999998E-6</v>
      </c>
      <c r="AS749" s="1">
        <v>2.8569290399999999E-29</v>
      </c>
      <c r="AT749">
        <v>35</v>
      </c>
      <c r="AU749" t="s">
        <v>10</v>
      </c>
      <c r="AV749">
        <v>0</v>
      </c>
      <c r="AW749">
        <v>0</v>
      </c>
      <c r="AX749">
        <v>0</v>
      </c>
      <c r="AY749">
        <v>7</v>
      </c>
      <c r="AZ749">
        <v>0</v>
      </c>
      <c r="BA749" t="s">
        <v>8</v>
      </c>
      <c r="BB749" t="s">
        <v>4</v>
      </c>
      <c r="BC749" t="s">
        <v>10</v>
      </c>
      <c r="BD749">
        <v>0</v>
      </c>
      <c r="BE749">
        <v>0</v>
      </c>
      <c r="BF749">
        <v>0</v>
      </c>
      <c r="BG749">
        <v>0</v>
      </c>
      <c r="BH749">
        <v>0</v>
      </c>
      <c r="BI749" t="s">
        <v>9</v>
      </c>
      <c r="BJ749">
        <v>2.0899999999999999E-6</v>
      </c>
      <c r="BK749">
        <v>0</v>
      </c>
      <c r="BL749">
        <v>-4.5999999999999999E-7</v>
      </c>
      <c r="BM749" s="2">
        <f t="shared" si="11"/>
        <v>1.7204828934488833E-10</v>
      </c>
    </row>
    <row r="750" spans="1:65" x14ac:dyDescent="0.35">
      <c r="A750">
        <v>0</v>
      </c>
      <c r="B750" t="s">
        <v>3</v>
      </c>
      <c r="C750" t="s">
        <v>4</v>
      </c>
      <c r="D750">
        <v>0</v>
      </c>
      <c r="E750" t="s">
        <v>3</v>
      </c>
      <c r="F750" t="s">
        <v>5</v>
      </c>
      <c r="G750">
        <v>2048.8903959999998</v>
      </c>
      <c r="H750" t="s">
        <v>4</v>
      </c>
      <c r="I750">
        <v>990.16341899999998</v>
      </c>
      <c r="J750">
        <v>1058.726977</v>
      </c>
      <c r="K750" t="s">
        <v>6</v>
      </c>
      <c r="L750" t="s">
        <v>7</v>
      </c>
      <c r="M750" t="s">
        <v>8</v>
      </c>
      <c r="N750" t="s">
        <v>6</v>
      </c>
      <c r="O750" t="s">
        <v>3</v>
      </c>
      <c r="P750" t="s">
        <v>3</v>
      </c>
      <c r="Q750" t="s">
        <v>3</v>
      </c>
      <c r="R750" t="s">
        <v>3</v>
      </c>
      <c r="S750" t="s">
        <v>3</v>
      </c>
      <c r="T750" t="s">
        <v>7</v>
      </c>
      <c r="U750">
        <v>0</v>
      </c>
      <c r="V750">
        <v>1</v>
      </c>
      <c r="W750">
        <v>0</v>
      </c>
      <c r="X750">
        <v>2</v>
      </c>
      <c r="Y750">
        <v>0</v>
      </c>
      <c r="Z750" t="s">
        <v>8</v>
      </c>
      <c r="AA750" t="s">
        <v>4</v>
      </c>
      <c r="AB750" t="s">
        <v>6</v>
      </c>
      <c r="AC750" t="s">
        <v>7</v>
      </c>
      <c r="AD750" t="s">
        <v>8</v>
      </c>
      <c r="AE750" t="s">
        <v>6</v>
      </c>
      <c r="AF750" t="s">
        <v>3</v>
      </c>
      <c r="AG750" t="s">
        <v>3</v>
      </c>
      <c r="AH750" t="s">
        <v>3</v>
      </c>
      <c r="AI750" t="s">
        <v>3</v>
      </c>
      <c r="AJ750" t="s">
        <v>3</v>
      </c>
      <c r="AK750" t="s">
        <v>7</v>
      </c>
      <c r="AL750">
        <v>0</v>
      </c>
      <c r="AM750">
        <v>0</v>
      </c>
      <c r="AN750">
        <v>0</v>
      </c>
      <c r="AO750">
        <v>0</v>
      </c>
      <c r="AP750">
        <v>0</v>
      </c>
      <c r="AQ750" t="s">
        <v>9</v>
      </c>
      <c r="AR750" s="1">
        <v>2.5672824399999998E-6</v>
      </c>
      <c r="AS750" s="1">
        <v>1.86346963E-29</v>
      </c>
      <c r="AT750">
        <v>36</v>
      </c>
      <c r="AU750" t="s">
        <v>10</v>
      </c>
      <c r="AV750">
        <v>0</v>
      </c>
      <c r="AW750">
        <v>1</v>
      </c>
      <c r="AX750">
        <v>0</v>
      </c>
      <c r="AY750">
        <v>2</v>
      </c>
      <c r="AZ750">
        <v>0</v>
      </c>
      <c r="BA750" t="s">
        <v>8</v>
      </c>
      <c r="BB750" t="s">
        <v>4</v>
      </c>
      <c r="BC750" t="s">
        <v>10</v>
      </c>
      <c r="BD750">
        <v>0</v>
      </c>
      <c r="BE750">
        <v>0</v>
      </c>
      <c r="BF750">
        <v>0</v>
      </c>
      <c r="BG750">
        <v>0</v>
      </c>
      <c r="BH750">
        <v>0</v>
      </c>
      <c r="BI750" t="s">
        <v>9</v>
      </c>
      <c r="BJ750">
        <v>-1.35E-6</v>
      </c>
      <c r="BK750">
        <v>0</v>
      </c>
      <c r="BL750">
        <v>-2.1799999999999999E-6</v>
      </c>
      <c r="BM750" s="2">
        <f t="shared" si="11"/>
        <v>1.1222076488383905E-10</v>
      </c>
    </row>
    <row r="751" spans="1:65" x14ac:dyDescent="0.35">
      <c r="A751">
        <v>0</v>
      </c>
      <c r="B751" t="s">
        <v>3</v>
      </c>
      <c r="C751" t="s">
        <v>4</v>
      </c>
      <c r="D751">
        <v>0</v>
      </c>
      <c r="E751" t="s">
        <v>3</v>
      </c>
      <c r="F751" t="s">
        <v>5</v>
      </c>
      <c r="G751">
        <v>4443.1898389999997</v>
      </c>
      <c r="H751" t="s">
        <v>4</v>
      </c>
      <c r="I751">
        <v>990.16341899999998</v>
      </c>
      <c r="J751">
        <v>3453.0264200000001</v>
      </c>
      <c r="K751" t="s">
        <v>6</v>
      </c>
      <c r="L751" t="s">
        <v>7</v>
      </c>
      <c r="M751" t="s">
        <v>8</v>
      </c>
      <c r="N751" t="s">
        <v>6</v>
      </c>
      <c r="O751" t="s">
        <v>3</v>
      </c>
      <c r="P751" t="s">
        <v>3</v>
      </c>
      <c r="Q751" t="s">
        <v>3</v>
      </c>
      <c r="R751" t="s">
        <v>3</v>
      </c>
      <c r="S751" t="s">
        <v>3</v>
      </c>
      <c r="T751" t="s">
        <v>7</v>
      </c>
      <c r="U751">
        <v>1</v>
      </c>
      <c r="V751">
        <v>0</v>
      </c>
      <c r="W751">
        <v>0</v>
      </c>
      <c r="X751">
        <v>6</v>
      </c>
      <c r="Y751">
        <v>0</v>
      </c>
      <c r="Z751" t="s">
        <v>15</v>
      </c>
      <c r="AA751" t="s">
        <v>4</v>
      </c>
      <c r="AB751" t="s">
        <v>6</v>
      </c>
      <c r="AC751" t="s">
        <v>7</v>
      </c>
      <c r="AD751" t="s">
        <v>8</v>
      </c>
      <c r="AE751" t="s">
        <v>6</v>
      </c>
      <c r="AF751" t="s">
        <v>3</v>
      </c>
      <c r="AG751" t="s">
        <v>3</v>
      </c>
      <c r="AH751" t="s">
        <v>3</v>
      </c>
      <c r="AI751" t="s">
        <v>3</v>
      </c>
      <c r="AJ751" t="s">
        <v>3</v>
      </c>
      <c r="AK751" t="s">
        <v>7</v>
      </c>
      <c r="AL751">
        <v>0</v>
      </c>
      <c r="AM751">
        <v>0</v>
      </c>
      <c r="AN751">
        <v>0</v>
      </c>
      <c r="AO751">
        <v>0</v>
      </c>
      <c r="AP751">
        <v>0</v>
      </c>
      <c r="AQ751" t="s">
        <v>9</v>
      </c>
      <c r="AR751" s="1">
        <v>4.6973219799999998E-5</v>
      </c>
      <c r="AS751" s="1">
        <v>2.04699461E-26</v>
      </c>
      <c r="AT751">
        <v>17</v>
      </c>
      <c r="AU751" t="s">
        <v>10</v>
      </c>
      <c r="AV751">
        <v>1</v>
      </c>
      <c r="AW751">
        <v>0</v>
      </c>
      <c r="AX751">
        <v>0</v>
      </c>
      <c r="AY751">
        <v>6</v>
      </c>
      <c r="AZ751">
        <v>0</v>
      </c>
      <c r="BA751" t="s">
        <v>15</v>
      </c>
      <c r="BB751" t="s">
        <v>4</v>
      </c>
      <c r="BC751" t="s">
        <v>10</v>
      </c>
      <c r="BD751">
        <v>0</v>
      </c>
      <c r="BE751">
        <v>0</v>
      </c>
      <c r="BF751">
        <v>0</v>
      </c>
      <c r="BG751">
        <v>0</v>
      </c>
      <c r="BH751">
        <v>0</v>
      </c>
      <c r="BI751" t="s">
        <v>9</v>
      </c>
      <c r="BJ751">
        <v>4.6480000000000002E-5</v>
      </c>
      <c r="BK751">
        <v>0</v>
      </c>
      <c r="BL751">
        <v>6.7900000000000002E-6</v>
      </c>
      <c r="BM751" s="2">
        <f t="shared" si="11"/>
        <v>1.2327289758261088E-7</v>
      </c>
    </row>
    <row r="752" spans="1:65" x14ac:dyDescent="0.35">
      <c r="A752">
        <v>0</v>
      </c>
      <c r="B752" t="s">
        <v>3</v>
      </c>
      <c r="C752" t="s">
        <v>4</v>
      </c>
      <c r="D752">
        <v>0</v>
      </c>
      <c r="E752" t="s">
        <v>3</v>
      </c>
      <c r="F752" t="s">
        <v>5</v>
      </c>
      <c r="G752">
        <v>4758.5312940000003</v>
      </c>
      <c r="H752" t="s">
        <v>4</v>
      </c>
      <c r="I752">
        <v>990.16341899999998</v>
      </c>
      <c r="J752">
        <v>3768.3678749999999</v>
      </c>
      <c r="K752" t="s">
        <v>6</v>
      </c>
      <c r="L752" t="s">
        <v>7</v>
      </c>
      <c r="M752" t="s">
        <v>8</v>
      </c>
      <c r="N752" t="s">
        <v>6</v>
      </c>
      <c r="O752" t="s">
        <v>3</v>
      </c>
      <c r="P752" t="s">
        <v>3</v>
      </c>
      <c r="Q752" t="s">
        <v>3</v>
      </c>
      <c r="R752" t="s">
        <v>3</v>
      </c>
      <c r="S752" t="s">
        <v>3</v>
      </c>
      <c r="T752" t="s">
        <v>7</v>
      </c>
      <c r="U752">
        <v>2</v>
      </c>
      <c r="V752">
        <v>0</v>
      </c>
      <c r="W752">
        <v>0</v>
      </c>
      <c r="X752">
        <v>6</v>
      </c>
      <c r="Y752">
        <v>0</v>
      </c>
      <c r="Z752" t="s">
        <v>8</v>
      </c>
      <c r="AA752" t="s">
        <v>4</v>
      </c>
      <c r="AB752" t="s">
        <v>6</v>
      </c>
      <c r="AC752" t="s">
        <v>7</v>
      </c>
      <c r="AD752" t="s">
        <v>8</v>
      </c>
      <c r="AE752" t="s">
        <v>6</v>
      </c>
      <c r="AF752" t="s">
        <v>3</v>
      </c>
      <c r="AG752" t="s">
        <v>3</v>
      </c>
      <c r="AH752" t="s">
        <v>3</v>
      </c>
      <c r="AI752" t="s">
        <v>3</v>
      </c>
      <c r="AJ752" t="s">
        <v>3</v>
      </c>
      <c r="AK752" t="s">
        <v>7</v>
      </c>
      <c r="AL752">
        <v>0</v>
      </c>
      <c r="AM752">
        <v>0</v>
      </c>
      <c r="AN752">
        <v>0</v>
      </c>
      <c r="AO752">
        <v>0</v>
      </c>
      <c r="AP752">
        <v>0</v>
      </c>
      <c r="AQ752" t="s">
        <v>9</v>
      </c>
      <c r="AR752" s="1">
        <v>5.1952573300000002E-5</v>
      </c>
      <c r="AS752" s="1">
        <v>2.73264728E-26</v>
      </c>
      <c r="AT752">
        <v>31</v>
      </c>
      <c r="AU752" t="s">
        <v>10</v>
      </c>
      <c r="AV752">
        <v>2</v>
      </c>
      <c r="AW752">
        <v>0</v>
      </c>
      <c r="AX752">
        <v>0</v>
      </c>
      <c r="AY752">
        <v>6</v>
      </c>
      <c r="AZ752">
        <v>0</v>
      </c>
      <c r="BA752" t="s">
        <v>8</v>
      </c>
      <c r="BB752" t="s">
        <v>4</v>
      </c>
      <c r="BC752" t="s">
        <v>10</v>
      </c>
      <c r="BD752">
        <v>0</v>
      </c>
      <c r="BE752">
        <v>0</v>
      </c>
      <c r="BF752">
        <v>0</v>
      </c>
      <c r="BG752">
        <v>0</v>
      </c>
      <c r="BH752">
        <v>0</v>
      </c>
      <c r="BI752" t="s">
        <v>9</v>
      </c>
      <c r="BJ752">
        <v>3.3510000000000003E-5</v>
      </c>
      <c r="BK752">
        <v>0</v>
      </c>
      <c r="BL752">
        <v>-3.9700000000000003E-5</v>
      </c>
      <c r="BM752" s="2">
        <f t="shared" si="11"/>
        <v>1.6456386676897027E-7</v>
      </c>
    </row>
    <row r="753" spans="1:65" x14ac:dyDescent="0.35">
      <c r="A753">
        <v>0</v>
      </c>
      <c r="B753" t="s">
        <v>11</v>
      </c>
      <c r="C753" t="s">
        <v>4</v>
      </c>
      <c r="D753">
        <v>0</v>
      </c>
      <c r="E753" t="s">
        <v>3</v>
      </c>
      <c r="F753" t="s">
        <v>5</v>
      </c>
      <c r="G753">
        <v>4061.375055</v>
      </c>
      <c r="H753" t="s">
        <v>4</v>
      </c>
      <c r="I753">
        <v>990.16341899999998</v>
      </c>
      <c r="J753">
        <v>3071.211636</v>
      </c>
      <c r="K753" t="s">
        <v>6</v>
      </c>
      <c r="L753" t="s">
        <v>7</v>
      </c>
      <c r="M753" t="s">
        <v>8</v>
      </c>
      <c r="N753" t="s">
        <v>6</v>
      </c>
      <c r="O753" t="s">
        <v>3</v>
      </c>
      <c r="P753" t="s">
        <v>3</v>
      </c>
      <c r="Q753" t="s">
        <v>3</v>
      </c>
      <c r="R753" t="s">
        <v>3</v>
      </c>
      <c r="S753" t="s">
        <v>11</v>
      </c>
      <c r="T753" t="s">
        <v>7</v>
      </c>
      <c r="U753">
        <v>2</v>
      </c>
      <c r="V753">
        <v>0</v>
      </c>
      <c r="W753">
        <v>0</v>
      </c>
      <c r="X753">
        <v>0</v>
      </c>
      <c r="Y753">
        <v>1</v>
      </c>
      <c r="Z753" t="s">
        <v>14</v>
      </c>
      <c r="AA753" t="s">
        <v>4</v>
      </c>
      <c r="AB753" t="s">
        <v>6</v>
      </c>
      <c r="AC753" t="s">
        <v>7</v>
      </c>
      <c r="AD753" t="s">
        <v>8</v>
      </c>
      <c r="AE753" t="s">
        <v>6</v>
      </c>
      <c r="AF753" t="s">
        <v>3</v>
      </c>
      <c r="AG753" t="s">
        <v>3</v>
      </c>
      <c r="AH753" t="s">
        <v>3</v>
      </c>
      <c r="AI753" t="s">
        <v>3</v>
      </c>
      <c r="AJ753" t="s">
        <v>3</v>
      </c>
      <c r="AK753" t="s">
        <v>7</v>
      </c>
      <c r="AL753">
        <v>0</v>
      </c>
      <c r="AM753">
        <v>0</v>
      </c>
      <c r="AN753">
        <v>0</v>
      </c>
      <c r="AO753">
        <v>0</v>
      </c>
      <c r="AP753">
        <v>0</v>
      </c>
      <c r="AQ753" t="s">
        <v>9</v>
      </c>
      <c r="AR753" s="1">
        <v>9.5447513800000006E-5</v>
      </c>
      <c r="AS753" s="1">
        <v>7.51718071E-26</v>
      </c>
      <c r="AT753">
        <v>32</v>
      </c>
      <c r="AU753" t="s">
        <v>10</v>
      </c>
      <c r="AV753">
        <v>2</v>
      </c>
      <c r="AW753">
        <v>0</v>
      </c>
      <c r="AX753">
        <v>0</v>
      </c>
      <c r="AY753">
        <v>0</v>
      </c>
      <c r="AZ753">
        <v>1</v>
      </c>
      <c r="BA753" t="s">
        <v>14</v>
      </c>
      <c r="BB753" t="s">
        <v>4</v>
      </c>
      <c r="BC753" t="s">
        <v>10</v>
      </c>
      <c r="BD753">
        <v>0</v>
      </c>
      <c r="BE753">
        <v>0</v>
      </c>
      <c r="BF753">
        <v>0</v>
      </c>
      <c r="BG753">
        <v>0</v>
      </c>
      <c r="BH753">
        <v>0</v>
      </c>
      <c r="BI753" t="s">
        <v>9</v>
      </c>
      <c r="BJ753">
        <v>0</v>
      </c>
      <c r="BK753">
        <v>9.5450000000000003E-5</v>
      </c>
      <c r="BL753">
        <v>0</v>
      </c>
      <c r="BM753" s="2">
        <f t="shared" si="11"/>
        <v>4.526952065466397E-7</v>
      </c>
    </row>
    <row r="754" spans="1:65" x14ac:dyDescent="0.35">
      <c r="A754">
        <v>0</v>
      </c>
      <c r="B754" t="s">
        <v>3</v>
      </c>
      <c r="C754" t="s">
        <v>4</v>
      </c>
      <c r="D754">
        <v>0</v>
      </c>
      <c r="E754" t="s">
        <v>3</v>
      </c>
      <c r="F754" t="s">
        <v>5</v>
      </c>
      <c r="G754">
        <v>3756.0551820000001</v>
      </c>
      <c r="H754" t="s">
        <v>4</v>
      </c>
      <c r="I754">
        <v>990.16341899999998</v>
      </c>
      <c r="J754">
        <v>2765.8917630000001</v>
      </c>
      <c r="K754" t="s">
        <v>6</v>
      </c>
      <c r="L754" t="s">
        <v>7</v>
      </c>
      <c r="M754" t="s">
        <v>8</v>
      </c>
      <c r="N754" t="s">
        <v>6</v>
      </c>
      <c r="O754" t="s">
        <v>3</v>
      </c>
      <c r="P754" t="s">
        <v>3</v>
      </c>
      <c r="Q754" t="s">
        <v>3</v>
      </c>
      <c r="R754" t="s">
        <v>3</v>
      </c>
      <c r="S754" t="s">
        <v>3</v>
      </c>
      <c r="T754" t="s">
        <v>7</v>
      </c>
      <c r="U754">
        <v>0</v>
      </c>
      <c r="V754">
        <v>0</v>
      </c>
      <c r="W754">
        <v>0</v>
      </c>
      <c r="X754">
        <v>6</v>
      </c>
      <c r="Y754">
        <v>2</v>
      </c>
      <c r="Z754" t="s">
        <v>8</v>
      </c>
      <c r="AA754" t="s">
        <v>4</v>
      </c>
      <c r="AB754" t="s">
        <v>6</v>
      </c>
      <c r="AC754" t="s">
        <v>7</v>
      </c>
      <c r="AD754" t="s">
        <v>8</v>
      </c>
      <c r="AE754" t="s">
        <v>6</v>
      </c>
      <c r="AF754" t="s">
        <v>3</v>
      </c>
      <c r="AG754" t="s">
        <v>3</v>
      </c>
      <c r="AH754" t="s">
        <v>3</v>
      </c>
      <c r="AI754" t="s">
        <v>3</v>
      </c>
      <c r="AJ754" t="s">
        <v>3</v>
      </c>
      <c r="AK754" t="s">
        <v>7</v>
      </c>
      <c r="AL754">
        <v>0</v>
      </c>
      <c r="AM754">
        <v>0</v>
      </c>
      <c r="AN754">
        <v>0</v>
      </c>
      <c r="AO754">
        <v>0</v>
      </c>
      <c r="AP754">
        <v>0</v>
      </c>
      <c r="AQ754" t="s">
        <v>9</v>
      </c>
      <c r="AR754" s="1">
        <v>5.5582930800000001E-6</v>
      </c>
      <c r="AS754" s="1">
        <v>2.2957973000000001E-28</v>
      </c>
      <c r="AT754">
        <v>36</v>
      </c>
      <c r="AU754" t="s">
        <v>10</v>
      </c>
      <c r="AV754">
        <v>0</v>
      </c>
      <c r="AW754">
        <v>0</v>
      </c>
      <c r="AX754">
        <v>0</v>
      </c>
      <c r="AY754">
        <v>6</v>
      </c>
      <c r="AZ754">
        <v>2</v>
      </c>
      <c r="BA754" t="s">
        <v>8</v>
      </c>
      <c r="BB754" t="s">
        <v>4</v>
      </c>
      <c r="BC754" t="s">
        <v>10</v>
      </c>
      <c r="BD754">
        <v>0</v>
      </c>
      <c r="BE754">
        <v>0</v>
      </c>
      <c r="BF754">
        <v>0</v>
      </c>
      <c r="BG754">
        <v>0</v>
      </c>
      <c r="BH754">
        <v>0</v>
      </c>
      <c r="BI754" t="s">
        <v>9</v>
      </c>
      <c r="BJ754">
        <v>5.22E-6</v>
      </c>
      <c r="BK754">
        <v>0</v>
      </c>
      <c r="BL754">
        <v>-1.9099999999999999E-6</v>
      </c>
      <c r="BM754" s="2">
        <f t="shared" si="11"/>
        <v>1.3825614588859841E-9</v>
      </c>
    </row>
    <row r="755" spans="1:65" x14ac:dyDescent="0.35">
      <c r="A755">
        <v>0</v>
      </c>
      <c r="B755" t="s">
        <v>3</v>
      </c>
      <c r="C755" t="s">
        <v>4</v>
      </c>
      <c r="D755">
        <v>0</v>
      </c>
      <c r="E755" t="s">
        <v>3</v>
      </c>
      <c r="F755" t="s">
        <v>5</v>
      </c>
      <c r="G755">
        <v>4260.1482969999997</v>
      </c>
      <c r="H755" t="s">
        <v>4</v>
      </c>
      <c r="I755">
        <v>990.16341899999998</v>
      </c>
      <c r="J755">
        <v>3269.9848780000002</v>
      </c>
      <c r="K755" t="s">
        <v>6</v>
      </c>
      <c r="L755" t="s">
        <v>7</v>
      </c>
      <c r="M755" t="s">
        <v>8</v>
      </c>
      <c r="N755" t="s">
        <v>6</v>
      </c>
      <c r="O755" t="s">
        <v>3</v>
      </c>
      <c r="P755" t="s">
        <v>3</v>
      </c>
      <c r="Q755" t="s">
        <v>3</v>
      </c>
      <c r="R755" t="s">
        <v>3</v>
      </c>
      <c r="S755" t="s">
        <v>3</v>
      </c>
      <c r="T755" t="s">
        <v>7</v>
      </c>
      <c r="U755">
        <v>0</v>
      </c>
      <c r="V755">
        <v>1</v>
      </c>
      <c r="W755">
        <v>0</v>
      </c>
      <c r="X755">
        <v>1</v>
      </c>
      <c r="Y755">
        <v>0</v>
      </c>
      <c r="Z755" t="s">
        <v>29</v>
      </c>
      <c r="AA755" t="s">
        <v>4</v>
      </c>
      <c r="AB755" t="s">
        <v>6</v>
      </c>
      <c r="AC755" t="s">
        <v>7</v>
      </c>
      <c r="AD755" t="s">
        <v>8</v>
      </c>
      <c r="AE755" t="s">
        <v>6</v>
      </c>
      <c r="AF755" t="s">
        <v>3</v>
      </c>
      <c r="AG755" t="s">
        <v>3</v>
      </c>
      <c r="AH755" t="s">
        <v>3</v>
      </c>
      <c r="AI755" t="s">
        <v>3</v>
      </c>
      <c r="AJ755" t="s">
        <v>3</v>
      </c>
      <c r="AK755" t="s">
        <v>7</v>
      </c>
      <c r="AL755">
        <v>0</v>
      </c>
      <c r="AM755">
        <v>0</v>
      </c>
      <c r="AN755">
        <v>0</v>
      </c>
      <c r="AO755">
        <v>0</v>
      </c>
      <c r="AP755">
        <v>0</v>
      </c>
      <c r="AQ755" t="s">
        <v>9</v>
      </c>
      <c r="AR755" s="1">
        <v>9.3571458900000007E-5</v>
      </c>
      <c r="AS755" s="1">
        <v>7.6921660099999994E-26</v>
      </c>
      <c r="AT755">
        <v>31</v>
      </c>
      <c r="AU755" t="s">
        <v>10</v>
      </c>
      <c r="AV755">
        <v>0</v>
      </c>
      <c r="AW755">
        <v>1</v>
      </c>
      <c r="AX755">
        <v>0</v>
      </c>
      <c r="AY755">
        <v>1</v>
      </c>
      <c r="AZ755">
        <v>0</v>
      </c>
      <c r="BA755" t="s">
        <v>29</v>
      </c>
      <c r="BB755" t="s">
        <v>4</v>
      </c>
      <c r="BC755" t="s">
        <v>10</v>
      </c>
      <c r="BD755">
        <v>0</v>
      </c>
      <c r="BE755">
        <v>0</v>
      </c>
      <c r="BF755">
        <v>0</v>
      </c>
      <c r="BG755">
        <v>0</v>
      </c>
      <c r="BH755">
        <v>0</v>
      </c>
      <c r="BI755" t="s">
        <v>9</v>
      </c>
      <c r="BJ755">
        <v>-9.3560000000000005E-5</v>
      </c>
      <c r="BK755">
        <v>0</v>
      </c>
      <c r="BL755">
        <v>1.3999999999999999E-6</v>
      </c>
      <c r="BM755" s="2">
        <f t="shared" si="11"/>
        <v>4.6323306769194207E-7</v>
      </c>
    </row>
    <row r="756" spans="1:65" x14ac:dyDescent="0.35">
      <c r="A756">
        <v>0</v>
      </c>
      <c r="B756" t="s">
        <v>3</v>
      </c>
      <c r="C756" t="s">
        <v>4</v>
      </c>
      <c r="D756">
        <v>0</v>
      </c>
      <c r="E756" t="s">
        <v>3</v>
      </c>
      <c r="F756" t="s">
        <v>5</v>
      </c>
      <c r="G756">
        <v>4404.6080320000001</v>
      </c>
      <c r="H756" t="s">
        <v>4</v>
      </c>
      <c r="I756">
        <v>990.16341899999998</v>
      </c>
      <c r="J756">
        <v>3414.4446130000001</v>
      </c>
      <c r="K756" t="s">
        <v>6</v>
      </c>
      <c r="L756" t="s">
        <v>7</v>
      </c>
      <c r="M756" t="s">
        <v>8</v>
      </c>
      <c r="N756" t="s">
        <v>6</v>
      </c>
      <c r="O756" t="s">
        <v>3</v>
      </c>
      <c r="P756" t="s">
        <v>3</v>
      </c>
      <c r="Q756" t="s">
        <v>3</v>
      </c>
      <c r="R756" t="s">
        <v>3</v>
      </c>
      <c r="S756" t="s">
        <v>3</v>
      </c>
      <c r="T756" t="s">
        <v>7</v>
      </c>
      <c r="U756">
        <v>1</v>
      </c>
      <c r="V756">
        <v>1</v>
      </c>
      <c r="W756">
        <v>0</v>
      </c>
      <c r="X756">
        <v>3</v>
      </c>
      <c r="Y756">
        <v>0</v>
      </c>
      <c r="Z756" t="s">
        <v>15</v>
      </c>
      <c r="AA756" t="s">
        <v>4</v>
      </c>
      <c r="AB756" t="s">
        <v>6</v>
      </c>
      <c r="AC756" t="s">
        <v>7</v>
      </c>
      <c r="AD756" t="s">
        <v>8</v>
      </c>
      <c r="AE756" t="s">
        <v>6</v>
      </c>
      <c r="AF756" t="s">
        <v>3</v>
      </c>
      <c r="AG756" t="s">
        <v>3</v>
      </c>
      <c r="AH756" t="s">
        <v>3</v>
      </c>
      <c r="AI756" t="s">
        <v>3</v>
      </c>
      <c r="AJ756" t="s">
        <v>3</v>
      </c>
      <c r="AK756" t="s">
        <v>7</v>
      </c>
      <c r="AL756">
        <v>0</v>
      </c>
      <c r="AM756">
        <v>0</v>
      </c>
      <c r="AN756">
        <v>0</v>
      </c>
      <c r="AO756">
        <v>0</v>
      </c>
      <c r="AP756">
        <v>0</v>
      </c>
      <c r="AQ756" t="s">
        <v>9</v>
      </c>
      <c r="AR756" s="1">
        <v>2.1349756799999999E-5</v>
      </c>
      <c r="AS756" s="1">
        <v>4.1814034200000001E-27</v>
      </c>
      <c r="AT756">
        <v>31</v>
      </c>
      <c r="AU756" t="s">
        <v>10</v>
      </c>
      <c r="AV756">
        <v>1</v>
      </c>
      <c r="AW756">
        <v>1</v>
      </c>
      <c r="AX756">
        <v>0</v>
      </c>
      <c r="AY756">
        <v>3</v>
      </c>
      <c r="AZ756">
        <v>0</v>
      </c>
      <c r="BA756" t="s">
        <v>15</v>
      </c>
      <c r="BB756" t="s">
        <v>4</v>
      </c>
      <c r="BC756" t="s">
        <v>10</v>
      </c>
      <c r="BD756">
        <v>0</v>
      </c>
      <c r="BE756">
        <v>0</v>
      </c>
      <c r="BF756">
        <v>0</v>
      </c>
      <c r="BG756">
        <v>0</v>
      </c>
      <c r="BH756">
        <v>0</v>
      </c>
      <c r="BI756" t="s">
        <v>9</v>
      </c>
      <c r="BJ756">
        <v>-8.14E-6</v>
      </c>
      <c r="BK756">
        <v>0</v>
      </c>
      <c r="BL756">
        <v>1.9740000000000001E-5</v>
      </c>
      <c r="BM756" s="2">
        <f t="shared" si="11"/>
        <v>2.5181000136841533E-8</v>
      </c>
    </row>
    <row r="757" spans="1:65" x14ac:dyDescent="0.35">
      <c r="A757">
        <v>0</v>
      </c>
      <c r="B757" t="s">
        <v>11</v>
      </c>
      <c r="C757" t="s">
        <v>4</v>
      </c>
      <c r="D757">
        <v>0</v>
      </c>
      <c r="E757" t="s">
        <v>3</v>
      </c>
      <c r="F757" t="s">
        <v>5</v>
      </c>
      <c r="G757">
        <v>3866.9992739999998</v>
      </c>
      <c r="H757" t="s">
        <v>4</v>
      </c>
      <c r="I757">
        <v>990.16341899999998</v>
      </c>
      <c r="J757">
        <v>2876.8358549999998</v>
      </c>
      <c r="K757" t="s">
        <v>6</v>
      </c>
      <c r="L757" t="s">
        <v>7</v>
      </c>
      <c r="M757" t="s">
        <v>8</v>
      </c>
      <c r="N757" t="s">
        <v>6</v>
      </c>
      <c r="O757" t="s">
        <v>3</v>
      </c>
      <c r="P757" t="s">
        <v>3</v>
      </c>
      <c r="Q757" t="s">
        <v>3</v>
      </c>
      <c r="R757" t="s">
        <v>3</v>
      </c>
      <c r="S757" t="s">
        <v>11</v>
      </c>
      <c r="T757" t="s">
        <v>7</v>
      </c>
      <c r="U757">
        <v>0</v>
      </c>
      <c r="V757">
        <v>0</v>
      </c>
      <c r="W757">
        <v>0</v>
      </c>
      <c r="X757">
        <v>7</v>
      </c>
      <c r="Y757">
        <v>0</v>
      </c>
      <c r="Z757" t="s">
        <v>18</v>
      </c>
      <c r="AA757" t="s">
        <v>4</v>
      </c>
      <c r="AB757" t="s">
        <v>6</v>
      </c>
      <c r="AC757" t="s">
        <v>7</v>
      </c>
      <c r="AD757" t="s">
        <v>8</v>
      </c>
      <c r="AE757" t="s">
        <v>6</v>
      </c>
      <c r="AF757" t="s">
        <v>3</v>
      </c>
      <c r="AG757" t="s">
        <v>3</v>
      </c>
      <c r="AH757" t="s">
        <v>3</v>
      </c>
      <c r="AI757" t="s">
        <v>3</v>
      </c>
      <c r="AJ757" t="s">
        <v>3</v>
      </c>
      <c r="AK757" t="s">
        <v>7</v>
      </c>
      <c r="AL757">
        <v>0</v>
      </c>
      <c r="AM757">
        <v>0</v>
      </c>
      <c r="AN757">
        <v>0</v>
      </c>
      <c r="AO757">
        <v>0</v>
      </c>
      <c r="AP757">
        <v>0</v>
      </c>
      <c r="AQ757" t="s">
        <v>9</v>
      </c>
      <c r="AR757" s="1">
        <v>3.7039985600000002E-8</v>
      </c>
      <c r="AS757" s="1">
        <v>1.06040669E-32</v>
      </c>
      <c r="AT757">
        <v>31</v>
      </c>
      <c r="AU757" t="s">
        <v>10</v>
      </c>
      <c r="AV757">
        <v>0</v>
      </c>
      <c r="AW757">
        <v>0</v>
      </c>
      <c r="AX757">
        <v>0</v>
      </c>
      <c r="AY757">
        <v>7</v>
      </c>
      <c r="AZ757">
        <v>0</v>
      </c>
      <c r="BA757" t="s">
        <v>18</v>
      </c>
      <c r="BB757" t="s">
        <v>4</v>
      </c>
      <c r="BC757" t="s">
        <v>10</v>
      </c>
      <c r="BD757">
        <v>0</v>
      </c>
      <c r="BE757">
        <v>0</v>
      </c>
      <c r="BF757">
        <v>0</v>
      </c>
      <c r="BG757">
        <v>0</v>
      </c>
      <c r="BH757">
        <v>0</v>
      </c>
      <c r="BI757" t="s">
        <v>9</v>
      </c>
      <c r="BJ757">
        <v>0</v>
      </c>
      <c r="BK757">
        <v>4.0000000000000001E-8</v>
      </c>
      <c r="BL757">
        <v>0</v>
      </c>
      <c r="BM757" s="2">
        <f t="shared" si="11"/>
        <v>6.3859183924419515E-14</v>
      </c>
    </row>
    <row r="758" spans="1:65" x14ac:dyDescent="0.35">
      <c r="A758">
        <v>0</v>
      </c>
      <c r="B758" t="s">
        <v>11</v>
      </c>
      <c r="C758" t="s">
        <v>4</v>
      </c>
      <c r="D758">
        <v>0</v>
      </c>
      <c r="E758" t="s">
        <v>3</v>
      </c>
      <c r="F758" t="s">
        <v>5</v>
      </c>
      <c r="G758">
        <v>4181.5468330000003</v>
      </c>
      <c r="H758" t="s">
        <v>4</v>
      </c>
      <c r="I758">
        <v>990.16341899999998</v>
      </c>
      <c r="J758">
        <v>3191.3834139999999</v>
      </c>
      <c r="K758" t="s">
        <v>6</v>
      </c>
      <c r="L758" t="s">
        <v>7</v>
      </c>
      <c r="M758" t="s">
        <v>8</v>
      </c>
      <c r="N758" t="s">
        <v>6</v>
      </c>
      <c r="O758" t="s">
        <v>3</v>
      </c>
      <c r="P758" t="s">
        <v>3</v>
      </c>
      <c r="Q758" t="s">
        <v>3</v>
      </c>
      <c r="R758" t="s">
        <v>3</v>
      </c>
      <c r="S758" t="s">
        <v>11</v>
      </c>
      <c r="T758" t="s">
        <v>7</v>
      </c>
      <c r="U758">
        <v>0</v>
      </c>
      <c r="V758">
        <v>1</v>
      </c>
      <c r="W758">
        <v>0</v>
      </c>
      <c r="X758">
        <v>0</v>
      </c>
      <c r="Y758">
        <v>0</v>
      </c>
      <c r="Z758" t="s">
        <v>16</v>
      </c>
      <c r="AA758" t="s">
        <v>4</v>
      </c>
      <c r="AB758" t="s">
        <v>6</v>
      </c>
      <c r="AC758" t="s">
        <v>7</v>
      </c>
      <c r="AD758" t="s">
        <v>8</v>
      </c>
      <c r="AE758" t="s">
        <v>6</v>
      </c>
      <c r="AF758" t="s">
        <v>3</v>
      </c>
      <c r="AG758" t="s">
        <v>3</v>
      </c>
      <c r="AH758" t="s">
        <v>3</v>
      </c>
      <c r="AI758" t="s">
        <v>3</v>
      </c>
      <c r="AJ758" t="s">
        <v>3</v>
      </c>
      <c r="AK758" t="s">
        <v>7</v>
      </c>
      <c r="AL758">
        <v>0</v>
      </c>
      <c r="AM758">
        <v>0</v>
      </c>
      <c r="AN758">
        <v>0</v>
      </c>
      <c r="AO758">
        <v>0</v>
      </c>
      <c r="AP758">
        <v>0</v>
      </c>
      <c r="AQ758" t="s">
        <v>9</v>
      </c>
      <c r="AR758" s="1">
        <v>4.1036945500000001E-6</v>
      </c>
      <c r="AS758" s="1">
        <v>1.44392659E-28</v>
      </c>
      <c r="AT758">
        <v>36</v>
      </c>
      <c r="AU758" t="s">
        <v>10</v>
      </c>
      <c r="AV758">
        <v>0</v>
      </c>
      <c r="AW758">
        <v>1</v>
      </c>
      <c r="AX758">
        <v>0</v>
      </c>
      <c r="AY758">
        <v>0</v>
      </c>
      <c r="AZ758">
        <v>0</v>
      </c>
      <c r="BA758" t="s">
        <v>16</v>
      </c>
      <c r="BB758" t="s">
        <v>4</v>
      </c>
      <c r="BC758" t="s">
        <v>10</v>
      </c>
      <c r="BD758">
        <v>0</v>
      </c>
      <c r="BE758">
        <v>0</v>
      </c>
      <c r="BF758">
        <v>0</v>
      </c>
      <c r="BG758">
        <v>0</v>
      </c>
      <c r="BH758">
        <v>0</v>
      </c>
      <c r="BI758" t="s">
        <v>9</v>
      </c>
      <c r="BJ758">
        <v>0</v>
      </c>
      <c r="BK758">
        <v>4.0999999999999997E-6</v>
      </c>
      <c r="BL758">
        <v>0</v>
      </c>
      <c r="BM758" s="2">
        <f t="shared" si="11"/>
        <v>8.6955292298438715E-10</v>
      </c>
    </row>
    <row r="759" spans="1:65" x14ac:dyDescent="0.35">
      <c r="A759">
        <v>0</v>
      </c>
      <c r="B759" t="s">
        <v>11</v>
      </c>
      <c r="C759" t="s">
        <v>4</v>
      </c>
      <c r="D759">
        <v>0</v>
      </c>
      <c r="E759" t="s">
        <v>3</v>
      </c>
      <c r="F759" t="s">
        <v>5</v>
      </c>
      <c r="G759">
        <v>3575.1502839999998</v>
      </c>
      <c r="H759" t="s">
        <v>4</v>
      </c>
      <c r="I759">
        <v>990.16341899999998</v>
      </c>
      <c r="J759">
        <v>2584.9868649999999</v>
      </c>
      <c r="K759" t="s">
        <v>6</v>
      </c>
      <c r="L759" t="s">
        <v>7</v>
      </c>
      <c r="M759" t="s">
        <v>8</v>
      </c>
      <c r="N759" t="s">
        <v>6</v>
      </c>
      <c r="O759" t="s">
        <v>3</v>
      </c>
      <c r="P759" t="s">
        <v>3</v>
      </c>
      <c r="Q759" t="s">
        <v>3</v>
      </c>
      <c r="R759" t="s">
        <v>3</v>
      </c>
      <c r="S759" t="s">
        <v>11</v>
      </c>
      <c r="T759" t="s">
        <v>7</v>
      </c>
      <c r="U759">
        <v>1</v>
      </c>
      <c r="V759">
        <v>1</v>
      </c>
      <c r="W759">
        <v>0</v>
      </c>
      <c r="X759">
        <v>0</v>
      </c>
      <c r="Y759">
        <v>0</v>
      </c>
      <c r="Z759" t="s">
        <v>14</v>
      </c>
      <c r="AA759" t="s">
        <v>4</v>
      </c>
      <c r="AB759" t="s">
        <v>6</v>
      </c>
      <c r="AC759" t="s">
        <v>7</v>
      </c>
      <c r="AD759" t="s">
        <v>8</v>
      </c>
      <c r="AE759" t="s">
        <v>6</v>
      </c>
      <c r="AF759" t="s">
        <v>3</v>
      </c>
      <c r="AG759" t="s">
        <v>3</v>
      </c>
      <c r="AH759" t="s">
        <v>3</v>
      </c>
      <c r="AI759" t="s">
        <v>3</v>
      </c>
      <c r="AJ759" t="s">
        <v>3</v>
      </c>
      <c r="AK759" t="s">
        <v>7</v>
      </c>
      <c r="AL759">
        <v>0</v>
      </c>
      <c r="AM759">
        <v>0</v>
      </c>
      <c r="AN759">
        <v>0</v>
      </c>
      <c r="AO759">
        <v>0</v>
      </c>
      <c r="AP759">
        <v>0</v>
      </c>
      <c r="AQ759" t="s">
        <v>9</v>
      </c>
      <c r="AR759" s="1">
        <v>4.0222799499999999E-5</v>
      </c>
      <c r="AS759" s="1">
        <v>1.12361478E-26</v>
      </c>
      <c r="AT759">
        <v>31</v>
      </c>
      <c r="AU759" t="s">
        <v>10</v>
      </c>
      <c r="AV759">
        <v>1</v>
      </c>
      <c r="AW759">
        <v>1</v>
      </c>
      <c r="AX759">
        <v>0</v>
      </c>
      <c r="AY759">
        <v>0</v>
      </c>
      <c r="AZ759">
        <v>0</v>
      </c>
      <c r="BA759" t="s">
        <v>14</v>
      </c>
      <c r="BB759" t="s">
        <v>4</v>
      </c>
      <c r="BC759" t="s">
        <v>10</v>
      </c>
      <c r="BD759">
        <v>0</v>
      </c>
      <c r="BE759">
        <v>0</v>
      </c>
      <c r="BF759">
        <v>0</v>
      </c>
      <c r="BG759">
        <v>0</v>
      </c>
      <c r="BH759">
        <v>0</v>
      </c>
      <c r="BI759" t="s">
        <v>9</v>
      </c>
      <c r="BJ759">
        <v>0</v>
      </c>
      <c r="BK759">
        <v>4.0219999999999998E-5</v>
      </c>
      <c r="BL759">
        <v>0</v>
      </c>
      <c r="BM759" s="2">
        <f t="shared" si="11"/>
        <v>6.7665664101210237E-8</v>
      </c>
    </row>
    <row r="760" spans="1:65" x14ac:dyDescent="0.35">
      <c r="A760">
        <v>0</v>
      </c>
      <c r="B760" t="s">
        <v>11</v>
      </c>
      <c r="C760" t="s">
        <v>4</v>
      </c>
      <c r="D760">
        <v>0</v>
      </c>
      <c r="E760" t="s">
        <v>3</v>
      </c>
      <c r="F760" t="s">
        <v>5</v>
      </c>
      <c r="G760">
        <v>4811.7723900000001</v>
      </c>
      <c r="H760" t="s">
        <v>4</v>
      </c>
      <c r="I760">
        <v>990.16341899999998</v>
      </c>
      <c r="J760">
        <v>3821.6089710000001</v>
      </c>
      <c r="K760" t="s">
        <v>6</v>
      </c>
      <c r="L760" t="s">
        <v>7</v>
      </c>
      <c r="M760" t="s">
        <v>8</v>
      </c>
      <c r="N760" t="s">
        <v>6</v>
      </c>
      <c r="O760" t="s">
        <v>3</v>
      </c>
      <c r="P760" t="s">
        <v>3</v>
      </c>
      <c r="Q760" t="s">
        <v>3</v>
      </c>
      <c r="R760" t="s">
        <v>3</v>
      </c>
      <c r="S760" t="s">
        <v>11</v>
      </c>
      <c r="T760" t="s">
        <v>7</v>
      </c>
      <c r="U760">
        <v>0</v>
      </c>
      <c r="V760">
        <v>0</v>
      </c>
      <c r="W760">
        <v>0</v>
      </c>
      <c r="X760">
        <v>9</v>
      </c>
      <c r="Y760">
        <v>0</v>
      </c>
      <c r="Z760" t="s">
        <v>18</v>
      </c>
      <c r="AA760" t="s">
        <v>4</v>
      </c>
      <c r="AB760" t="s">
        <v>6</v>
      </c>
      <c r="AC760" t="s">
        <v>7</v>
      </c>
      <c r="AD760" t="s">
        <v>8</v>
      </c>
      <c r="AE760" t="s">
        <v>6</v>
      </c>
      <c r="AF760" t="s">
        <v>3</v>
      </c>
      <c r="AG760" t="s">
        <v>3</v>
      </c>
      <c r="AH760" t="s">
        <v>3</v>
      </c>
      <c r="AI760" t="s">
        <v>3</v>
      </c>
      <c r="AJ760" t="s">
        <v>3</v>
      </c>
      <c r="AK760" t="s">
        <v>7</v>
      </c>
      <c r="AL760">
        <v>0</v>
      </c>
      <c r="AM760">
        <v>0</v>
      </c>
      <c r="AN760">
        <v>0</v>
      </c>
      <c r="AO760">
        <v>0</v>
      </c>
      <c r="AP760">
        <v>0</v>
      </c>
      <c r="AQ760" t="s">
        <v>9</v>
      </c>
      <c r="AR760" s="1">
        <v>2.4119607299999999E-5</v>
      </c>
      <c r="AS760" s="1">
        <v>5.9731424299999997E-27</v>
      </c>
      <c r="AT760">
        <v>33</v>
      </c>
      <c r="AU760" t="s">
        <v>10</v>
      </c>
      <c r="AV760">
        <v>0</v>
      </c>
      <c r="AW760">
        <v>0</v>
      </c>
      <c r="AX760">
        <v>0</v>
      </c>
      <c r="AY760">
        <v>9</v>
      </c>
      <c r="AZ760">
        <v>0</v>
      </c>
      <c r="BA760" t="s">
        <v>18</v>
      </c>
      <c r="BB760" t="s">
        <v>4</v>
      </c>
      <c r="BC760" t="s">
        <v>10</v>
      </c>
      <c r="BD760">
        <v>0</v>
      </c>
      <c r="BE760">
        <v>0</v>
      </c>
      <c r="BF760">
        <v>0</v>
      </c>
      <c r="BG760">
        <v>0</v>
      </c>
      <c r="BH760">
        <v>0</v>
      </c>
      <c r="BI760" t="s">
        <v>9</v>
      </c>
      <c r="BJ760">
        <v>0</v>
      </c>
      <c r="BK760">
        <v>-2.4119999999999999E-5</v>
      </c>
      <c r="BL760">
        <v>0</v>
      </c>
      <c r="BM760" s="2">
        <f t="shared" si="11"/>
        <v>3.597110473191414E-8</v>
      </c>
    </row>
    <row r="761" spans="1:65" x14ac:dyDescent="0.35">
      <c r="A761">
        <v>0</v>
      </c>
      <c r="B761" t="s">
        <v>3</v>
      </c>
      <c r="C761" t="s">
        <v>4</v>
      </c>
      <c r="D761">
        <v>0</v>
      </c>
      <c r="E761" t="s">
        <v>3</v>
      </c>
      <c r="F761" t="s">
        <v>5</v>
      </c>
      <c r="G761">
        <v>4636.9228810000004</v>
      </c>
      <c r="H761" t="s">
        <v>4</v>
      </c>
      <c r="I761">
        <v>990.16341899999998</v>
      </c>
      <c r="J761">
        <v>3646.759462</v>
      </c>
      <c r="K761" t="s">
        <v>6</v>
      </c>
      <c r="L761" t="s">
        <v>7</v>
      </c>
      <c r="M761" t="s">
        <v>8</v>
      </c>
      <c r="N761" t="s">
        <v>6</v>
      </c>
      <c r="O761" t="s">
        <v>3</v>
      </c>
      <c r="P761" t="s">
        <v>3</v>
      </c>
      <c r="Q761" t="s">
        <v>3</v>
      </c>
      <c r="R761" t="s">
        <v>3</v>
      </c>
      <c r="S761" t="s">
        <v>3</v>
      </c>
      <c r="T761" t="s">
        <v>7</v>
      </c>
      <c r="U761">
        <v>4</v>
      </c>
      <c r="V761">
        <v>1</v>
      </c>
      <c r="W761">
        <v>0</v>
      </c>
      <c r="X761">
        <v>0</v>
      </c>
      <c r="Y761">
        <v>0</v>
      </c>
      <c r="Z761" t="s">
        <v>8</v>
      </c>
      <c r="AA761" t="s">
        <v>4</v>
      </c>
      <c r="AB761" t="s">
        <v>6</v>
      </c>
      <c r="AC761" t="s">
        <v>7</v>
      </c>
      <c r="AD761" t="s">
        <v>8</v>
      </c>
      <c r="AE761" t="s">
        <v>6</v>
      </c>
      <c r="AF761" t="s">
        <v>3</v>
      </c>
      <c r="AG761" t="s">
        <v>3</v>
      </c>
      <c r="AH761" t="s">
        <v>3</v>
      </c>
      <c r="AI761" t="s">
        <v>3</v>
      </c>
      <c r="AJ761" t="s">
        <v>3</v>
      </c>
      <c r="AK761" t="s">
        <v>7</v>
      </c>
      <c r="AL761">
        <v>0</v>
      </c>
      <c r="AM761">
        <v>0</v>
      </c>
      <c r="AN761">
        <v>0</v>
      </c>
      <c r="AO761">
        <v>0</v>
      </c>
      <c r="AP761">
        <v>0</v>
      </c>
      <c r="AQ761" t="s">
        <v>9</v>
      </c>
      <c r="AR761" s="1">
        <v>1.72196821E-3</v>
      </c>
      <c r="AS761" s="1">
        <v>2.9051832499999997E-23</v>
      </c>
      <c r="AT761">
        <v>36</v>
      </c>
      <c r="AU761" t="s">
        <v>10</v>
      </c>
      <c r="AV761">
        <v>4</v>
      </c>
      <c r="AW761">
        <v>1</v>
      </c>
      <c r="AX761">
        <v>0</v>
      </c>
      <c r="AY761">
        <v>0</v>
      </c>
      <c r="AZ761">
        <v>0</v>
      </c>
      <c r="BA761" t="s">
        <v>8</v>
      </c>
      <c r="BB761" t="s">
        <v>4</v>
      </c>
      <c r="BC761" t="s">
        <v>10</v>
      </c>
      <c r="BD761">
        <v>0</v>
      </c>
      <c r="BE761">
        <v>0</v>
      </c>
      <c r="BF761">
        <v>0</v>
      </c>
      <c r="BG761">
        <v>0</v>
      </c>
      <c r="BH761">
        <v>0</v>
      </c>
      <c r="BI761" t="s">
        <v>9</v>
      </c>
      <c r="BJ761">
        <v>1.2720299999999999E-3</v>
      </c>
      <c r="BK761">
        <v>0</v>
      </c>
      <c r="BL761">
        <v>-1.16065E-3</v>
      </c>
      <c r="BM761" s="2">
        <f t="shared" si="11"/>
        <v>1.74954225813016E-4</v>
      </c>
    </row>
    <row r="762" spans="1:65" x14ac:dyDescent="0.35">
      <c r="A762">
        <v>0</v>
      </c>
      <c r="B762" t="s">
        <v>3</v>
      </c>
      <c r="C762" t="s">
        <v>4</v>
      </c>
      <c r="D762">
        <v>0</v>
      </c>
      <c r="E762" t="s">
        <v>3</v>
      </c>
      <c r="F762" t="s">
        <v>5</v>
      </c>
      <c r="G762">
        <v>2512.955817</v>
      </c>
      <c r="H762" t="s">
        <v>4</v>
      </c>
      <c r="I762">
        <v>990.16341899999998</v>
      </c>
      <c r="J762">
        <v>1522.792398</v>
      </c>
      <c r="K762" t="s">
        <v>6</v>
      </c>
      <c r="L762" t="s">
        <v>7</v>
      </c>
      <c r="M762" t="s">
        <v>8</v>
      </c>
      <c r="N762" t="s">
        <v>6</v>
      </c>
      <c r="O762" t="s">
        <v>3</v>
      </c>
      <c r="P762" t="s">
        <v>3</v>
      </c>
      <c r="Q762" t="s">
        <v>3</v>
      </c>
      <c r="R762" t="s">
        <v>3</v>
      </c>
      <c r="S762" t="s">
        <v>3</v>
      </c>
      <c r="T762" t="s">
        <v>7</v>
      </c>
      <c r="U762">
        <v>0</v>
      </c>
      <c r="V762">
        <v>2</v>
      </c>
      <c r="W762">
        <v>0</v>
      </c>
      <c r="X762">
        <v>0</v>
      </c>
      <c r="Y762">
        <v>0</v>
      </c>
      <c r="Z762" t="s">
        <v>8</v>
      </c>
      <c r="AA762" t="s">
        <v>4</v>
      </c>
      <c r="AB762" t="s">
        <v>6</v>
      </c>
      <c r="AC762" t="s">
        <v>7</v>
      </c>
      <c r="AD762" t="s">
        <v>8</v>
      </c>
      <c r="AE762" t="s">
        <v>6</v>
      </c>
      <c r="AF762" t="s">
        <v>3</v>
      </c>
      <c r="AG762" t="s">
        <v>3</v>
      </c>
      <c r="AH762" t="s">
        <v>3</v>
      </c>
      <c r="AI762" t="s">
        <v>3</v>
      </c>
      <c r="AJ762" t="s">
        <v>3</v>
      </c>
      <c r="AK762" t="s">
        <v>7</v>
      </c>
      <c r="AL762">
        <v>0</v>
      </c>
      <c r="AM762">
        <v>0</v>
      </c>
      <c r="AN762">
        <v>0</v>
      </c>
      <c r="AO762">
        <v>0</v>
      </c>
      <c r="AP762">
        <v>0</v>
      </c>
      <c r="AQ762" t="s">
        <v>9</v>
      </c>
      <c r="AR762" s="1">
        <v>9.3812239299999998E-5</v>
      </c>
      <c r="AS762" s="1">
        <v>3.5982994899999998E-26</v>
      </c>
      <c r="AT762">
        <v>31</v>
      </c>
      <c r="AU762" t="s">
        <v>10</v>
      </c>
      <c r="AV762">
        <v>0</v>
      </c>
      <c r="AW762">
        <v>2</v>
      </c>
      <c r="AX762">
        <v>0</v>
      </c>
      <c r="AY762">
        <v>0</v>
      </c>
      <c r="AZ762">
        <v>0</v>
      </c>
      <c r="BA762" t="s">
        <v>8</v>
      </c>
      <c r="BB762" t="s">
        <v>4</v>
      </c>
      <c r="BC762" t="s">
        <v>10</v>
      </c>
      <c r="BD762">
        <v>0</v>
      </c>
      <c r="BE762">
        <v>0</v>
      </c>
      <c r="BF762">
        <v>0</v>
      </c>
      <c r="BG762">
        <v>0</v>
      </c>
      <c r="BH762">
        <v>0</v>
      </c>
      <c r="BI762" t="s">
        <v>9</v>
      </c>
      <c r="BJ762">
        <v>-4.4800000000000003E-6</v>
      </c>
      <c r="BK762">
        <v>0</v>
      </c>
      <c r="BL762">
        <v>9.3709999999999996E-5</v>
      </c>
      <c r="BM762" s="2">
        <f t="shared" si="11"/>
        <v>2.1669466169348192E-7</v>
      </c>
    </row>
    <row r="763" spans="1:65" x14ac:dyDescent="0.35">
      <c r="A763">
        <v>0</v>
      </c>
      <c r="B763" t="s">
        <v>11</v>
      </c>
      <c r="C763" t="s">
        <v>4</v>
      </c>
      <c r="D763">
        <v>0</v>
      </c>
      <c r="E763" t="s">
        <v>3</v>
      </c>
      <c r="F763" t="s">
        <v>5</v>
      </c>
      <c r="G763">
        <v>3081.946688</v>
      </c>
      <c r="H763" t="s">
        <v>4</v>
      </c>
      <c r="I763">
        <v>990.16341899999998</v>
      </c>
      <c r="J763">
        <v>2091.783269</v>
      </c>
      <c r="K763" t="s">
        <v>6</v>
      </c>
      <c r="L763" t="s">
        <v>7</v>
      </c>
      <c r="M763" t="s">
        <v>8</v>
      </c>
      <c r="N763" t="s">
        <v>6</v>
      </c>
      <c r="O763" t="s">
        <v>3</v>
      </c>
      <c r="P763" t="s">
        <v>3</v>
      </c>
      <c r="Q763" t="s">
        <v>3</v>
      </c>
      <c r="R763" t="s">
        <v>3</v>
      </c>
      <c r="S763" t="s">
        <v>11</v>
      </c>
      <c r="T763" t="s">
        <v>7</v>
      </c>
      <c r="U763">
        <v>1</v>
      </c>
      <c r="V763">
        <v>1</v>
      </c>
      <c r="W763">
        <v>0</v>
      </c>
      <c r="X763">
        <v>1</v>
      </c>
      <c r="Y763">
        <v>0</v>
      </c>
      <c r="Z763" t="s">
        <v>18</v>
      </c>
      <c r="AA763" t="s">
        <v>4</v>
      </c>
      <c r="AB763" t="s">
        <v>6</v>
      </c>
      <c r="AC763" t="s">
        <v>7</v>
      </c>
      <c r="AD763" t="s">
        <v>8</v>
      </c>
      <c r="AE763" t="s">
        <v>6</v>
      </c>
      <c r="AF763" t="s">
        <v>3</v>
      </c>
      <c r="AG763" t="s">
        <v>3</v>
      </c>
      <c r="AH763" t="s">
        <v>3</v>
      </c>
      <c r="AI763" t="s">
        <v>3</v>
      </c>
      <c r="AJ763" t="s">
        <v>3</v>
      </c>
      <c r="AK763" t="s">
        <v>7</v>
      </c>
      <c r="AL763">
        <v>0</v>
      </c>
      <c r="AM763">
        <v>0</v>
      </c>
      <c r="AN763">
        <v>0</v>
      </c>
      <c r="AO763">
        <v>0</v>
      </c>
      <c r="AP763">
        <v>0</v>
      </c>
      <c r="AQ763" t="s">
        <v>9</v>
      </c>
      <c r="AR763" s="1">
        <v>1.6557295999999999E-4</v>
      </c>
      <c r="AS763" s="1">
        <v>1.5406139399999999E-25</v>
      </c>
      <c r="AT763">
        <v>33</v>
      </c>
      <c r="AU763" t="s">
        <v>10</v>
      </c>
      <c r="AV763">
        <v>1</v>
      </c>
      <c r="AW763">
        <v>1</v>
      </c>
      <c r="AX763">
        <v>0</v>
      </c>
      <c r="AY763">
        <v>1</v>
      </c>
      <c r="AZ763">
        <v>0</v>
      </c>
      <c r="BA763" t="s">
        <v>18</v>
      </c>
      <c r="BB763" t="s">
        <v>4</v>
      </c>
      <c r="BC763" t="s">
        <v>10</v>
      </c>
      <c r="BD763">
        <v>0</v>
      </c>
      <c r="BE763">
        <v>0</v>
      </c>
      <c r="BF763">
        <v>0</v>
      </c>
      <c r="BG763">
        <v>0</v>
      </c>
      <c r="BH763">
        <v>0</v>
      </c>
      <c r="BI763" t="s">
        <v>9</v>
      </c>
      <c r="BJ763">
        <v>0</v>
      </c>
      <c r="BK763">
        <v>-1.6557E-4</v>
      </c>
      <c r="BL763">
        <v>0</v>
      </c>
      <c r="BM763" s="2">
        <f t="shared" si="11"/>
        <v>9.2777940651227513E-7</v>
      </c>
    </row>
    <row r="764" spans="1:65" x14ac:dyDescent="0.35">
      <c r="A764">
        <v>0</v>
      </c>
      <c r="B764" t="s">
        <v>3</v>
      </c>
      <c r="C764" t="s">
        <v>4</v>
      </c>
      <c r="D764">
        <v>0</v>
      </c>
      <c r="E764" t="s">
        <v>3</v>
      </c>
      <c r="F764" t="s">
        <v>5</v>
      </c>
      <c r="G764">
        <v>3957.7382849999999</v>
      </c>
      <c r="H764" t="s">
        <v>4</v>
      </c>
      <c r="I764">
        <v>990.16341899999998</v>
      </c>
      <c r="J764">
        <v>2967.5748659999999</v>
      </c>
      <c r="K764" t="s">
        <v>6</v>
      </c>
      <c r="L764" t="s">
        <v>7</v>
      </c>
      <c r="M764" t="s">
        <v>8</v>
      </c>
      <c r="N764" t="s">
        <v>6</v>
      </c>
      <c r="O764" t="s">
        <v>3</v>
      </c>
      <c r="P764" t="s">
        <v>3</v>
      </c>
      <c r="Q764" t="s">
        <v>3</v>
      </c>
      <c r="R764" t="s">
        <v>3</v>
      </c>
      <c r="S764" t="s">
        <v>3</v>
      </c>
      <c r="T764" t="s">
        <v>7</v>
      </c>
      <c r="U764">
        <v>0</v>
      </c>
      <c r="V764">
        <v>1</v>
      </c>
      <c r="W764">
        <v>0</v>
      </c>
      <c r="X764">
        <v>4</v>
      </c>
      <c r="Y764">
        <v>0</v>
      </c>
      <c r="Z764" t="s">
        <v>9</v>
      </c>
      <c r="AA764" t="s">
        <v>4</v>
      </c>
      <c r="AB764" t="s">
        <v>6</v>
      </c>
      <c r="AC764" t="s">
        <v>7</v>
      </c>
      <c r="AD764" t="s">
        <v>8</v>
      </c>
      <c r="AE764" t="s">
        <v>6</v>
      </c>
      <c r="AF764" t="s">
        <v>3</v>
      </c>
      <c r="AG764" t="s">
        <v>3</v>
      </c>
      <c r="AH764" t="s">
        <v>3</v>
      </c>
      <c r="AI764" t="s">
        <v>3</v>
      </c>
      <c r="AJ764" t="s">
        <v>3</v>
      </c>
      <c r="AK764" t="s">
        <v>7</v>
      </c>
      <c r="AL764">
        <v>0</v>
      </c>
      <c r="AM764">
        <v>0</v>
      </c>
      <c r="AN764">
        <v>0</v>
      </c>
      <c r="AO764">
        <v>0</v>
      </c>
      <c r="AP764">
        <v>0</v>
      </c>
      <c r="AQ764" t="s">
        <v>9</v>
      </c>
      <c r="AR764" s="1">
        <v>6.0618194399999998E-5</v>
      </c>
      <c r="AS764" s="1">
        <v>2.9297028900000001E-26</v>
      </c>
      <c r="AT764">
        <v>31</v>
      </c>
      <c r="AU764" t="s">
        <v>10</v>
      </c>
      <c r="AV764">
        <v>0</v>
      </c>
      <c r="AW764">
        <v>1</v>
      </c>
      <c r="AX764">
        <v>0</v>
      </c>
      <c r="AY764">
        <v>4</v>
      </c>
      <c r="AZ764">
        <v>0</v>
      </c>
      <c r="BA764" t="s">
        <v>9</v>
      </c>
      <c r="BB764" t="s">
        <v>4</v>
      </c>
      <c r="BC764" t="s">
        <v>10</v>
      </c>
      <c r="BD764">
        <v>0</v>
      </c>
      <c r="BE764">
        <v>0</v>
      </c>
      <c r="BF764">
        <v>0</v>
      </c>
      <c r="BG764">
        <v>0</v>
      </c>
      <c r="BH764">
        <v>0</v>
      </c>
      <c r="BI764" t="s">
        <v>9</v>
      </c>
      <c r="BJ764">
        <v>1.22E-6</v>
      </c>
      <c r="BK764">
        <v>0</v>
      </c>
      <c r="BL764">
        <v>6.0609999999999997E-5</v>
      </c>
      <c r="BM764" s="2">
        <f t="shared" si="11"/>
        <v>1.764308330574691E-7</v>
      </c>
    </row>
    <row r="765" spans="1:65" x14ac:dyDescent="0.35">
      <c r="A765">
        <v>0</v>
      </c>
      <c r="B765" t="s">
        <v>11</v>
      </c>
      <c r="C765" t="s">
        <v>4</v>
      </c>
      <c r="D765">
        <v>0</v>
      </c>
      <c r="E765" t="s">
        <v>3</v>
      </c>
      <c r="F765" t="s">
        <v>5</v>
      </c>
      <c r="G765">
        <v>3481.868031</v>
      </c>
      <c r="H765" t="s">
        <v>4</v>
      </c>
      <c r="I765">
        <v>990.16341899999998</v>
      </c>
      <c r="J765">
        <v>2491.704612</v>
      </c>
      <c r="K765" t="s">
        <v>6</v>
      </c>
      <c r="L765" t="s">
        <v>7</v>
      </c>
      <c r="M765" t="s">
        <v>8</v>
      </c>
      <c r="N765" t="s">
        <v>6</v>
      </c>
      <c r="O765" t="s">
        <v>3</v>
      </c>
      <c r="P765" t="s">
        <v>3</v>
      </c>
      <c r="Q765" t="s">
        <v>3</v>
      </c>
      <c r="R765" t="s">
        <v>3</v>
      </c>
      <c r="S765" t="s">
        <v>11</v>
      </c>
      <c r="T765" t="s">
        <v>7</v>
      </c>
      <c r="U765">
        <v>1</v>
      </c>
      <c r="V765">
        <v>1</v>
      </c>
      <c r="W765">
        <v>0</v>
      </c>
      <c r="X765">
        <v>2</v>
      </c>
      <c r="Y765">
        <v>0</v>
      </c>
      <c r="Z765" t="s">
        <v>18</v>
      </c>
      <c r="AA765" t="s">
        <v>4</v>
      </c>
      <c r="AB765" t="s">
        <v>6</v>
      </c>
      <c r="AC765" t="s">
        <v>7</v>
      </c>
      <c r="AD765" t="s">
        <v>8</v>
      </c>
      <c r="AE765" t="s">
        <v>6</v>
      </c>
      <c r="AF765" t="s">
        <v>3</v>
      </c>
      <c r="AG765" t="s">
        <v>3</v>
      </c>
      <c r="AH765" t="s">
        <v>3</v>
      </c>
      <c r="AI765" t="s">
        <v>3</v>
      </c>
      <c r="AJ765" t="s">
        <v>3</v>
      </c>
      <c r="AK765" t="s">
        <v>7</v>
      </c>
      <c r="AL765">
        <v>0</v>
      </c>
      <c r="AM765">
        <v>0</v>
      </c>
      <c r="AN765">
        <v>0</v>
      </c>
      <c r="AO765">
        <v>0</v>
      </c>
      <c r="AP765">
        <v>0</v>
      </c>
      <c r="AQ765" t="s">
        <v>9</v>
      </c>
      <c r="AR765" s="1">
        <v>7.67227525E-6</v>
      </c>
      <c r="AS765" s="1">
        <v>3.9405648600000001E-28</v>
      </c>
      <c r="AT765">
        <v>36</v>
      </c>
      <c r="AU765" t="s">
        <v>10</v>
      </c>
      <c r="AV765">
        <v>1</v>
      </c>
      <c r="AW765">
        <v>1</v>
      </c>
      <c r="AX765">
        <v>0</v>
      </c>
      <c r="AY765">
        <v>2</v>
      </c>
      <c r="AZ765">
        <v>0</v>
      </c>
      <c r="BA765" t="s">
        <v>18</v>
      </c>
      <c r="BB765" t="s">
        <v>4</v>
      </c>
      <c r="BC765" t="s">
        <v>10</v>
      </c>
      <c r="BD765">
        <v>0</v>
      </c>
      <c r="BE765">
        <v>0</v>
      </c>
      <c r="BF765">
        <v>0</v>
      </c>
      <c r="BG765">
        <v>0</v>
      </c>
      <c r="BH765">
        <v>0</v>
      </c>
      <c r="BI765" t="s">
        <v>9</v>
      </c>
      <c r="BJ765">
        <v>0</v>
      </c>
      <c r="BK765">
        <v>-7.6699999999999994E-6</v>
      </c>
      <c r="BL765">
        <v>0</v>
      </c>
      <c r="BM765" s="2">
        <f t="shared" si="11"/>
        <v>2.3730636418452288E-9</v>
      </c>
    </row>
    <row r="766" spans="1:65" x14ac:dyDescent="0.35">
      <c r="A766">
        <v>0</v>
      </c>
      <c r="B766" t="s">
        <v>11</v>
      </c>
      <c r="C766" t="s">
        <v>4</v>
      </c>
      <c r="D766">
        <v>0</v>
      </c>
      <c r="E766" t="s">
        <v>3</v>
      </c>
      <c r="F766" t="s">
        <v>5</v>
      </c>
      <c r="G766">
        <v>4699.5932720000001</v>
      </c>
      <c r="H766" t="s">
        <v>4</v>
      </c>
      <c r="I766">
        <v>990.16341899999998</v>
      </c>
      <c r="J766">
        <v>3709.4298530000001</v>
      </c>
      <c r="K766" t="s">
        <v>6</v>
      </c>
      <c r="L766" t="s">
        <v>7</v>
      </c>
      <c r="M766" t="s">
        <v>8</v>
      </c>
      <c r="N766" t="s">
        <v>6</v>
      </c>
      <c r="O766" t="s">
        <v>3</v>
      </c>
      <c r="P766" t="s">
        <v>3</v>
      </c>
      <c r="Q766" t="s">
        <v>3</v>
      </c>
      <c r="R766" t="s">
        <v>3</v>
      </c>
      <c r="S766" t="s">
        <v>11</v>
      </c>
      <c r="T766" t="s">
        <v>7</v>
      </c>
      <c r="U766">
        <v>1</v>
      </c>
      <c r="V766">
        <v>1</v>
      </c>
      <c r="W766">
        <v>0</v>
      </c>
      <c r="X766">
        <v>0</v>
      </c>
      <c r="Y766">
        <v>1</v>
      </c>
      <c r="Z766" t="s">
        <v>13</v>
      </c>
      <c r="AA766" t="s">
        <v>4</v>
      </c>
      <c r="AB766" t="s">
        <v>6</v>
      </c>
      <c r="AC766" t="s">
        <v>7</v>
      </c>
      <c r="AD766" t="s">
        <v>8</v>
      </c>
      <c r="AE766" t="s">
        <v>6</v>
      </c>
      <c r="AF766" t="s">
        <v>3</v>
      </c>
      <c r="AG766" t="s">
        <v>3</v>
      </c>
      <c r="AH766" t="s">
        <v>3</v>
      </c>
      <c r="AI766" t="s">
        <v>3</v>
      </c>
      <c r="AJ766" t="s">
        <v>3</v>
      </c>
      <c r="AK766" t="s">
        <v>7</v>
      </c>
      <c r="AL766">
        <v>0</v>
      </c>
      <c r="AM766">
        <v>0</v>
      </c>
      <c r="AN766">
        <v>0</v>
      </c>
      <c r="AO766">
        <v>0</v>
      </c>
      <c r="AP766">
        <v>0</v>
      </c>
      <c r="AQ766" t="s">
        <v>9</v>
      </c>
      <c r="AR766" s="1">
        <v>1.9561109900000001E-6</v>
      </c>
      <c r="AS766" s="1">
        <v>3.8133819199999999E-29</v>
      </c>
      <c r="AT766">
        <v>32</v>
      </c>
      <c r="AU766" t="s">
        <v>10</v>
      </c>
      <c r="AV766">
        <v>1</v>
      </c>
      <c r="AW766">
        <v>1</v>
      </c>
      <c r="AX766">
        <v>0</v>
      </c>
      <c r="AY766">
        <v>0</v>
      </c>
      <c r="AZ766">
        <v>1</v>
      </c>
      <c r="BA766" t="s">
        <v>13</v>
      </c>
      <c r="BB766" t="s">
        <v>4</v>
      </c>
      <c r="BC766" t="s">
        <v>10</v>
      </c>
      <c r="BD766">
        <v>0</v>
      </c>
      <c r="BE766">
        <v>0</v>
      </c>
      <c r="BF766">
        <v>0</v>
      </c>
      <c r="BG766">
        <v>0</v>
      </c>
      <c r="BH766">
        <v>0</v>
      </c>
      <c r="BI766" t="s">
        <v>9</v>
      </c>
      <c r="BJ766">
        <v>0</v>
      </c>
      <c r="BK766">
        <v>1.9599999999999999E-6</v>
      </c>
      <c r="BL766">
        <v>0</v>
      </c>
      <c r="BM766" s="2">
        <f t="shared" si="11"/>
        <v>2.2964722846414333E-10</v>
      </c>
    </row>
    <row r="767" spans="1:65" x14ac:dyDescent="0.35">
      <c r="A767">
        <v>0</v>
      </c>
      <c r="B767" t="s">
        <v>3</v>
      </c>
      <c r="C767" t="s">
        <v>4</v>
      </c>
      <c r="D767">
        <v>0</v>
      </c>
      <c r="E767" t="s">
        <v>3</v>
      </c>
      <c r="F767" t="s">
        <v>5</v>
      </c>
      <c r="G767">
        <v>4558.8504750000002</v>
      </c>
      <c r="H767" t="s">
        <v>4</v>
      </c>
      <c r="I767">
        <v>990.16341899999998</v>
      </c>
      <c r="J767">
        <v>3568.6870560000002</v>
      </c>
      <c r="K767" t="s">
        <v>6</v>
      </c>
      <c r="L767" t="s">
        <v>7</v>
      </c>
      <c r="M767" t="s">
        <v>8</v>
      </c>
      <c r="N767" t="s">
        <v>6</v>
      </c>
      <c r="O767" t="s">
        <v>3</v>
      </c>
      <c r="P767" t="s">
        <v>3</v>
      </c>
      <c r="Q767" t="s">
        <v>3</v>
      </c>
      <c r="R767" t="s">
        <v>3</v>
      </c>
      <c r="S767" t="s">
        <v>3</v>
      </c>
      <c r="T767" t="s">
        <v>7</v>
      </c>
      <c r="U767">
        <v>0</v>
      </c>
      <c r="V767">
        <v>0</v>
      </c>
      <c r="W767">
        <v>0</v>
      </c>
      <c r="X767">
        <v>5</v>
      </c>
      <c r="Y767">
        <v>1</v>
      </c>
      <c r="Z767" t="s">
        <v>21</v>
      </c>
      <c r="AA767" t="s">
        <v>4</v>
      </c>
      <c r="AB767" t="s">
        <v>6</v>
      </c>
      <c r="AC767" t="s">
        <v>7</v>
      </c>
      <c r="AD767" t="s">
        <v>8</v>
      </c>
      <c r="AE767" t="s">
        <v>6</v>
      </c>
      <c r="AF767" t="s">
        <v>3</v>
      </c>
      <c r="AG767" t="s">
        <v>3</v>
      </c>
      <c r="AH767" t="s">
        <v>3</v>
      </c>
      <c r="AI767" t="s">
        <v>3</v>
      </c>
      <c r="AJ767" t="s">
        <v>3</v>
      </c>
      <c r="AK767" t="s">
        <v>7</v>
      </c>
      <c r="AL767">
        <v>0</v>
      </c>
      <c r="AM767">
        <v>0</v>
      </c>
      <c r="AN767">
        <v>0</v>
      </c>
      <c r="AO767">
        <v>0</v>
      </c>
      <c r="AP767">
        <v>0</v>
      </c>
      <c r="AQ767" t="s">
        <v>9</v>
      </c>
      <c r="AR767" s="1">
        <v>2.7934676399999999E-5</v>
      </c>
      <c r="AS767" s="1">
        <v>7.4819001000000005E-27</v>
      </c>
      <c r="AT767">
        <v>31</v>
      </c>
      <c r="AU767" t="s">
        <v>10</v>
      </c>
      <c r="AV767">
        <v>0</v>
      </c>
      <c r="AW767">
        <v>0</v>
      </c>
      <c r="AX767">
        <v>0</v>
      </c>
      <c r="AY767">
        <v>5</v>
      </c>
      <c r="AZ767">
        <v>1</v>
      </c>
      <c r="BA767" t="s">
        <v>21</v>
      </c>
      <c r="BB767" t="s">
        <v>4</v>
      </c>
      <c r="BC767" t="s">
        <v>10</v>
      </c>
      <c r="BD767">
        <v>0</v>
      </c>
      <c r="BE767">
        <v>0</v>
      </c>
      <c r="BF767">
        <v>0</v>
      </c>
      <c r="BG767">
        <v>0</v>
      </c>
      <c r="BH767">
        <v>0</v>
      </c>
      <c r="BI767" t="s">
        <v>9</v>
      </c>
      <c r="BJ767">
        <v>-2.7909999999999999E-5</v>
      </c>
      <c r="BK767">
        <v>0</v>
      </c>
      <c r="BL767">
        <v>-1.1799999999999999E-6</v>
      </c>
      <c r="BM767" s="2">
        <f t="shared" si="11"/>
        <v>4.5057055853734082E-8</v>
      </c>
    </row>
    <row r="768" spans="1:65" x14ac:dyDescent="0.35">
      <c r="A768">
        <v>0</v>
      </c>
      <c r="B768" t="s">
        <v>11</v>
      </c>
      <c r="C768" t="s">
        <v>4</v>
      </c>
      <c r="D768">
        <v>0</v>
      </c>
      <c r="E768" t="s">
        <v>3</v>
      </c>
      <c r="F768" t="s">
        <v>5</v>
      </c>
      <c r="G768">
        <v>2812.9805809999998</v>
      </c>
      <c r="H768" t="s">
        <v>4</v>
      </c>
      <c r="I768">
        <v>990.16341899999998</v>
      </c>
      <c r="J768">
        <v>1822.8171620000001</v>
      </c>
      <c r="K768" t="s">
        <v>6</v>
      </c>
      <c r="L768" t="s">
        <v>7</v>
      </c>
      <c r="M768" t="s">
        <v>8</v>
      </c>
      <c r="N768" t="s">
        <v>6</v>
      </c>
      <c r="O768" t="s">
        <v>3</v>
      </c>
      <c r="P768" t="s">
        <v>3</v>
      </c>
      <c r="Q768" t="s">
        <v>3</v>
      </c>
      <c r="R768" t="s">
        <v>3</v>
      </c>
      <c r="S768" t="s">
        <v>11</v>
      </c>
      <c r="T768" t="s">
        <v>7</v>
      </c>
      <c r="U768">
        <v>1</v>
      </c>
      <c r="V768">
        <v>0</v>
      </c>
      <c r="W768">
        <v>0</v>
      </c>
      <c r="X768">
        <v>1</v>
      </c>
      <c r="Y768">
        <v>0</v>
      </c>
      <c r="Z768" t="s">
        <v>13</v>
      </c>
      <c r="AA768" t="s">
        <v>4</v>
      </c>
      <c r="AB768" t="s">
        <v>6</v>
      </c>
      <c r="AC768" t="s">
        <v>7</v>
      </c>
      <c r="AD768" t="s">
        <v>8</v>
      </c>
      <c r="AE768" t="s">
        <v>6</v>
      </c>
      <c r="AF768" t="s">
        <v>3</v>
      </c>
      <c r="AG768" t="s">
        <v>3</v>
      </c>
      <c r="AH768" t="s">
        <v>3</v>
      </c>
      <c r="AI768" t="s">
        <v>3</v>
      </c>
      <c r="AJ768" t="s">
        <v>3</v>
      </c>
      <c r="AK768" t="s">
        <v>7</v>
      </c>
      <c r="AL768">
        <v>0</v>
      </c>
      <c r="AM768">
        <v>0</v>
      </c>
      <c r="AN768">
        <v>0</v>
      </c>
      <c r="AO768">
        <v>0</v>
      </c>
      <c r="AP768">
        <v>0</v>
      </c>
      <c r="AQ768" t="s">
        <v>9</v>
      </c>
      <c r="AR768" s="1">
        <v>2.6545408900000001E-4</v>
      </c>
      <c r="AS768" s="1">
        <v>3.4504257899999998E-25</v>
      </c>
      <c r="AT768">
        <v>31</v>
      </c>
      <c r="AU768" t="s">
        <v>10</v>
      </c>
      <c r="AV768">
        <v>1</v>
      </c>
      <c r="AW768">
        <v>0</v>
      </c>
      <c r="AX768">
        <v>0</v>
      </c>
      <c r="AY768">
        <v>1</v>
      </c>
      <c r="AZ768">
        <v>0</v>
      </c>
      <c r="BA768" t="s">
        <v>13</v>
      </c>
      <c r="BB768" t="s">
        <v>4</v>
      </c>
      <c r="BC768" t="s">
        <v>10</v>
      </c>
      <c r="BD768">
        <v>0</v>
      </c>
      <c r="BE768">
        <v>0</v>
      </c>
      <c r="BF768">
        <v>0</v>
      </c>
      <c r="BG768">
        <v>0</v>
      </c>
      <c r="BH768">
        <v>0</v>
      </c>
      <c r="BI768" t="s">
        <v>9</v>
      </c>
      <c r="BJ768">
        <v>0</v>
      </c>
      <c r="BK768">
        <v>-2.6544999999999997E-4</v>
      </c>
      <c r="BL768">
        <v>0</v>
      </c>
      <c r="BM768" s="2">
        <f t="shared" si="11"/>
        <v>2.0778949927331228E-6</v>
      </c>
    </row>
    <row r="769" spans="1:65" x14ac:dyDescent="0.35">
      <c r="A769">
        <v>0</v>
      </c>
      <c r="B769" t="s">
        <v>11</v>
      </c>
      <c r="C769" t="s">
        <v>4</v>
      </c>
      <c r="D769">
        <v>0</v>
      </c>
      <c r="E769" t="s">
        <v>3</v>
      </c>
      <c r="F769" t="s">
        <v>5</v>
      </c>
      <c r="G769">
        <v>4927.1766950000001</v>
      </c>
      <c r="H769" t="s">
        <v>4</v>
      </c>
      <c r="I769">
        <v>990.16341899999998</v>
      </c>
      <c r="J769">
        <v>3937.0132760000001</v>
      </c>
      <c r="K769" t="s">
        <v>6</v>
      </c>
      <c r="L769" t="s">
        <v>7</v>
      </c>
      <c r="M769" t="s">
        <v>8</v>
      </c>
      <c r="N769" t="s">
        <v>6</v>
      </c>
      <c r="O769" t="s">
        <v>3</v>
      </c>
      <c r="P769" t="s">
        <v>3</v>
      </c>
      <c r="Q769" t="s">
        <v>3</v>
      </c>
      <c r="R769" t="s">
        <v>3</v>
      </c>
      <c r="S769" t="s">
        <v>11</v>
      </c>
      <c r="T769" t="s">
        <v>7</v>
      </c>
      <c r="U769">
        <v>0</v>
      </c>
      <c r="V769">
        <v>2</v>
      </c>
      <c r="W769">
        <v>0</v>
      </c>
      <c r="X769">
        <v>0</v>
      </c>
      <c r="Y769">
        <v>1</v>
      </c>
      <c r="Z769" t="s">
        <v>14</v>
      </c>
      <c r="AA769" t="s">
        <v>4</v>
      </c>
      <c r="AB769" t="s">
        <v>6</v>
      </c>
      <c r="AC769" t="s">
        <v>7</v>
      </c>
      <c r="AD769" t="s">
        <v>8</v>
      </c>
      <c r="AE769" t="s">
        <v>6</v>
      </c>
      <c r="AF769" t="s">
        <v>3</v>
      </c>
      <c r="AG769" t="s">
        <v>3</v>
      </c>
      <c r="AH769" t="s">
        <v>3</v>
      </c>
      <c r="AI769" t="s">
        <v>3</v>
      </c>
      <c r="AJ769" t="s">
        <v>3</v>
      </c>
      <c r="AK769" t="s">
        <v>7</v>
      </c>
      <c r="AL769">
        <v>0</v>
      </c>
      <c r="AM769">
        <v>0</v>
      </c>
      <c r="AN769">
        <v>0</v>
      </c>
      <c r="AO769">
        <v>0</v>
      </c>
      <c r="AP769">
        <v>0</v>
      </c>
      <c r="AQ769" t="s">
        <v>9</v>
      </c>
      <c r="AR769" s="1">
        <v>6.3714959499999998E-6</v>
      </c>
      <c r="AS769" s="1">
        <v>4.2940377899999996E-28</v>
      </c>
      <c r="AT769">
        <v>33</v>
      </c>
      <c r="AU769" t="s">
        <v>10</v>
      </c>
      <c r="AV769">
        <v>0</v>
      </c>
      <c r="AW769">
        <v>2</v>
      </c>
      <c r="AX769">
        <v>0</v>
      </c>
      <c r="AY769">
        <v>0</v>
      </c>
      <c r="AZ769">
        <v>1</v>
      </c>
      <c r="BA769" t="s">
        <v>14</v>
      </c>
      <c r="BB769" t="s">
        <v>4</v>
      </c>
      <c r="BC769" t="s">
        <v>10</v>
      </c>
      <c r="BD769">
        <v>0</v>
      </c>
      <c r="BE769">
        <v>0</v>
      </c>
      <c r="BF769">
        <v>0</v>
      </c>
      <c r="BG769">
        <v>0</v>
      </c>
      <c r="BH769">
        <v>0</v>
      </c>
      <c r="BI769" t="s">
        <v>9</v>
      </c>
      <c r="BJ769">
        <v>0</v>
      </c>
      <c r="BK769">
        <v>-6.37E-6</v>
      </c>
      <c r="BL769">
        <v>0</v>
      </c>
      <c r="BM769" s="2">
        <f t="shared" si="11"/>
        <v>2.5859300171900832E-9</v>
      </c>
    </row>
    <row r="770" spans="1:65" x14ac:dyDescent="0.35">
      <c r="A770">
        <v>0</v>
      </c>
      <c r="B770" t="s">
        <v>3</v>
      </c>
      <c r="C770" t="s">
        <v>4</v>
      </c>
      <c r="D770">
        <v>0</v>
      </c>
      <c r="E770" t="s">
        <v>3</v>
      </c>
      <c r="F770" t="s">
        <v>5</v>
      </c>
      <c r="G770">
        <v>4987.5217979999998</v>
      </c>
      <c r="H770" t="s">
        <v>4</v>
      </c>
      <c r="I770">
        <v>990.16341899999998</v>
      </c>
      <c r="J770">
        <v>3997.3583789999998</v>
      </c>
      <c r="K770" t="s">
        <v>6</v>
      </c>
      <c r="L770" t="s">
        <v>7</v>
      </c>
      <c r="M770" t="s">
        <v>8</v>
      </c>
      <c r="N770" t="s">
        <v>6</v>
      </c>
      <c r="O770" t="s">
        <v>3</v>
      </c>
      <c r="P770" t="s">
        <v>3</v>
      </c>
      <c r="Q770" t="s">
        <v>3</v>
      </c>
      <c r="R770" t="s">
        <v>3</v>
      </c>
      <c r="S770" t="s">
        <v>3</v>
      </c>
      <c r="T770" t="s">
        <v>7</v>
      </c>
      <c r="U770">
        <v>0</v>
      </c>
      <c r="V770">
        <v>1</v>
      </c>
      <c r="W770">
        <v>0</v>
      </c>
      <c r="X770">
        <v>4</v>
      </c>
      <c r="Y770">
        <v>1</v>
      </c>
      <c r="Z770" t="s">
        <v>15</v>
      </c>
      <c r="AA770" t="s">
        <v>4</v>
      </c>
      <c r="AB770" t="s">
        <v>6</v>
      </c>
      <c r="AC770" t="s">
        <v>7</v>
      </c>
      <c r="AD770" t="s">
        <v>8</v>
      </c>
      <c r="AE770" t="s">
        <v>6</v>
      </c>
      <c r="AF770" t="s">
        <v>3</v>
      </c>
      <c r="AG770" t="s">
        <v>3</v>
      </c>
      <c r="AH770" t="s">
        <v>3</v>
      </c>
      <c r="AI770" t="s">
        <v>3</v>
      </c>
      <c r="AJ770" t="s">
        <v>3</v>
      </c>
      <c r="AK770" t="s">
        <v>7</v>
      </c>
      <c r="AL770">
        <v>0</v>
      </c>
      <c r="AM770">
        <v>0</v>
      </c>
      <c r="AN770">
        <v>0</v>
      </c>
      <c r="AO770">
        <v>0</v>
      </c>
      <c r="AP770">
        <v>0</v>
      </c>
      <c r="AQ770" t="s">
        <v>9</v>
      </c>
      <c r="AR770" s="1">
        <v>1.6598440999999999E-5</v>
      </c>
      <c r="AS770" s="1">
        <v>2.9588561000000001E-27</v>
      </c>
      <c r="AT770">
        <v>33</v>
      </c>
      <c r="AU770" t="s">
        <v>10</v>
      </c>
      <c r="AV770">
        <v>0</v>
      </c>
      <c r="AW770">
        <v>1</v>
      </c>
      <c r="AX770">
        <v>0</v>
      </c>
      <c r="AY770">
        <v>4</v>
      </c>
      <c r="AZ770">
        <v>1</v>
      </c>
      <c r="BA770" t="s">
        <v>15</v>
      </c>
      <c r="BB770" t="s">
        <v>4</v>
      </c>
      <c r="BC770" t="s">
        <v>10</v>
      </c>
      <c r="BD770">
        <v>0</v>
      </c>
      <c r="BE770">
        <v>0</v>
      </c>
      <c r="BF770">
        <v>0</v>
      </c>
      <c r="BG770">
        <v>0</v>
      </c>
      <c r="BH770">
        <v>0</v>
      </c>
      <c r="BI770" t="s">
        <v>9</v>
      </c>
      <c r="BJ770">
        <v>-1.5909999999999998E-5</v>
      </c>
      <c r="BK770">
        <v>0</v>
      </c>
      <c r="BL770">
        <v>-4.7199999999999997E-6</v>
      </c>
      <c r="BM770" s="2">
        <f t="shared" ref="BM770:BM833" si="12">AS770*10^(-5)*6.0221408*10^(23)</f>
        <v>1.7818648041138881E-8</v>
      </c>
    </row>
    <row r="771" spans="1:65" x14ac:dyDescent="0.35">
      <c r="A771">
        <v>0</v>
      </c>
      <c r="B771" t="s">
        <v>11</v>
      </c>
      <c r="C771" t="s">
        <v>4</v>
      </c>
      <c r="D771">
        <v>0</v>
      </c>
      <c r="E771" t="s">
        <v>3</v>
      </c>
      <c r="F771" t="s">
        <v>5</v>
      </c>
      <c r="G771">
        <v>3310.8126280000001</v>
      </c>
      <c r="H771" t="s">
        <v>4</v>
      </c>
      <c r="I771">
        <v>990.16341899999998</v>
      </c>
      <c r="J771">
        <v>2320.6492090000002</v>
      </c>
      <c r="K771" t="s">
        <v>6</v>
      </c>
      <c r="L771" t="s">
        <v>7</v>
      </c>
      <c r="M771" t="s">
        <v>8</v>
      </c>
      <c r="N771" t="s">
        <v>6</v>
      </c>
      <c r="O771" t="s">
        <v>3</v>
      </c>
      <c r="P771" t="s">
        <v>3</v>
      </c>
      <c r="Q771" t="s">
        <v>3</v>
      </c>
      <c r="R771" t="s">
        <v>3</v>
      </c>
      <c r="S771" t="s">
        <v>11</v>
      </c>
      <c r="T771" t="s">
        <v>7</v>
      </c>
      <c r="U771">
        <v>0</v>
      </c>
      <c r="V771">
        <v>0</v>
      </c>
      <c r="W771">
        <v>0</v>
      </c>
      <c r="X771">
        <v>0</v>
      </c>
      <c r="Y771">
        <v>3</v>
      </c>
      <c r="Z771" t="s">
        <v>18</v>
      </c>
      <c r="AA771" t="s">
        <v>4</v>
      </c>
      <c r="AB771" t="s">
        <v>6</v>
      </c>
      <c r="AC771" t="s">
        <v>7</v>
      </c>
      <c r="AD771" t="s">
        <v>8</v>
      </c>
      <c r="AE771" t="s">
        <v>6</v>
      </c>
      <c r="AF771" t="s">
        <v>3</v>
      </c>
      <c r="AG771" t="s">
        <v>3</v>
      </c>
      <c r="AH771" t="s">
        <v>3</v>
      </c>
      <c r="AI771" t="s">
        <v>3</v>
      </c>
      <c r="AJ771" t="s">
        <v>3</v>
      </c>
      <c r="AK771" t="s">
        <v>7</v>
      </c>
      <c r="AL771">
        <v>0</v>
      </c>
      <c r="AM771">
        <v>0</v>
      </c>
      <c r="AN771">
        <v>0</v>
      </c>
      <c r="AO771">
        <v>0</v>
      </c>
      <c r="AP771">
        <v>0</v>
      </c>
      <c r="AQ771" t="s">
        <v>9</v>
      </c>
      <c r="AR771" s="1">
        <v>1.2341904599999999E-3</v>
      </c>
      <c r="AS771" s="1">
        <v>9.4969492500000004E-24</v>
      </c>
      <c r="AT771">
        <v>36</v>
      </c>
      <c r="AU771" t="s">
        <v>10</v>
      </c>
      <c r="AV771">
        <v>0</v>
      </c>
      <c r="AW771">
        <v>0</v>
      </c>
      <c r="AX771">
        <v>0</v>
      </c>
      <c r="AY771">
        <v>0</v>
      </c>
      <c r="AZ771">
        <v>3</v>
      </c>
      <c r="BA771" t="s">
        <v>18</v>
      </c>
      <c r="BB771" t="s">
        <v>4</v>
      </c>
      <c r="BC771" t="s">
        <v>10</v>
      </c>
      <c r="BD771">
        <v>0</v>
      </c>
      <c r="BE771">
        <v>0</v>
      </c>
      <c r="BF771">
        <v>0</v>
      </c>
      <c r="BG771">
        <v>0</v>
      </c>
      <c r="BH771">
        <v>0</v>
      </c>
      <c r="BI771" t="s">
        <v>9</v>
      </c>
      <c r="BJ771">
        <v>0</v>
      </c>
      <c r="BK771">
        <v>1.23419E-3</v>
      </c>
      <c r="BL771">
        <v>0</v>
      </c>
      <c r="BM771" s="2">
        <f t="shared" si="12"/>
        <v>5.7191965553954399E-5</v>
      </c>
    </row>
    <row r="772" spans="1:65" x14ac:dyDescent="0.35">
      <c r="A772">
        <v>0</v>
      </c>
      <c r="B772" t="s">
        <v>3</v>
      </c>
      <c r="C772" t="s">
        <v>4</v>
      </c>
      <c r="D772">
        <v>0</v>
      </c>
      <c r="E772" t="s">
        <v>3</v>
      </c>
      <c r="F772" t="s">
        <v>5</v>
      </c>
      <c r="G772">
        <v>4863.0241429999996</v>
      </c>
      <c r="H772" t="s">
        <v>4</v>
      </c>
      <c r="I772">
        <v>990.16341899999998</v>
      </c>
      <c r="J772">
        <v>3872.8607240000001</v>
      </c>
      <c r="K772" t="s">
        <v>6</v>
      </c>
      <c r="L772" t="s">
        <v>7</v>
      </c>
      <c r="M772" t="s">
        <v>8</v>
      </c>
      <c r="N772" t="s">
        <v>6</v>
      </c>
      <c r="O772" t="s">
        <v>3</v>
      </c>
      <c r="P772" t="s">
        <v>3</v>
      </c>
      <c r="Q772" t="s">
        <v>3</v>
      </c>
      <c r="R772" t="s">
        <v>3</v>
      </c>
      <c r="S772" t="s">
        <v>3</v>
      </c>
      <c r="T772" t="s">
        <v>7</v>
      </c>
      <c r="U772">
        <v>0</v>
      </c>
      <c r="V772">
        <v>0</v>
      </c>
      <c r="W772">
        <v>1</v>
      </c>
      <c r="X772">
        <v>1</v>
      </c>
      <c r="Y772">
        <v>1</v>
      </c>
      <c r="Z772" t="s">
        <v>8</v>
      </c>
      <c r="AA772" t="s">
        <v>4</v>
      </c>
      <c r="AB772" t="s">
        <v>6</v>
      </c>
      <c r="AC772" t="s">
        <v>7</v>
      </c>
      <c r="AD772" t="s">
        <v>8</v>
      </c>
      <c r="AE772" t="s">
        <v>6</v>
      </c>
      <c r="AF772" t="s">
        <v>3</v>
      </c>
      <c r="AG772" t="s">
        <v>3</v>
      </c>
      <c r="AH772" t="s">
        <v>3</v>
      </c>
      <c r="AI772" t="s">
        <v>3</v>
      </c>
      <c r="AJ772" t="s">
        <v>3</v>
      </c>
      <c r="AK772" t="s">
        <v>7</v>
      </c>
      <c r="AL772">
        <v>0</v>
      </c>
      <c r="AM772">
        <v>0</v>
      </c>
      <c r="AN772">
        <v>0</v>
      </c>
      <c r="AO772">
        <v>0</v>
      </c>
      <c r="AP772">
        <v>0</v>
      </c>
      <c r="AQ772" t="s">
        <v>9</v>
      </c>
      <c r="AR772" s="1">
        <v>7.9059579700000008E-6</v>
      </c>
      <c r="AS772" s="1">
        <v>6.5036481999999996E-28</v>
      </c>
      <c r="AT772">
        <v>33</v>
      </c>
      <c r="AU772" t="s">
        <v>10</v>
      </c>
      <c r="AV772">
        <v>0</v>
      </c>
      <c r="AW772">
        <v>0</v>
      </c>
      <c r="AX772">
        <v>1</v>
      </c>
      <c r="AY772">
        <v>1</v>
      </c>
      <c r="AZ772">
        <v>1</v>
      </c>
      <c r="BA772" t="s">
        <v>8</v>
      </c>
      <c r="BB772" t="s">
        <v>4</v>
      </c>
      <c r="BC772" t="s">
        <v>10</v>
      </c>
      <c r="BD772">
        <v>0</v>
      </c>
      <c r="BE772">
        <v>0</v>
      </c>
      <c r="BF772">
        <v>0</v>
      </c>
      <c r="BG772">
        <v>0</v>
      </c>
      <c r="BH772">
        <v>0</v>
      </c>
      <c r="BI772" t="s">
        <v>9</v>
      </c>
      <c r="BJ772">
        <v>-1.44E-6</v>
      </c>
      <c r="BK772">
        <v>0</v>
      </c>
      <c r="BL772">
        <v>-7.7700000000000001E-6</v>
      </c>
      <c r="BM772" s="2">
        <f t="shared" si="12"/>
        <v>3.9165885174066561E-9</v>
      </c>
    </row>
    <row r="773" spans="1:65" x14ac:dyDescent="0.35">
      <c r="A773">
        <v>0</v>
      </c>
      <c r="B773" t="s">
        <v>3</v>
      </c>
      <c r="C773" t="s">
        <v>4</v>
      </c>
      <c r="D773">
        <v>0</v>
      </c>
      <c r="E773" t="s">
        <v>3</v>
      </c>
      <c r="F773" t="s">
        <v>5</v>
      </c>
      <c r="G773">
        <v>2081.7315279999998</v>
      </c>
      <c r="H773" t="s">
        <v>4</v>
      </c>
      <c r="I773">
        <v>990.16341899999998</v>
      </c>
      <c r="J773">
        <v>1091.5681079999999</v>
      </c>
      <c r="K773" t="s">
        <v>6</v>
      </c>
      <c r="L773" t="s">
        <v>7</v>
      </c>
      <c r="M773" t="s">
        <v>8</v>
      </c>
      <c r="N773" t="s">
        <v>6</v>
      </c>
      <c r="O773" t="s">
        <v>3</v>
      </c>
      <c r="P773" t="s">
        <v>3</v>
      </c>
      <c r="Q773" t="s">
        <v>3</v>
      </c>
      <c r="R773" t="s">
        <v>3</v>
      </c>
      <c r="S773" t="s">
        <v>3</v>
      </c>
      <c r="T773" t="s">
        <v>7</v>
      </c>
      <c r="U773">
        <v>0</v>
      </c>
      <c r="V773">
        <v>0</v>
      </c>
      <c r="W773">
        <v>0</v>
      </c>
      <c r="X773">
        <v>0</v>
      </c>
      <c r="Y773">
        <v>1</v>
      </c>
      <c r="Z773" t="s">
        <v>15</v>
      </c>
      <c r="AA773" t="s">
        <v>4</v>
      </c>
      <c r="AB773" t="s">
        <v>6</v>
      </c>
      <c r="AC773" t="s">
        <v>7</v>
      </c>
      <c r="AD773" t="s">
        <v>8</v>
      </c>
      <c r="AE773" t="s">
        <v>6</v>
      </c>
      <c r="AF773" t="s">
        <v>3</v>
      </c>
      <c r="AG773" t="s">
        <v>3</v>
      </c>
      <c r="AH773" t="s">
        <v>3</v>
      </c>
      <c r="AI773" t="s">
        <v>3</v>
      </c>
      <c r="AJ773" t="s">
        <v>3</v>
      </c>
      <c r="AK773" t="s">
        <v>7</v>
      </c>
      <c r="AL773">
        <v>0</v>
      </c>
      <c r="AM773">
        <v>0</v>
      </c>
      <c r="AN773">
        <v>0</v>
      </c>
      <c r="AO773">
        <v>0</v>
      </c>
      <c r="AP773">
        <v>0</v>
      </c>
      <c r="AQ773" t="s">
        <v>9</v>
      </c>
      <c r="AR773" s="1">
        <v>3.6700842499999999E-5</v>
      </c>
      <c r="AS773" s="1">
        <v>3.9298851399999997E-27</v>
      </c>
      <c r="AT773">
        <v>37</v>
      </c>
      <c r="AU773" t="s">
        <v>10</v>
      </c>
      <c r="AV773">
        <v>0</v>
      </c>
      <c r="AW773">
        <v>0</v>
      </c>
      <c r="AX773">
        <v>0</v>
      </c>
      <c r="AY773">
        <v>0</v>
      </c>
      <c r="AZ773">
        <v>1</v>
      </c>
      <c r="BA773" t="s">
        <v>15</v>
      </c>
      <c r="BB773" t="s">
        <v>4</v>
      </c>
      <c r="BC773" t="s">
        <v>10</v>
      </c>
      <c r="BD773">
        <v>0</v>
      </c>
      <c r="BE773">
        <v>0</v>
      </c>
      <c r="BF773">
        <v>0</v>
      </c>
      <c r="BG773">
        <v>0</v>
      </c>
      <c r="BH773">
        <v>0</v>
      </c>
      <c r="BI773" t="s">
        <v>9</v>
      </c>
      <c r="BJ773">
        <v>3.2830000000000002E-5</v>
      </c>
      <c r="BK773">
        <v>0</v>
      </c>
      <c r="BL773">
        <v>-1.6399999999999999E-5</v>
      </c>
      <c r="BM773" s="2">
        <f t="shared" si="12"/>
        <v>2.3666321640907709E-8</v>
      </c>
    </row>
    <row r="774" spans="1:65" x14ac:dyDescent="0.35">
      <c r="A774">
        <v>0</v>
      </c>
      <c r="B774" t="s">
        <v>11</v>
      </c>
      <c r="C774" t="s">
        <v>4</v>
      </c>
      <c r="D774">
        <v>0</v>
      </c>
      <c r="E774" t="s">
        <v>3</v>
      </c>
      <c r="F774" t="s">
        <v>5</v>
      </c>
      <c r="G774">
        <v>4343.6972589999996</v>
      </c>
      <c r="H774" t="s">
        <v>4</v>
      </c>
      <c r="I774">
        <v>990.16341899999998</v>
      </c>
      <c r="J774">
        <v>3353.5338400000001</v>
      </c>
      <c r="K774" t="s">
        <v>6</v>
      </c>
      <c r="L774" t="s">
        <v>7</v>
      </c>
      <c r="M774" t="s">
        <v>8</v>
      </c>
      <c r="N774" t="s">
        <v>6</v>
      </c>
      <c r="O774" t="s">
        <v>3</v>
      </c>
      <c r="P774" t="s">
        <v>3</v>
      </c>
      <c r="Q774" t="s">
        <v>3</v>
      </c>
      <c r="R774" t="s">
        <v>3</v>
      </c>
      <c r="S774" t="s">
        <v>11</v>
      </c>
      <c r="T774" t="s">
        <v>7</v>
      </c>
      <c r="U774">
        <v>1</v>
      </c>
      <c r="V774">
        <v>1</v>
      </c>
      <c r="W774">
        <v>0</v>
      </c>
      <c r="X774">
        <v>0</v>
      </c>
      <c r="Y774">
        <v>0</v>
      </c>
      <c r="Z774" t="s">
        <v>19</v>
      </c>
      <c r="AA774" t="s">
        <v>4</v>
      </c>
      <c r="AB774" t="s">
        <v>6</v>
      </c>
      <c r="AC774" t="s">
        <v>7</v>
      </c>
      <c r="AD774" t="s">
        <v>8</v>
      </c>
      <c r="AE774" t="s">
        <v>6</v>
      </c>
      <c r="AF774" t="s">
        <v>3</v>
      </c>
      <c r="AG774" t="s">
        <v>3</v>
      </c>
      <c r="AH774" t="s">
        <v>3</v>
      </c>
      <c r="AI774" t="s">
        <v>3</v>
      </c>
      <c r="AJ774" t="s">
        <v>3</v>
      </c>
      <c r="AK774" t="s">
        <v>7</v>
      </c>
      <c r="AL774">
        <v>0</v>
      </c>
      <c r="AM774">
        <v>0</v>
      </c>
      <c r="AN774">
        <v>0</v>
      </c>
      <c r="AO774">
        <v>0</v>
      </c>
      <c r="AP774">
        <v>0</v>
      </c>
      <c r="AQ774" t="s">
        <v>9</v>
      </c>
      <c r="AR774" s="1">
        <v>8.72884847E-6</v>
      </c>
      <c r="AS774" s="1">
        <v>6.8648764299999998E-28</v>
      </c>
      <c r="AT774">
        <v>32</v>
      </c>
      <c r="AU774" t="s">
        <v>10</v>
      </c>
      <c r="AV774">
        <v>1</v>
      </c>
      <c r="AW774">
        <v>1</v>
      </c>
      <c r="AX774">
        <v>0</v>
      </c>
      <c r="AY774">
        <v>0</v>
      </c>
      <c r="AZ774">
        <v>0</v>
      </c>
      <c r="BA774" t="s">
        <v>19</v>
      </c>
      <c r="BB774" t="s">
        <v>4</v>
      </c>
      <c r="BC774" t="s">
        <v>10</v>
      </c>
      <c r="BD774">
        <v>0</v>
      </c>
      <c r="BE774">
        <v>0</v>
      </c>
      <c r="BF774">
        <v>0</v>
      </c>
      <c r="BG774">
        <v>0</v>
      </c>
      <c r="BH774">
        <v>0</v>
      </c>
      <c r="BI774" t="s">
        <v>9</v>
      </c>
      <c r="BJ774">
        <v>0</v>
      </c>
      <c r="BK774">
        <v>-8.7299999999999994E-6</v>
      </c>
      <c r="BL774">
        <v>0</v>
      </c>
      <c r="BM774" s="2">
        <f t="shared" si="12"/>
        <v>4.134125243606134E-9</v>
      </c>
    </row>
    <row r="775" spans="1:65" x14ac:dyDescent="0.35">
      <c r="A775">
        <v>0</v>
      </c>
      <c r="B775" t="s">
        <v>11</v>
      </c>
      <c r="C775" t="s">
        <v>4</v>
      </c>
      <c r="D775">
        <v>0</v>
      </c>
      <c r="E775" t="s">
        <v>3</v>
      </c>
      <c r="F775" t="s">
        <v>5</v>
      </c>
      <c r="G775">
        <v>4445.195608</v>
      </c>
      <c r="H775" t="s">
        <v>4</v>
      </c>
      <c r="I775">
        <v>990.16341899999998</v>
      </c>
      <c r="J775">
        <v>3455.032189</v>
      </c>
      <c r="K775" t="s">
        <v>6</v>
      </c>
      <c r="L775" t="s">
        <v>7</v>
      </c>
      <c r="M775" t="s">
        <v>8</v>
      </c>
      <c r="N775" t="s">
        <v>6</v>
      </c>
      <c r="O775" t="s">
        <v>3</v>
      </c>
      <c r="P775" t="s">
        <v>3</v>
      </c>
      <c r="Q775" t="s">
        <v>3</v>
      </c>
      <c r="R775" t="s">
        <v>3</v>
      </c>
      <c r="S775" t="s">
        <v>11</v>
      </c>
      <c r="T775" t="s">
        <v>7</v>
      </c>
      <c r="U775">
        <v>1</v>
      </c>
      <c r="V775">
        <v>0</v>
      </c>
      <c r="W775">
        <v>0</v>
      </c>
      <c r="X775">
        <v>0</v>
      </c>
      <c r="Y775">
        <v>2</v>
      </c>
      <c r="Z775" t="s">
        <v>13</v>
      </c>
      <c r="AA775" t="s">
        <v>4</v>
      </c>
      <c r="AB775" t="s">
        <v>6</v>
      </c>
      <c r="AC775" t="s">
        <v>7</v>
      </c>
      <c r="AD775" t="s">
        <v>8</v>
      </c>
      <c r="AE775" t="s">
        <v>6</v>
      </c>
      <c r="AF775" t="s">
        <v>3</v>
      </c>
      <c r="AG775" t="s">
        <v>3</v>
      </c>
      <c r="AH775" t="s">
        <v>3</v>
      </c>
      <c r="AI775" t="s">
        <v>3</v>
      </c>
      <c r="AJ775" t="s">
        <v>3</v>
      </c>
      <c r="AK775" t="s">
        <v>7</v>
      </c>
      <c r="AL775">
        <v>0</v>
      </c>
      <c r="AM775">
        <v>0</v>
      </c>
      <c r="AN775">
        <v>0</v>
      </c>
      <c r="AO775">
        <v>0</v>
      </c>
      <c r="AP775">
        <v>0</v>
      </c>
      <c r="AQ775" t="s">
        <v>9</v>
      </c>
      <c r="AR775" s="1">
        <v>3.8225672699999997E-6</v>
      </c>
      <c r="AS775" s="1">
        <v>1.35637105E-28</v>
      </c>
      <c r="AT775">
        <v>18</v>
      </c>
      <c r="AU775" t="s">
        <v>10</v>
      </c>
      <c r="AV775">
        <v>1</v>
      </c>
      <c r="AW775">
        <v>0</v>
      </c>
      <c r="AX775">
        <v>0</v>
      </c>
      <c r="AY775">
        <v>0</v>
      </c>
      <c r="AZ775">
        <v>2</v>
      </c>
      <c r="BA775" t="s">
        <v>13</v>
      </c>
      <c r="BB775" t="s">
        <v>4</v>
      </c>
      <c r="BC775" t="s">
        <v>10</v>
      </c>
      <c r="BD775">
        <v>0</v>
      </c>
      <c r="BE775">
        <v>0</v>
      </c>
      <c r="BF775">
        <v>0</v>
      </c>
      <c r="BG775">
        <v>0</v>
      </c>
      <c r="BH775">
        <v>0</v>
      </c>
      <c r="BI775" t="s">
        <v>9</v>
      </c>
      <c r="BJ775">
        <v>0</v>
      </c>
      <c r="BK775">
        <v>3.8199999999999998E-6</v>
      </c>
      <c r="BL775">
        <v>0</v>
      </c>
      <c r="BM775" s="2">
        <f t="shared" si="12"/>
        <v>8.1682574401438403E-10</v>
      </c>
    </row>
    <row r="776" spans="1:65" x14ac:dyDescent="0.35">
      <c r="A776">
        <v>0</v>
      </c>
      <c r="B776" t="s">
        <v>3</v>
      </c>
      <c r="C776" t="s">
        <v>4</v>
      </c>
      <c r="D776">
        <v>0</v>
      </c>
      <c r="E776" t="s">
        <v>3</v>
      </c>
      <c r="F776" t="s">
        <v>5</v>
      </c>
      <c r="G776">
        <v>3759.97136</v>
      </c>
      <c r="H776" t="s">
        <v>4</v>
      </c>
      <c r="I776">
        <v>990.16341899999998</v>
      </c>
      <c r="J776">
        <v>2769.807941</v>
      </c>
      <c r="K776" t="s">
        <v>6</v>
      </c>
      <c r="L776" t="s">
        <v>7</v>
      </c>
      <c r="M776" t="s">
        <v>8</v>
      </c>
      <c r="N776" t="s">
        <v>6</v>
      </c>
      <c r="O776" t="s">
        <v>3</v>
      </c>
      <c r="P776" t="s">
        <v>3</v>
      </c>
      <c r="Q776" t="s">
        <v>3</v>
      </c>
      <c r="R776" t="s">
        <v>3</v>
      </c>
      <c r="S776" t="s">
        <v>3</v>
      </c>
      <c r="T776" t="s">
        <v>7</v>
      </c>
      <c r="U776">
        <v>4</v>
      </c>
      <c r="V776">
        <v>0</v>
      </c>
      <c r="W776">
        <v>0</v>
      </c>
      <c r="X776">
        <v>1</v>
      </c>
      <c r="Y776">
        <v>0</v>
      </c>
      <c r="Z776" t="s">
        <v>8</v>
      </c>
      <c r="AA776" t="s">
        <v>4</v>
      </c>
      <c r="AB776" t="s">
        <v>6</v>
      </c>
      <c r="AC776" t="s">
        <v>7</v>
      </c>
      <c r="AD776" t="s">
        <v>8</v>
      </c>
      <c r="AE776" t="s">
        <v>6</v>
      </c>
      <c r="AF776" t="s">
        <v>3</v>
      </c>
      <c r="AG776" t="s">
        <v>3</v>
      </c>
      <c r="AH776" t="s">
        <v>3</v>
      </c>
      <c r="AI776" t="s">
        <v>3</v>
      </c>
      <c r="AJ776" t="s">
        <v>3</v>
      </c>
      <c r="AK776" t="s">
        <v>7</v>
      </c>
      <c r="AL776">
        <v>0</v>
      </c>
      <c r="AM776">
        <v>0</v>
      </c>
      <c r="AN776">
        <v>0</v>
      </c>
      <c r="AO776">
        <v>0</v>
      </c>
      <c r="AP776">
        <v>0</v>
      </c>
      <c r="AQ776" t="s">
        <v>9</v>
      </c>
      <c r="AR776" s="1">
        <v>3.8528749700000002E-4</v>
      </c>
      <c r="AS776" s="1">
        <v>1.10467614E-24</v>
      </c>
      <c r="AT776">
        <v>37</v>
      </c>
      <c r="AU776" t="s">
        <v>10</v>
      </c>
      <c r="AV776">
        <v>4</v>
      </c>
      <c r="AW776">
        <v>0</v>
      </c>
      <c r="AX776">
        <v>0</v>
      </c>
      <c r="AY776">
        <v>1</v>
      </c>
      <c r="AZ776">
        <v>0</v>
      </c>
      <c r="BA776" t="s">
        <v>8</v>
      </c>
      <c r="BB776" t="s">
        <v>4</v>
      </c>
      <c r="BC776" t="s">
        <v>10</v>
      </c>
      <c r="BD776">
        <v>0</v>
      </c>
      <c r="BE776">
        <v>0</v>
      </c>
      <c r="BF776">
        <v>0</v>
      </c>
      <c r="BG776">
        <v>0</v>
      </c>
      <c r="BH776">
        <v>0</v>
      </c>
      <c r="BI776" t="s">
        <v>9</v>
      </c>
      <c r="BJ776">
        <v>3.3554E-4</v>
      </c>
      <c r="BK776">
        <v>0</v>
      </c>
      <c r="BL776">
        <v>1.8937000000000001E-4</v>
      </c>
      <c r="BM776" s="2">
        <f t="shared" si="12"/>
        <v>6.6525152534805121E-6</v>
      </c>
    </row>
    <row r="777" spans="1:65" x14ac:dyDescent="0.35">
      <c r="A777">
        <v>0</v>
      </c>
      <c r="B777" t="s">
        <v>11</v>
      </c>
      <c r="C777" t="s">
        <v>4</v>
      </c>
      <c r="D777">
        <v>0</v>
      </c>
      <c r="E777" t="s">
        <v>3</v>
      </c>
      <c r="F777" t="s">
        <v>5</v>
      </c>
      <c r="G777">
        <v>4062.5454709999999</v>
      </c>
      <c r="H777" t="s">
        <v>4</v>
      </c>
      <c r="I777">
        <v>990.16341899999998</v>
      </c>
      <c r="J777">
        <v>3072.3820519999999</v>
      </c>
      <c r="K777" t="s">
        <v>6</v>
      </c>
      <c r="L777" t="s">
        <v>7</v>
      </c>
      <c r="M777" t="s">
        <v>8</v>
      </c>
      <c r="N777" t="s">
        <v>6</v>
      </c>
      <c r="O777" t="s">
        <v>3</v>
      </c>
      <c r="P777" t="s">
        <v>3</v>
      </c>
      <c r="Q777" t="s">
        <v>3</v>
      </c>
      <c r="R777" t="s">
        <v>3</v>
      </c>
      <c r="S777" t="s">
        <v>11</v>
      </c>
      <c r="T777" t="s">
        <v>7</v>
      </c>
      <c r="U777">
        <v>2</v>
      </c>
      <c r="V777">
        <v>0</v>
      </c>
      <c r="W777">
        <v>0</v>
      </c>
      <c r="X777">
        <v>0</v>
      </c>
      <c r="Y777">
        <v>1</v>
      </c>
      <c r="Z777" t="s">
        <v>14</v>
      </c>
      <c r="AA777" t="s">
        <v>4</v>
      </c>
      <c r="AB777" t="s">
        <v>6</v>
      </c>
      <c r="AC777" t="s">
        <v>7</v>
      </c>
      <c r="AD777" t="s">
        <v>8</v>
      </c>
      <c r="AE777" t="s">
        <v>6</v>
      </c>
      <c r="AF777" t="s">
        <v>3</v>
      </c>
      <c r="AG777" t="s">
        <v>3</v>
      </c>
      <c r="AH777" t="s">
        <v>3</v>
      </c>
      <c r="AI777" t="s">
        <v>3</v>
      </c>
      <c r="AJ777" t="s">
        <v>3</v>
      </c>
      <c r="AK777" t="s">
        <v>7</v>
      </c>
      <c r="AL777">
        <v>0</v>
      </c>
      <c r="AM777">
        <v>0</v>
      </c>
      <c r="AN777">
        <v>0</v>
      </c>
      <c r="AO777">
        <v>0</v>
      </c>
      <c r="AP777">
        <v>0</v>
      </c>
      <c r="AQ777" t="s">
        <v>9</v>
      </c>
      <c r="AR777" s="1">
        <v>1.1772922E-4</v>
      </c>
      <c r="AS777" s="1">
        <v>1.14408886E-25</v>
      </c>
      <c r="AT777">
        <v>33</v>
      </c>
      <c r="AU777" t="s">
        <v>10</v>
      </c>
      <c r="AV777">
        <v>2</v>
      </c>
      <c r="AW777">
        <v>0</v>
      </c>
      <c r="AX777">
        <v>0</v>
      </c>
      <c r="AY777">
        <v>0</v>
      </c>
      <c r="AZ777">
        <v>1</v>
      </c>
      <c r="BA777" t="s">
        <v>14</v>
      </c>
      <c r="BB777" t="s">
        <v>4</v>
      </c>
      <c r="BC777" t="s">
        <v>10</v>
      </c>
      <c r="BD777">
        <v>0</v>
      </c>
      <c r="BE777">
        <v>0</v>
      </c>
      <c r="BF777">
        <v>0</v>
      </c>
      <c r="BG777">
        <v>0</v>
      </c>
      <c r="BH777">
        <v>0</v>
      </c>
      <c r="BI777" t="s">
        <v>9</v>
      </c>
      <c r="BJ777">
        <v>0</v>
      </c>
      <c r="BK777">
        <v>1.1773E-4</v>
      </c>
      <c r="BL777">
        <v>0</v>
      </c>
      <c r="BM777" s="2">
        <f t="shared" si="12"/>
        <v>6.8898642026314875E-7</v>
      </c>
    </row>
    <row r="778" spans="1:65" x14ac:dyDescent="0.35">
      <c r="A778">
        <v>0</v>
      </c>
      <c r="B778" t="s">
        <v>3</v>
      </c>
      <c r="C778" t="s">
        <v>4</v>
      </c>
      <c r="D778">
        <v>0</v>
      </c>
      <c r="E778" t="s">
        <v>3</v>
      </c>
      <c r="F778" t="s">
        <v>5</v>
      </c>
      <c r="G778">
        <v>4758.8321480000004</v>
      </c>
      <c r="H778" t="s">
        <v>4</v>
      </c>
      <c r="I778">
        <v>990.16341899999998</v>
      </c>
      <c r="J778">
        <v>3768.668729</v>
      </c>
      <c r="K778" t="s">
        <v>6</v>
      </c>
      <c r="L778" t="s">
        <v>7</v>
      </c>
      <c r="M778" t="s">
        <v>8</v>
      </c>
      <c r="N778" t="s">
        <v>6</v>
      </c>
      <c r="O778" t="s">
        <v>3</v>
      </c>
      <c r="P778" t="s">
        <v>3</v>
      </c>
      <c r="Q778" t="s">
        <v>3</v>
      </c>
      <c r="R778" t="s">
        <v>3</v>
      </c>
      <c r="S778" t="s">
        <v>3</v>
      </c>
      <c r="T778" t="s">
        <v>7</v>
      </c>
      <c r="U778">
        <v>0</v>
      </c>
      <c r="V778">
        <v>1</v>
      </c>
      <c r="W778">
        <v>0</v>
      </c>
      <c r="X778">
        <v>1</v>
      </c>
      <c r="Y778">
        <v>1</v>
      </c>
      <c r="Z778" t="s">
        <v>24</v>
      </c>
      <c r="AA778" t="s">
        <v>4</v>
      </c>
      <c r="AB778" t="s">
        <v>6</v>
      </c>
      <c r="AC778" t="s">
        <v>7</v>
      </c>
      <c r="AD778" t="s">
        <v>8</v>
      </c>
      <c r="AE778" t="s">
        <v>6</v>
      </c>
      <c r="AF778" t="s">
        <v>3</v>
      </c>
      <c r="AG778" t="s">
        <v>3</v>
      </c>
      <c r="AH778" t="s">
        <v>3</v>
      </c>
      <c r="AI778" t="s">
        <v>3</v>
      </c>
      <c r="AJ778" t="s">
        <v>3</v>
      </c>
      <c r="AK778" t="s">
        <v>7</v>
      </c>
      <c r="AL778">
        <v>0</v>
      </c>
      <c r="AM778">
        <v>0</v>
      </c>
      <c r="AN778">
        <v>0</v>
      </c>
      <c r="AO778">
        <v>0</v>
      </c>
      <c r="AP778">
        <v>0</v>
      </c>
      <c r="AQ778" t="s">
        <v>9</v>
      </c>
      <c r="AR778" s="1">
        <v>4.6042689999999998E-5</v>
      </c>
      <c r="AS778" s="1">
        <v>2.1464733500000001E-26</v>
      </c>
      <c r="AT778">
        <v>32</v>
      </c>
      <c r="AU778" t="s">
        <v>10</v>
      </c>
      <c r="AV778">
        <v>0</v>
      </c>
      <c r="AW778">
        <v>1</v>
      </c>
      <c r="AX778">
        <v>0</v>
      </c>
      <c r="AY778">
        <v>1</v>
      </c>
      <c r="AZ778">
        <v>1</v>
      </c>
      <c r="BA778" t="s">
        <v>24</v>
      </c>
      <c r="BB778" t="s">
        <v>4</v>
      </c>
      <c r="BC778" t="s">
        <v>10</v>
      </c>
      <c r="BD778">
        <v>0</v>
      </c>
      <c r="BE778">
        <v>0</v>
      </c>
      <c r="BF778">
        <v>0</v>
      </c>
      <c r="BG778">
        <v>0</v>
      </c>
      <c r="BH778">
        <v>0</v>
      </c>
      <c r="BI778" t="s">
        <v>9</v>
      </c>
      <c r="BJ778">
        <v>4.1539999999999999E-5</v>
      </c>
      <c r="BK778">
        <v>0</v>
      </c>
      <c r="BL778">
        <v>-1.986E-5</v>
      </c>
      <c r="BM778" s="2">
        <f t="shared" si="12"/>
        <v>1.2926364737147681E-7</v>
      </c>
    </row>
    <row r="779" spans="1:65" x14ac:dyDescent="0.35">
      <c r="A779">
        <v>0</v>
      </c>
      <c r="B779" t="s">
        <v>3</v>
      </c>
      <c r="C779" t="s">
        <v>4</v>
      </c>
      <c r="D779">
        <v>0</v>
      </c>
      <c r="E779" t="s">
        <v>3</v>
      </c>
      <c r="F779" t="s">
        <v>5</v>
      </c>
      <c r="G779">
        <v>4184.1131649999998</v>
      </c>
      <c r="H779" t="s">
        <v>4</v>
      </c>
      <c r="I779">
        <v>990.16341899999998</v>
      </c>
      <c r="J779">
        <v>3193.9497459999998</v>
      </c>
      <c r="K779" t="s">
        <v>6</v>
      </c>
      <c r="L779" t="s">
        <v>7</v>
      </c>
      <c r="M779" t="s">
        <v>8</v>
      </c>
      <c r="N779" t="s">
        <v>6</v>
      </c>
      <c r="O779" t="s">
        <v>3</v>
      </c>
      <c r="P779" t="s">
        <v>3</v>
      </c>
      <c r="Q779" t="s">
        <v>3</v>
      </c>
      <c r="R779" t="s">
        <v>3</v>
      </c>
      <c r="S779" t="s">
        <v>3</v>
      </c>
      <c r="T779" t="s">
        <v>7</v>
      </c>
      <c r="U779">
        <v>3</v>
      </c>
      <c r="V779">
        <v>1</v>
      </c>
      <c r="W779">
        <v>0</v>
      </c>
      <c r="X779">
        <v>1</v>
      </c>
      <c r="Y779">
        <v>0</v>
      </c>
      <c r="Z779" t="s">
        <v>8</v>
      </c>
      <c r="AA779" t="s">
        <v>4</v>
      </c>
      <c r="AB779" t="s">
        <v>6</v>
      </c>
      <c r="AC779" t="s">
        <v>7</v>
      </c>
      <c r="AD779" t="s">
        <v>8</v>
      </c>
      <c r="AE779" t="s">
        <v>6</v>
      </c>
      <c r="AF779" t="s">
        <v>3</v>
      </c>
      <c r="AG779" t="s">
        <v>3</v>
      </c>
      <c r="AH779" t="s">
        <v>3</v>
      </c>
      <c r="AI779" t="s">
        <v>3</v>
      </c>
      <c r="AJ779" t="s">
        <v>3</v>
      </c>
      <c r="AK779" t="s">
        <v>7</v>
      </c>
      <c r="AL779">
        <v>0</v>
      </c>
      <c r="AM779">
        <v>0</v>
      </c>
      <c r="AN779">
        <v>0</v>
      </c>
      <c r="AO779">
        <v>0</v>
      </c>
      <c r="AP779">
        <v>0</v>
      </c>
      <c r="AQ779" t="s">
        <v>9</v>
      </c>
      <c r="AR779" s="1">
        <v>1.8154411299999999E-4</v>
      </c>
      <c r="AS779" s="1">
        <v>2.8281894300000001E-25</v>
      </c>
      <c r="AT779">
        <v>37</v>
      </c>
      <c r="AU779" t="s">
        <v>10</v>
      </c>
      <c r="AV779">
        <v>3</v>
      </c>
      <c r="AW779">
        <v>1</v>
      </c>
      <c r="AX779">
        <v>0</v>
      </c>
      <c r="AY779">
        <v>1</v>
      </c>
      <c r="AZ779">
        <v>0</v>
      </c>
      <c r="BA779" t="s">
        <v>8</v>
      </c>
      <c r="BB779" t="s">
        <v>4</v>
      </c>
      <c r="BC779" t="s">
        <v>10</v>
      </c>
      <c r="BD779">
        <v>0</v>
      </c>
      <c r="BE779">
        <v>0</v>
      </c>
      <c r="BF779">
        <v>0</v>
      </c>
      <c r="BG779">
        <v>0</v>
      </c>
      <c r="BH779">
        <v>0</v>
      </c>
      <c r="BI779" t="s">
        <v>9</v>
      </c>
      <c r="BJ779">
        <v>1.8149E-4</v>
      </c>
      <c r="BK779">
        <v>0</v>
      </c>
      <c r="BL779">
        <v>4.3800000000000004E-6</v>
      </c>
      <c r="BM779" s="2">
        <f t="shared" si="12"/>
        <v>1.7031754956531746E-6</v>
      </c>
    </row>
    <row r="780" spans="1:65" x14ac:dyDescent="0.35">
      <c r="A780">
        <v>0</v>
      </c>
      <c r="B780" t="s">
        <v>3</v>
      </c>
      <c r="C780" t="s">
        <v>4</v>
      </c>
      <c r="D780">
        <v>0</v>
      </c>
      <c r="E780" t="s">
        <v>3</v>
      </c>
      <c r="F780" t="s">
        <v>5</v>
      </c>
      <c r="G780">
        <v>4262.0055549999997</v>
      </c>
      <c r="H780" t="s">
        <v>4</v>
      </c>
      <c r="I780">
        <v>990.16341899999998</v>
      </c>
      <c r="J780">
        <v>3271.8421360000002</v>
      </c>
      <c r="K780" t="s">
        <v>6</v>
      </c>
      <c r="L780" t="s">
        <v>7</v>
      </c>
      <c r="M780" t="s">
        <v>8</v>
      </c>
      <c r="N780" t="s">
        <v>6</v>
      </c>
      <c r="O780" t="s">
        <v>3</v>
      </c>
      <c r="P780" t="s">
        <v>3</v>
      </c>
      <c r="Q780" t="s">
        <v>3</v>
      </c>
      <c r="R780" t="s">
        <v>3</v>
      </c>
      <c r="S780" t="s">
        <v>3</v>
      </c>
      <c r="T780" t="s">
        <v>7</v>
      </c>
      <c r="U780">
        <v>3</v>
      </c>
      <c r="V780">
        <v>0</v>
      </c>
      <c r="W780">
        <v>0</v>
      </c>
      <c r="X780">
        <v>3</v>
      </c>
      <c r="Y780">
        <v>0</v>
      </c>
      <c r="Z780" t="s">
        <v>8</v>
      </c>
      <c r="AA780" t="s">
        <v>4</v>
      </c>
      <c r="AB780" t="s">
        <v>6</v>
      </c>
      <c r="AC780" t="s">
        <v>7</v>
      </c>
      <c r="AD780" t="s">
        <v>8</v>
      </c>
      <c r="AE780" t="s">
        <v>6</v>
      </c>
      <c r="AF780" t="s">
        <v>3</v>
      </c>
      <c r="AG780" t="s">
        <v>3</v>
      </c>
      <c r="AH780" t="s">
        <v>3</v>
      </c>
      <c r="AI780" t="s">
        <v>3</v>
      </c>
      <c r="AJ780" t="s">
        <v>3</v>
      </c>
      <c r="AK780" t="s">
        <v>7</v>
      </c>
      <c r="AL780">
        <v>0</v>
      </c>
      <c r="AM780">
        <v>0</v>
      </c>
      <c r="AN780">
        <v>0</v>
      </c>
      <c r="AO780">
        <v>0</v>
      </c>
      <c r="AP780">
        <v>0</v>
      </c>
      <c r="AQ780" t="s">
        <v>9</v>
      </c>
      <c r="AR780" s="1">
        <v>1.25275061E-4</v>
      </c>
      <c r="AS780" s="1">
        <v>1.37955077E-25</v>
      </c>
      <c r="AT780">
        <v>32</v>
      </c>
      <c r="AU780" t="s">
        <v>10</v>
      </c>
      <c r="AV780">
        <v>3</v>
      </c>
      <c r="AW780">
        <v>0</v>
      </c>
      <c r="AX780">
        <v>0</v>
      </c>
      <c r="AY780">
        <v>3</v>
      </c>
      <c r="AZ780">
        <v>0</v>
      </c>
      <c r="BA780" t="s">
        <v>8</v>
      </c>
      <c r="BB780" t="s">
        <v>4</v>
      </c>
      <c r="BC780" t="s">
        <v>10</v>
      </c>
      <c r="BD780">
        <v>0</v>
      </c>
      <c r="BE780">
        <v>0</v>
      </c>
      <c r="BF780">
        <v>0</v>
      </c>
      <c r="BG780">
        <v>0</v>
      </c>
      <c r="BH780">
        <v>0</v>
      </c>
      <c r="BI780" t="s">
        <v>9</v>
      </c>
      <c r="BJ780">
        <v>-1.2522999999999999E-4</v>
      </c>
      <c r="BK780">
        <v>0</v>
      </c>
      <c r="BL780">
        <v>-3.3500000000000001E-6</v>
      </c>
      <c r="BM780" s="2">
        <f t="shared" si="12"/>
        <v>8.3078489776884154E-7</v>
      </c>
    </row>
    <row r="781" spans="1:65" x14ac:dyDescent="0.35">
      <c r="A781">
        <v>0</v>
      </c>
      <c r="B781" t="s">
        <v>3</v>
      </c>
      <c r="C781" t="s">
        <v>4</v>
      </c>
      <c r="D781">
        <v>0</v>
      </c>
      <c r="E781" t="s">
        <v>3</v>
      </c>
      <c r="F781" t="s">
        <v>5</v>
      </c>
      <c r="G781">
        <v>4404.8257569999996</v>
      </c>
      <c r="H781" t="s">
        <v>4</v>
      </c>
      <c r="I781">
        <v>990.16341899999998</v>
      </c>
      <c r="J781">
        <v>3414.6623380000001</v>
      </c>
      <c r="K781" t="s">
        <v>6</v>
      </c>
      <c r="L781" t="s">
        <v>7</v>
      </c>
      <c r="M781" t="s">
        <v>8</v>
      </c>
      <c r="N781" t="s">
        <v>6</v>
      </c>
      <c r="O781" t="s">
        <v>3</v>
      </c>
      <c r="P781" t="s">
        <v>3</v>
      </c>
      <c r="Q781" t="s">
        <v>3</v>
      </c>
      <c r="R781" t="s">
        <v>3</v>
      </c>
      <c r="S781" t="s">
        <v>3</v>
      </c>
      <c r="T781" t="s">
        <v>7</v>
      </c>
      <c r="U781">
        <v>2</v>
      </c>
      <c r="V781">
        <v>1</v>
      </c>
      <c r="W781">
        <v>0</v>
      </c>
      <c r="X781">
        <v>1</v>
      </c>
      <c r="Y781">
        <v>0</v>
      </c>
      <c r="Z781" t="s">
        <v>15</v>
      </c>
      <c r="AA781" t="s">
        <v>4</v>
      </c>
      <c r="AB781" t="s">
        <v>6</v>
      </c>
      <c r="AC781" t="s">
        <v>7</v>
      </c>
      <c r="AD781" t="s">
        <v>8</v>
      </c>
      <c r="AE781" t="s">
        <v>6</v>
      </c>
      <c r="AF781" t="s">
        <v>3</v>
      </c>
      <c r="AG781" t="s">
        <v>3</v>
      </c>
      <c r="AH781" t="s">
        <v>3</v>
      </c>
      <c r="AI781" t="s">
        <v>3</v>
      </c>
      <c r="AJ781" t="s">
        <v>3</v>
      </c>
      <c r="AK781" t="s">
        <v>7</v>
      </c>
      <c r="AL781">
        <v>0</v>
      </c>
      <c r="AM781">
        <v>0</v>
      </c>
      <c r="AN781">
        <v>0</v>
      </c>
      <c r="AO781">
        <v>0</v>
      </c>
      <c r="AP781">
        <v>0</v>
      </c>
      <c r="AQ781" t="s">
        <v>9</v>
      </c>
      <c r="AR781" s="1">
        <v>3.0846940899999998E-5</v>
      </c>
      <c r="AS781" s="1">
        <v>8.7294745199999996E-27</v>
      </c>
      <c r="AT781">
        <v>32</v>
      </c>
      <c r="AU781" t="s">
        <v>10</v>
      </c>
      <c r="AV781">
        <v>2</v>
      </c>
      <c r="AW781">
        <v>1</v>
      </c>
      <c r="AX781">
        <v>0</v>
      </c>
      <c r="AY781">
        <v>1</v>
      </c>
      <c r="AZ781">
        <v>0</v>
      </c>
      <c r="BA781" t="s">
        <v>15</v>
      </c>
      <c r="BB781" t="s">
        <v>4</v>
      </c>
      <c r="BC781" t="s">
        <v>10</v>
      </c>
      <c r="BD781">
        <v>0</v>
      </c>
      <c r="BE781">
        <v>0</v>
      </c>
      <c r="BF781">
        <v>0</v>
      </c>
      <c r="BG781">
        <v>0</v>
      </c>
      <c r="BH781">
        <v>0</v>
      </c>
      <c r="BI781" t="s">
        <v>9</v>
      </c>
      <c r="BJ781">
        <v>2.5979999999999999E-5</v>
      </c>
      <c r="BK781">
        <v>0</v>
      </c>
      <c r="BL781">
        <v>1.664E-5</v>
      </c>
      <c r="BM781" s="2">
        <f t="shared" si="12"/>
        <v>5.2570124669452411E-8</v>
      </c>
    </row>
    <row r="782" spans="1:65" x14ac:dyDescent="0.35">
      <c r="A782">
        <v>0</v>
      </c>
      <c r="B782" t="s">
        <v>11</v>
      </c>
      <c r="C782" t="s">
        <v>4</v>
      </c>
      <c r="D782">
        <v>0</v>
      </c>
      <c r="E782" t="s">
        <v>3</v>
      </c>
      <c r="F782" t="s">
        <v>5</v>
      </c>
      <c r="G782">
        <v>4637.4102119999998</v>
      </c>
      <c r="H782" t="s">
        <v>4</v>
      </c>
      <c r="I782">
        <v>990.16341899999998</v>
      </c>
      <c r="J782">
        <v>3647.2467929999998</v>
      </c>
      <c r="K782" t="s">
        <v>6</v>
      </c>
      <c r="L782" t="s">
        <v>7</v>
      </c>
      <c r="M782" t="s">
        <v>8</v>
      </c>
      <c r="N782" t="s">
        <v>6</v>
      </c>
      <c r="O782" t="s">
        <v>3</v>
      </c>
      <c r="P782" t="s">
        <v>3</v>
      </c>
      <c r="Q782" t="s">
        <v>3</v>
      </c>
      <c r="R782" t="s">
        <v>3</v>
      </c>
      <c r="S782" t="s">
        <v>11</v>
      </c>
      <c r="T782" t="s">
        <v>7</v>
      </c>
      <c r="U782">
        <v>0</v>
      </c>
      <c r="V782">
        <v>2</v>
      </c>
      <c r="W782">
        <v>0</v>
      </c>
      <c r="X782">
        <v>4</v>
      </c>
      <c r="Y782">
        <v>0</v>
      </c>
      <c r="Z782" t="s">
        <v>18</v>
      </c>
      <c r="AA782" t="s">
        <v>4</v>
      </c>
      <c r="AB782" t="s">
        <v>6</v>
      </c>
      <c r="AC782" t="s">
        <v>7</v>
      </c>
      <c r="AD782" t="s">
        <v>8</v>
      </c>
      <c r="AE782" t="s">
        <v>6</v>
      </c>
      <c r="AF782" t="s">
        <v>3</v>
      </c>
      <c r="AG782" t="s">
        <v>3</v>
      </c>
      <c r="AH782" t="s">
        <v>3</v>
      </c>
      <c r="AI782" t="s">
        <v>3</v>
      </c>
      <c r="AJ782" t="s">
        <v>3</v>
      </c>
      <c r="AK782" t="s">
        <v>7</v>
      </c>
      <c r="AL782">
        <v>0</v>
      </c>
      <c r="AM782">
        <v>0</v>
      </c>
      <c r="AN782">
        <v>0</v>
      </c>
      <c r="AO782">
        <v>0</v>
      </c>
      <c r="AP782">
        <v>0</v>
      </c>
      <c r="AQ782" t="s">
        <v>9</v>
      </c>
      <c r="AR782" s="1">
        <v>6.0678033599999999E-7</v>
      </c>
      <c r="AS782" s="1">
        <v>3.6078153399999999E-30</v>
      </c>
      <c r="AT782">
        <v>37</v>
      </c>
      <c r="AU782" t="s">
        <v>10</v>
      </c>
      <c r="AV782">
        <v>0</v>
      </c>
      <c r="AW782">
        <v>2</v>
      </c>
      <c r="AX782">
        <v>0</v>
      </c>
      <c r="AY782">
        <v>4</v>
      </c>
      <c r="AZ782">
        <v>0</v>
      </c>
      <c r="BA782" t="s">
        <v>18</v>
      </c>
      <c r="BB782" t="s">
        <v>4</v>
      </c>
      <c r="BC782" t="s">
        <v>10</v>
      </c>
      <c r="BD782">
        <v>0</v>
      </c>
      <c r="BE782">
        <v>0</v>
      </c>
      <c r="BF782">
        <v>0</v>
      </c>
      <c r="BG782">
        <v>0</v>
      </c>
      <c r="BH782">
        <v>0</v>
      </c>
      <c r="BI782" t="s">
        <v>9</v>
      </c>
      <c r="BJ782">
        <v>0</v>
      </c>
      <c r="BK782">
        <v>6.0999999999999998E-7</v>
      </c>
      <c r="BL782">
        <v>0</v>
      </c>
      <c r="BM782" s="2">
        <f t="shared" si="12"/>
        <v>2.1726771957879869E-11</v>
      </c>
    </row>
    <row r="783" spans="1:65" x14ac:dyDescent="0.35">
      <c r="A783">
        <v>0</v>
      </c>
      <c r="B783" t="s">
        <v>3</v>
      </c>
      <c r="C783" t="s">
        <v>4</v>
      </c>
      <c r="D783">
        <v>0</v>
      </c>
      <c r="E783" t="s">
        <v>3</v>
      </c>
      <c r="F783" t="s">
        <v>5</v>
      </c>
      <c r="G783">
        <v>3869.1954609999998</v>
      </c>
      <c r="H783" t="s">
        <v>4</v>
      </c>
      <c r="I783">
        <v>990.16341899999998</v>
      </c>
      <c r="J783">
        <v>2879.0320419999998</v>
      </c>
      <c r="K783" t="s">
        <v>6</v>
      </c>
      <c r="L783" t="s">
        <v>7</v>
      </c>
      <c r="M783" t="s">
        <v>8</v>
      </c>
      <c r="N783" t="s">
        <v>6</v>
      </c>
      <c r="O783" t="s">
        <v>3</v>
      </c>
      <c r="P783" t="s">
        <v>3</v>
      </c>
      <c r="Q783" t="s">
        <v>3</v>
      </c>
      <c r="R783" t="s">
        <v>3</v>
      </c>
      <c r="S783" t="s">
        <v>3</v>
      </c>
      <c r="T783" t="s">
        <v>7</v>
      </c>
      <c r="U783">
        <v>0</v>
      </c>
      <c r="V783">
        <v>1</v>
      </c>
      <c r="W783">
        <v>0</v>
      </c>
      <c r="X783">
        <v>0</v>
      </c>
      <c r="Y783">
        <v>0</v>
      </c>
      <c r="Z783" t="s">
        <v>22</v>
      </c>
      <c r="AA783" t="s">
        <v>4</v>
      </c>
      <c r="AB783" t="s">
        <v>6</v>
      </c>
      <c r="AC783" t="s">
        <v>7</v>
      </c>
      <c r="AD783" t="s">
        <v>8</v>
      </c>
      <c r="AE783" t="s">
        <v>6</v>
      </c>
      <c r="AF783" t="s">
        <v>3</v>
      </c>
      <c r="AG783" t="s">
        <v>3</v>
      </c>
      <c r="AH783" t="s">
        <v>3</v>
      </c>
      <c r="AI783" t="s">
        <v>3</v>
      </c>
      <c r="AJ783" t="s">
        <v>3</v>
      </c>
      <c r="AK783" t="s">
        <v>7</v>
      </c>
      <c r="AL783">
        <v>0</v>
      </c>
      <c r="AM783">
        <v>0</v>
      </c>
      <c r="AN783">
        <v>0</v>
      </c>
      <c r="AO783">
        <v>0</v>
      </c>
      <c r="AP783">
        <v>0</v>
      </c>
      <c r="AQ783" t="s">
        <v>9</v>
      </c>
      <c r="AR783" s="1">
        <v>2.6644764299999998E-4</v>
      </c>
      <c r="AS783" s="1">
        <v>5.4914372699999998E-25</v>
      </c>
      <c r="AT783">
        <v>32</v>
      </c>
      <c r="AU783" t="s">
        <v>10</v>
      </c>
      <c r="AV783">
        <v>0</v>
      </c>
      <c r="AW783">
        <v>1</v>
      </c>
      <c r="AX783">
        <v>0</v>
      </c>
      <c r="AY783">
        <v>0</v>
      </c>
      <c r="AZ783">
        <v>0</v>
      </c>
      <c r="BA783" t="s">
        <v>22</v>
      </c>
      <c r="BB783" t="s">
        <v>4</v>
      </c>
      <c r="BC783" t="s">
        <v>10</v>
      </c>
      <c r="BD783">
        <v>0</v>
      </c>
      <c r="BE783">
        <v>0</v>
      </c>
      <c r="BF783">
        <v>0</v>
      </c>
      <c r="BG783">
        <v>0</v>
      </c>
      <c r="BH783">
        <v>0</v>
      </c>
      <c r="BI783" t="s">
        <v>9</v>
      </c>
      <c r="BJ783">
        <v>-2.6621000000000001E-4</v>
      </c>
      <c r="BK783">
        <v>0</v>
      </c>
      <c r="BL783">
        <v>1.115E-5</v>
      </c>
      <c r="BM783" s="2">
        <f t="shared" si="12"/>
        <v>3.3070208434307613E-6</v>
      </c>
    </row>
    <row r="784" spans="1:65" x14ac:dyDescent="0.35">
      <c r="A784">
        <v>0</v>
      </c>
      <c r="B784" t="s">
        <v>11</v>
      </c>
      <c r="C784" t="s">
        <v>4</v>
      </c>
      <c r="D784">
        <v>0</v>
      </c>
      <c r="E784" t="s">
        <v>3</v>
      </c>
      <c r="F784" t="s">
        <v>5</v>
      </c>
      <c r="G784">
        <v>4813.7147729999997</v>
      </c>
      <c r="H784" t="s">
        <v>4</v>
      </c>
      <c r="I784">
        <v>990.16341899999998</v>
      </c>
      <c r="J784">
        <v>3823.5513540000002</v>
      </c>
      <c r="K784" t="s">
        <v>6</v>
      </c>
      <c r="L784" t="s">
        <v>7</v>
      </c>
      <c r="M784" t="s">
        <v>8</v>
      </c>
      <c r="N784" t="s">
        <v>6</v>
      </c>
      <c r="O784" t="s">
        <v>3</v>
      </c>
      <c r="P784" t="s">
        <v>3</v>
      </c>
      <c r="Q784" t="s">
        <v>3</v>
      </c>
      <c r="R784" t="s">
        <v>3</v>
      </c>
      <c r="S784" t="s">
        <v>11</v>
      </c>
      <c r="T784" t="s">
        <v>7</v>
      </c>
      <c r="U784">
        <v>0</v>
      </c>
      <c r="V784">
        <v>1</v>
      </c>
      <c r="W784">
        <v>0</v>
      </c>
      <c r="X784">
        <v>1</v>
      </c>
      <c r="Y784">
        <v>1</v>
      </c>
      <c r="Z784" t="s">
        <v>19</v>
      </c>
      <c r="AA784" t="s">
        <v>4</v>
      </c>
      <c r="AB784" t="s">
        <v>6</v>
      </c>
      <c r="AC784" t="s">
        <v>7</v>
      </c>
      <c r="AD784" t="s">
        <v>8</v>
      </c>
      <c r="AE784" t="s">
        <v>6</v>
      </c>
      <c r="AF784" t="s">
        <v>3</v>
      </c>
      <c r="AG784" t="s">
        <v>3</v>
      </c>
      <c r="AH784" t="s">
        <v>3</v>
      </c>
      <c r="AI784" t="s">
        <v>3</v>
      </c>
      <c r="AJ784" t="s">
        <v>3</v>
      </c>
      <c r="AK784" t="s">
        <v>7</v>
      </c>
      <c r="AL784">
        <v>0</v>
      </c>
      <c r="AM784">
        <v>0</v>
      </c>
      <c r="AN784">
        <v>0</v>
      </c>
      <c r="AO784">
        <v>0</v>
      </c>
      <c r="AP784">
        <v>0</v>
      </c>
      <c r="AQ784" t="s">
        <v>9</v>
      </c>
      <c r="AR784" s="1">
        <v>2.7961599899999998E-5</v>
      </c>
      <c r="AS784" s="1">
        <v>8.0316934E-27</v>
      </c>
      <c r="AT784">
        <v>34</v>
      </c>
      <c r="AU784" t="s">
        <v>10</v>
      </c>
      <c r="AV784">
        <v>0</v>
      </c>
      <c r="AW784">
        <v>1</v>
      </c>
      <c r="AX784">
        <v>0</v>
      </c>
      <c r="AY784">
        <v>1</v>
      </c>
      <c r="AZ784">
        <v>1</v>
      </c>
      <c r="BA784" t="s">
        <v>19</v>
      </c>
      <c r="BB784" t="s">
        <v>4</v>
      </c>
      <c r="BC784" t="s">
        <v>10</v>
      </c>
      <c r="BD784">
        <v>0</v>
      </c>
      <c r="BE784">
        <v>0</v>
      </c>
      <c r="BF784">
        <v>0</v>
      </c>
      <c r="BG784">
        <v>0</v>
      </c>
      <c r="BH784">
        <v>0</v>
      </c>
      <c r="BI784" t="s">
        <v>9</v>
      </c>
      <c r="BJ784">
        <v>0</v>
      </c>
      <c r="BK784">
        <v>2.796E-5</v>
      </c>
      <c r="BL784">
        <v>0</v>
      </c>
      <c r="BM784" s="2">
        <f t="shared" si="12"/>
        <v>4.8367988517230719E-8</v>
      </c>
    </row>
    <row r="785" spans="1:65" x14ac:dyDescent="0.35">
      <c r="A785">
        <v>0</v>
      </c>
      <c r="B785" t="s">
        <v>3</v>
      </c>
      <c r="C785" t="s">
        <v>4</v>
      </c>
      <c r="D785">
        <v>0</v>
      </c>
      <c r="E785" t="s">
        <v>3</v>
      </c>
      <c r="F785" t="s">
        <v>5</v>
      </c>
      <c r="G785">
        <v>3578.1762290000001</v>
      </c>
      <c r="H785" t="s">
        <v>4</v>
      </c>
      <c r="I785">
        <v>990.16341899999998</v>
      </c>
      <c r="J785">
        <v>2588.0128100000002</v>
      </c>
      <c r="K785" t="s">
        <v>6</v>
      </c>
      <c r="L785" t="s">
        <v>7</v>
      </c>
      <c r="M785" t="s">
        <v>8</v>
      </c>
      <c r="N785" t="s">
        <v>6</v>
      </c>
      <c r="O785" t="s">
        <v>3</v>
      </c>
      <c r="P785" t="s">
        <v>3</v>
      </c>
      <c r="Q785" t="s">
        <v>3</v>
      </c>
      <c r="R785" t="s">
        <v>3</v>
      </c>
      <c r="S785" t="s">
        <v>3</v>
      </c>
      <c r="T785" t="s">
        <v>7</v>
      </c>
      <c r="U785">
        <v>3</v>
      </c>
      <c r="V785">
        <v>0</v>
      </c>
      <c r="W785">
        <v>0</v>
      </c>
      <c r="X785">
        <v>0</v>
      </c>
      <c r="Y785">
        <v>0</v>
      </c>
      <c r="Z785" t="s">
        <v>15</v>
      </c>
      <c r="AA785" t="s">
        <v>4</v>
      </c>
      <c r="AB785" t="s">
        <v>6</v>
      </c>
      <c r="AC785" t="s">
        <v>7</v>
      </c>
      <c r="AD785" t="s">
        <v>8</v>
      </c>
      <c r="AE785" t="s">
        <v>6</v>
      </c>
      <c r="AF785" t="s">
        <v>3</v>
      </c>
      <c r="AG785" t="s">
        <v>3</v>
      </c>
      <c r="AH785" t="s">
        <v>3</v>
      </c>
      <c r="AI785" t="s">
        <v>3</v>
      </c>
      <c r="AJ785" t="s">
        <v>3</v>
      </c>
      <c r="AK785" t="s">
        <v>7</v>
      </c>
      <c r="AL785">
        <v>0</v>
      </c>
      <c r="AM785">
        <v>0</v>
      </c>
      <c r="AN785">
        <v>0</v>
      </c>
      <c r="AO785">
        <v>0</v>
      </c>
      <c r="AP785">
        <v>0</v>
      </c>
      <c r="AQ785" t="s">
        <v>9</v>
      </c>
      <c r="AR785" s="1">
        <v>4.8012106399999998E-4</v>
      </c>
      <c r="AS785" s="1">
        <v>1.6028116E-24</v>
      </c>
      <c r="AT785">
        <v>32</v>
      </c>
      <c r="AU785" t="s">
        <v>10</v>
      </c>
      <c r="AV785">
        <v>3</v>
      </c>
      <c r="AW785">
        <v>0</v>
      </c>
      <c r="AX785">
        <v>0</v>
      </c>
      <c r="AY785">
        <v>0</v>
      </c>
      <c r="AZ785">
        <v>0</v>
      </c>
      <c r="BA785" t="s">
        <v>15</v>
      </c>
      <c r="BB785" t="s">
        <v>4</v>
      </c>
      <c r="BC785" t="s">
        <v>10</v>
      </c>
      <c r="BD785">
        <v>0</v>
      </c>
      <c r="BE785">
        <v>0</v>
      </c>
      <c r="BF785">
        <v>0</v>
      </c>
      <c r="BG785">
        <v>0</v>
      </c>
      <c r="BH785">
        <v>0</v>
      </c>
      <c r="BI785" t="s">
        <v>9</v>
      </c>
      <c r="BJ785">
        <v>-4.7706000000000002E-4</v>
      </c>
      <c r="BK785">
        <v>0</v>
      </c>
      <c r="BL785">
        <v>5.414E-5</v>
      </c>
      <c r="BM785" s="2">
        <f t="shared" si="12"/>
        <v>9.6523571310732799E-6</v>
      </c>
    </row>
    <row r="786" spans="1:65" x14ac:dyDescent="0.35">
      <c r="A786">
        <v>0</v>
      </c>
      <c r="B786" t="s">
        <v>11</v>
      </c>
      <c r="C786" t="s">
        <v>4</v>
      </c>
      <c r="D786">
        <v>0</v>
      </c>
      <c r="E786" t="s">
        <v>3</v>
      </c>
      <c r="F786" t="s">
        <v>5</v>
      </c>
      <c r="G786">
        <v>2523.98416</v>
      </c>
      <c r="H786" t="s">
        <v>4</v>
      </c>
      <c r="I786">
        <v>990.16341899999998</v>
      </c>
      <c r="J786">
        <v>1533.820741</v>
      </c>
      <c r="K786" t="s">
        <v>6</v>
      </c>
      <c r="L786" t="s">
        <v>7</v>
      </c>
      <c r="M786" t="s">
        <v>8</v>
      </c>
      <c r="N786" t="s">
        <v>6</v>
      </c>
      <c r="O786" t="s">
        <v>3</v>
      </c>
      <c r="P786" t="s">
        <v>3</v>
      </c>
      <c r="Q786" t="s">
        <v>3</v>
      </c>
      <c r="R786" t="s">
        <v>3</v>
      </c>
      <c r="S786" t="s">
        <v>11</v>
      </c>
      <c r="T786" t="s">
        <v>7</v>
      </c>
      <c r="U786">
        <v>0</v>
      </c>
      <c r="V786">
        <v>0</v>
      </c>
      <c r="W786">
        <v>0</v>
      </c>
      <c r="X786">
        <v>5</v>
      </c>
      <c r="Y786">
        <v>0</v>
      </c>
      <c r="Z786" t="s">
        <v>18</v>
      </c>
      <c r="AA786" t="s">
        <v>4</v>
      </c>
      <c r="AB786" t="s">
        <v>6</v>
      </c>
      <c r="AC786" t="s">
        <v>7</v>
      </c>
      <c r="AD786" t="s">
        <v>8</v>
      </c>
      <c r="AE786" t="s">
        <v>6</v>
      </c>
      <c r="AF786" t="s">
        <v>3</v>
      </c>
      <c r="AG786" t="s">
        <v>3</v>
      </c>
      <c r="AH786" t="s">
        <v>3</v>
      </c>
      <c r="AI786" t="s">
        <v>3</v>
      </c>
      <c r="AJ786" t="s">
        <v>3</v>
      </c>
      <c r="AK786" t="s">
        <v>7</v>
      </c>
      <c r="AL786">
        <v>0</v>
      </c>
      <c r="AM786">
        <v>0</v>
      </c>
      <c r="AN786">
        <v>0</v>
      </c>
      <c r="AO786">
        <v>0</v>
      </c>
      <c r="AP786">
        <v>0</v>
      </c>
      <c r="AQ786" t="s">
        <v>9</v>
      </c>
      <c r="AR786" s="1">
        <v>5.8256709800000002E-7</v>
      </c>
      <c r="AS786" s="1">
        <v>1.3977148000000001E-30</v>
      </c>
      <c r="AT786">
        <v>32</v>
      </c>
      <c r="AU786" t="s">
        <v>10</v>
      </c>
      <c r="AV786">
        <v>0</v>
      </c>
      <c r="AW786">
        <v>0</v>
      </c>
      <c r="AX786">
        <v>0</v>
      </c>
      <c r="AY786">
        <v>5</v>
      </c>
      <c r="AZ786">
        <v>0</v>
      </c>
      <c r="BA786" t="s">
        <v>18</v>
      </c>
      <c r="BB786" t="s">
        <v>4</v>
      </c>
      <c r="BC786" t="s">
        <v>10</v>
      </c>
      <c r="BD786">
        <v>0</v>
      </c>
      <c r="BE786">
        <v>0</v>
      </c>
      <c r="BF786">
        <v>0</v>
      </c>
      <c r="BG786">
        <v>0</v>
      </c>
      <c r="BH786">
        <v>0</v>
      </c>
      <c r="BI786" t="s">
        <v>9</v>
      </c>
      <c r="BJ786">
        <v>0</v>
      </c>
      <c r="BK786">
        <v>5.7999999999999995E-7</v>
      </c>
      <c r="BL786">
        <v>0</v>
      </c>
      <c r="BM786" s="2">
        <f t="shared" si="12"/>
        <v>8.4172353238438417E-12</v>
      </c>
    </row>
    <row r="787" spans="1:65" x14ac:dyDescent="0.35">
      <c r="A787">
        <v>0</v>
      </c>
      <c r="B787" t="s">
        <v>3</v>
      </c>
      <c r="C787" t="s">
        <v>4</v>
      </c>
      <c r="D787">
        <v>0</v>
      </c>
      <c r="E787" t="s">
        <v>3</v>
      </c>
      <c r="F787" t="s">
        <v>5</v>
      </c>
      <c r="G787">
        <v>3483.7195729999999</v>
      </c>
      <c r="H787" t="s">
        <v>4</v>
      </c>
      <c r="I787">
        <v>990.16341899999998</v>
      </c>
      <c r="J787">
        <v>2493.5561539999999</v>
      </c>
      <c r="K787" t="s">
        <v>6</v>
      </c>
      <c r="L787" t="s">
        <v>7</v>
      </c>
      <c r="M787" t="s">
        <v>8</v>
      </c>
      <c r="N787" t="s">
        <v>6</v>
      </c>
      <c r="O787" t="s">
        <v>3</v>
      </c>
      <c r="P787" t="s">
        <v>3</v>
      </c>
      <c r="Q787" t="s">
        <v>3</v>
      </c>
      <c r="R787" t="s">
        <v>3</v>
      </c>
      <c r="S787" t="s">
        <v>3</v>
      </c>
      <c r="T787" t="s">
        <v>7</v>
      </c>
      <c r="U787">
        <v>2</v>
      </c>
      <c r="V787">
        <v>0</v>
      </c>
      <c r="W787">
        <v>0</v>
      </c>
      <c r="X787">
        <v>2</v>
      </c>
      <c r="Y787">
        <v>0</v>
      </c>
      <c r="Z787" t="s">
        <v>9</v>
      </c>
      <c r="AA787" t="s">
        <v>4</v>
      </c>
      <c r="AB787" t="s">
        <v>6</v>
      </c>
      <c r="AC787" t="s">
        <v>7</v>
      </c>
      <c r="AD787" t="s">
        <v>8</v>
      </c>
      <c r="AE787" t="s">
        <v>6</v>
      </c>
      <c r="AF787" t="s">
        <v>3</v>
      </c>
      <c r="AG787" t="s">
        <v>3</v>
      </c>
      <c r="AH787" t="s">
        <v>3</v>
      </c>
      <c r="AI787" t="s">
        <v>3</v>
      </c>
      <c r="AJ787" t="s">
        <v>3</v>
      </c>
      <c r="AK787" t="s">
        <v>7</v>
      </c>
      <c r="AL787">
        <v>0</v>
      </c>
      <c r="AM787">
        <v>0</v>
      </c>
      <c r="AN787">
        <v>0</v>
      </c>
      <c r="AO787">
        <v>0</v>
      </c>
      <c r="AP787">
        <v>0</v>
      </c>
      <c r="AQ787" t="s">
        <v>9</v>
      </c>
      <c r="AR787" s="1">
        <v>1.3337988E-3</v>
      </c>
      <c r="AS787" s="1">
        <v>1.1918274700000001E-23</v>
      </c>
      <c r="AT787">
        <v>37</v>
      </c>
      <c r="AU787" t="s">
        <v>10</v>
      </c>
      <c r="AV787">
        <v>2</v>
      </c>
      <c r="AW787">
        <v>0</v>
      </c>
      <c r="AX787">
        <v>0</v>
      </c>
      <c r="AY787">
        <v>2</v>
      </c>
      <c r="AZ787">
        <v>0</v>
      </c>
      <c r="BA787" t="s">
        <v>9</v>
      </c>
      <c r="BB787" t="s">
        <v>4</v>
      </c>
      <c r="BC787" t="s">
        <v>10</v>
      </c>
      <c r="BD787">
        <v>0</v>
      </c>
      <c r="BE787">
        <v>0</v>
      </c>
      <c r="BF787">
        <v>0</v>
      </c>
      <c r="BG787">
        <v>0</v>
      </c>
      <c r="BH787">
        <v>0</v>
      </c>
      <c r="BI787" t="s">
        <v>9</v>
      </c>
      <c r="BJ787">
        <v>-9.4439000000000003E-4</v>
      </c>
      <c r="BK787">
        <v>0</v>
      </c>
      <c r="BL787">
        <v>9.4187999999999997E-4</v>
      </c>
      <c r="BM787" s="2">
        <f t="shared" si="12"/>
        <v>7.1773528336477763E-5</v>
      </c>
    </row>
    <row r="788" spans="1:65" x14ac:dyDescent="0.35">
      <c r="A788">
        <v>0</v>
      </c>
      <c r="B788" t="s">
        <v>3</v>
      </c>
      <c r="C788" t="s">
        <v>4</v>
      </c>
      <c r="D788">
        <v>0</v>
      </c>
      <c r="E788" t="s">
        <v>3</v>
      </c>
      <c r="F788" t="s">
        <v>5</v>
      </c>
      <c r="G788">
        <v>3088.946242</v>
      </c>
      <c r="H788" t="s">
        <v>4</v>
      </c>
      <c r="I788">
        <v>990.16341899999998</v>
      </c>
      <c r="J788">
        <v>2098.782823</v>
      </c>
      <c r="K788" t="s">
        <v>6</v>
      </c>
      <c r="L788" t="s">
        <v>7</v>
      </c>
      <c r="M788" t="s">
        <v>8</v>
      </c>
      <c r="N788" t="s">
        <v>6</v>
      </c>
      <c r="O788" t="s">
        <v>3</v>
      </c>
      <c r="P788" t="s">
        <v>3</v>
      </c>
      <c r="Q788" t="s">
        <v>3</v>
      </c>
      <c r="R788" t="s">
        <v>3</v>
      </c>
      <c r="S788" t="s">
        <v>3</v>
      </c>
      <c r="T788" t="s">
        <v>7</v>
      </c>
      <c r="U788">
        <v>0</v>
      </c>
      <c r="V788">
        <v>1</v>
      </c>
      <c r="W788">
        <v>0</v>
      </c>
      <c r="X788">
        <v>2</v>
      </c>
      <c r="Y788">
        <v>0</v>
      </c>
      <c r="Z788" t="s">
        <v>15</v>
      </c>
      <c r="AA788" t="s">
        <v>4</v>
      </c>
      <c r="AB788" t="s">
        <v>6</v>
      </c>
      <c r="AC788" t="s">
        <v>7</v>
      </c>
      <c r="AD788" t="s">
        <v>8</v>
      </c>
      <c r="AE788" t="s">
        <v>6</v>
      </c>
      <c r="AF788" t="s">
        <v>3</v>
      </c>
      <c r="AG788" t="s">
        <v>3</v>
      </c>
      <c r="AH788" t="s">
        <v>3</v>
      </c>
      <c r="AI788" t="s">
        <v>3</v>
      </c>
      <c r="AJ788" t="s">
        <v>3</v>
      </c>
      <c r="AK788" t="s">
        <v>7</v>
      </c>
      <c r="AL788">
        <v>0</v>
      </c>
      <c r="AM788">
        <v>0</v>
      </c>
      <c r="AN788">
        <v>0</v>
      </c>
      <c r="AO788">
        <v>0</v>
      </c>
      <c r="AP788">
        <v>0</v>
      </c>
      <c r="AQ788" t="s">
        <v>9</v>
      </c>
      <c r="AR788" s="1">
        <v>1.8578205699999999E-5</v>
      </c>
      <c r="AS788" s="1">
        <v>1.94613937E-27</v>
      </c>
      <c r="AT788">
        <v>34</v>
      </c>
      <c r="AU788" t="s">
        <v>10</v>
      </c>
      <c r="AV788">
        <v>0</v>
      </c>
      <c r="AW788">
        <v>1</v>
      </c>
      <c r="AX788">
        <v>0</v>
      </c>
      <c r="AY788">
        <v>2</v>
      </c>
      <c r="AZ788">
        <v>0</v>
      </c>
      <c r="BA788" t="s">
        <v>15</v>
      </c>
      <c r="BB788" t="s">
        <v>4</v>
      </c>
      <c r="BC788" t="s">
        <v>10</v>
      </c>
      <c r="BD788">
        <v>0</v>
      </c>
      <c r="BE788">
        <v>0</v>
      </c>
      <c r="BF788">
        <v>0</v>
      </c>
      <c r="BG788">
        <v>0</v>
      </c>
      <c r="BH788">
        <v>0</v>
      </c>
      <c r="BI788" t="s">
        <v>9</v>
      </c>
      <c r="BJ788">
        <v>1.819E-5</v>
      </c>
      <c r="BK788">
        <v>0</v>
      </c>
      <c r="BL788">
        <v>-3.8E-6</v>
      </c>
      <c r="BM788" s="2">
        <f t="shared" si="12"/>
        <v>1.1719925302563295E-8</v>
      </c>
    </row>
    <row r="789" spans="1:65" x14ac:dyDescent="0.35">
      <c r="A789">
        <v>0</v>
      </c>
      <c r="B789" t="s">
        <v>3</v>
      </c>
      <c r="C789" t="s">
        <v>4</v>
      </c>
      <c r="D789">
        <v>0</v>
      </c>
      <c r="E789" t="s">
        <v>3</v>
      </c>
      <c r="F789" t="s">
        <v>5</v>
      </c>
      <c r="G789">
        <v>3958.4337609999998</v>
      </c>
      <c r="H789" t="s">
        <v>4</v>
      </c>
      <c r="I789">
        <v>990.16341899999998</v>
      </c>
      <c r="J789">
        <v>2968.2703419999998</v>
      </c>
      <c r="K789" t="s">
        <v>6</v>
      </c>
      <c r="L789" t="s">
        <v>7</v>
      </c>
      <c r="M789" t="s">
        <v>8</v>
      </c>
      <c r="N789" t="s">
        <v>6</v>
      </c>
      <c r="O789" t="s">
        <v>3</v>
      </c>
      <c r="P789" t="s">
        <v>3</v>
      </c>
      <c r="Q789" t="s">
        <v>3</v>
      </c>
      <c r="R789" t="s">
        <v>3</v>
      </c>
      <c r="S789" t="s">
        <v>3</v>
      </c>
      <c r="T789" t="s">
        <v>7</v>
      </c>
      <c r="U789">
        <v>0</v>
      </c>
      <c r="V789">
        <v>2</v>
      </c>
      <c r="W789">
        <v>0</v>
      </c>
      <c r="X789">
        <v>1</v>
      </c>
      <c r="Y789">
        <v>0</v>
      </c>
      <c r="Z789" t="s">
        <v>15</v>
      </c>
      <c r="AA789" t="s">
        <v>4</v>
      </c>
      <c r="AB789" t="s">
        <v>6</v>
      </c>
      <c r="AC789" t="s">
        <v>7</v>
      </c>
      <c r="AD789" t="s">
        <v>8</v>
      </c>
      <c r="AE789" t="s">
        <v>6</v>
      </c>
      <c r="AF789" t="s">
        <v>3</v>
      </c>
      <c r="AG789" t="s">
        <v>3</v>
      </c>
      <c r="AH789" t="s">
        <v>3</v>
      </c>
      <c r="AI789" t="s">
        <v>3</v>
      </c>
      <c r="AJ789" t="s">
        <v>3</v>
      </c>
      <c r="AK789" t="s">
        <v>7</v>
      </c>
      <c r="AL789">
        <v>0</v>
      </c>
      <c r="AM789">
        <v>0</v>
      </c>
      <c r="AN789">
        <v>0</v>
      </c>
      <c r="AO789">
        <v>0</v>
      </c>
      <c r="AP789">
        <v>0</v>
      </c>
      <c r="AQ789" t="s">
        <v>9</v>
      </c>
      <c r="AR789" s="1">
        <v>3.2986343500000002E-5</v>
      </c>
      <c r="AS789" s="1">
        <v>8.6773619100000003E-27</v>
      </c>
      <c r="AT789">
        <v>32</v>
      </c>
      <c r="AU789" t="s">
        <v>10</v>
      </c>
      <c r="AV789">
        <v>0</v>
      </c>
      <c r="AW789">
        <v>2</v>
      </c>
      <c r="AX789">
        <v>0</v>
      </c>
      <c r="AY789">
        <v>1</v>
      </c>
      <c r="AZ789">
        <v>0</v>
      </c>
      <c r="BA789" t="s">
        <v>15</v>
      </c>
      <c r="BB789" t="s">
        <v>4</v>
      </c>
      <c r="BC789" t="s">
        <v>10</v>
      </c>
      <c r="BD789">
        <v>0</v>
      </c>
      <c r="BE789">
        <v>0</v>
      </c>
      <c r="BF789">
        <v>0</v>
      </c>
      <c r="BG789">
        <v>0</v>
      </c>
      <c r="BH789">
        <v>0</v>
      </c>
      <c r="BI789" t="s">
        <v>9</v>
      </c>
      <c r="BJ789">
        <v>-1.5480000000000001E-5</v>
      </c>
      <c r="BK789">
        <v>0</v>
      </c>
      <c r="BL789">
        <v>-2.9130000000000001E-5</v>
      </c>
      <c r="BM789" s="2">
        <f t="shared" si="12"/>
        <v>5.2256295194576927E-8</v>
      </c>
    </row>
    <row r="790" spans="1:65" x14ac:dyDescent="0.35">
      <c r="A790">
        <v>0</v>
      </c>
      <c r="B790" t="s">
        <v>3</v>
      </c>
      <c r="C790" t="s">
        <v>4</v>
      </c>
      <c r="D790">
        <v>0</v>
      </c>
      <c r="E790" t="s">
        <v>3</v>
      </c>
      <c r="F790" t="s">
        <v>5</v>
      </c>
      <c r="G790">
        <v>4699.6681950000002</v>
      </c>
      <c r="H790" t="s">
        <v>4</v>
      </c>
      <c r="I790">
        <v>990.16341899999998</v>
      </c>
      <c r="J790">
        <v>3709.5047760000002</v>
      </c>
      <c r="K790" t="s">
        <v>6</v>
      </c>
      <c r="L790" t="s">
        <v>7</v>
      </c>
      <c r="M790" t="s">
        <v>8</v>
      </c>
      <c r="N790" t="s">
        <v>6</v>
      </c>
      <c r="O790" t="s">
        <v>3</v>
      </c>
      <c r="P790" t="s">
        <v>3</v>
      </c>
      <c r="Q790" t="s">
        <v>3</v>
      </c>
      <c r="R790" t="s">
        <v>3</v>
      </c>
      <c r="S790" t="s">
        <v>3</v>
      </c>
      <c r="T790" t="s">
        <v>7</v>
      </c>
      <c r="U790">
        <v>0</v>
      </c>
      <c r="V790">
        <v>0</v>
      </c>
      <c r="W790">
        <v>0</v>
      </c>
      <c r="X790">
        <v>4</v>
      </c>
      <c r="Y790">
        <v>0</v>
      </c>
      <c r="Z790" t="s">
        <v>22</v>
      </c>
      <c r="AA790" t="s">
        <v>4</v>
      </c>
      <c r="AB790" t="s">
        <v>6</v>
      </c>
      <c r="AC790" t="s">
        <v>7</v>
      </c>
      <c r="AD790" t="s">
        <v>8</v>
      </c>
      <c r="AE790" t="s">
        <v>6</v>
      </c>
      <c r="AF790" t="s">
        <v>3</v>
      </c>
      <c r="AG790" t="s">
        <v>3</v>
      </c>
      <c r="AH790" t="s">
        <v>3</v>
      </c>
      <c r="AI790" t="s">
        <v>3</v>
      </c>
      <c r="AJ790" t="s">
        <v>3</v>
      </c>
      <c r="AK790" t="s">
        <v>7</v>
      </c>
      <c r="AL790">
        <v>0</v>
      </c>
      <c r="AM790">
        <v>0</v>
      </c>
      <c r="AN790">
        <v>0</v>
      </c>
      <c r="AO790">
        <v>0</v>
      </c>
      <c r="AP790">
        <v>0</v>
      </c>
      <c r="AQ790" t="s">
        <v>9</v>
      </c>
      <c r="AR790" s="1">
        <v>2.5115325400000001E-4</v>
      </c>
      <c r="AS790" s="1">
        <v>6.2865114399999999E-25</v>
      </c>
      <c r="AT790">
        <v>33</v>
      </c>
      <c r="AU790" t="s">
        <v>10</v>
      </c>
      <c r="AV790">
        <v>0</v>
      </c>
      <c r="AW790">
        <v>0</v>
      </c>
      <c r="AX790">
        <v>0</v>
      </c>
      <c r="AY790">
        <v>4</v>
      </c>
      <c r="AZ790">
        <v>0</v>
      </c>
      <c r="BA790" t="s">
        <v>22</v>
      </c>
      <c r="BB790" t="s">
        <v>4</v>
      </c>
      <c r="BC790" t="s">
        <v>10</v>
      </c>
      <c r="BD790">
        <v>0</v>
      </c>
      <c r="BE790">
        <v>0</v>
      </c>
      <c r="BF790">
        <v>0</v>
      </c>
      <c r="BG790">
        <v>0</v>
      </c>
      <c r="BH790">
        <v>0</v>
      </c>
      <c r="BI790" t="s">
        <v>9</v>
      </c>
      <c r="BJ790">
        <v>1.7157000000000001E-4</v>
      </c>
      <c r="BK790">
        <v>0</v>
      </c>
      <c r="BL790">
        <v>-1.8342E-4</v>
      </c>
      <c r="BM790" s="2">
        <f t="shared" si="12"/>
        <v>3.7858257032490751E-6</v>
      </c>
    </row>
    <row r="791" spans="1:65" x14ac:dyDescent="0.35">
      <c r="A791">
        <v>0</v>
      </c>
      <c r="B791" t="s">
        <v>11</v>
      </c>
      <c r="C791" t="s">
        <v>4</v>
      </c>
      <c r="D791">
        <v>0</v>
      </c>
      <c r="E791" t="s">
        <v>3</v>
      </c>
      <c r="F791" t="s">
        <v>5</v>
      </c>
      <c r="G791">
        <v>4929.9830460000003</v>
      </c>
      <c r="H791" t="s">
        <v>4</v>
      </c>
      <c r="I791">
        <v>990.16341899999998</v>
      </c>
      <c r="J791">
        <v>3939.8196269999999</v>
      </c>
      <c r="K791" t="s">
        <v>6</v>
      </c>
      <c r="L791" t="s">
        <v>7</v>
      </c>
      <c r="M791" t="s">
        <v>8</v>
      </c>
      <c r="N791" t="s">
        <v>6</v>
      </c>
      <c r="O791" t="s">
        <v>3</v>
      </c>
      <c r="P791" t="s">
        <v>3</v>
      </c>
      <c r="Q791" t="s">
        <v>3</v>
      </c>
      <c r="R791" t="s">
        <v>3</v>
      </c>
      <c r="S791" t="s">
        <v>11</v>
      </c>
      <c r="T791" t="s">
        <v>7</v>
      </c>
      <c r="U791">
        <v>1</v>
      </c>
      <c r="V791">
        <v>1</v>
      </c>
      <c r="W791">
        <v>0</v>
      </c>
      <c r="X791">
        <v>0</v>
      </c>
      <c r="Y791">
        <v>0</v>
      </c>
      <c r="Z791" t="s">
        <v>23</v>
      </c>
      <c r="AA791" t="s">
        <v>4</v>
      </c>
      <c r="AB791" t="s">
        <v>6</v>
      </c>
      <c r="AC791" t="s">
        <v>7</v>
      </c>
      <c r="AD791" t="s">
        <v>8</v>
      </c>
      <c r="AE791" t="s">
        <v>6</v>
      </c>
      <c r="AF791" t="s">
        <v>3</v>
      </c>
      <c r="AG791" t="s">
        <v>3</v>
      </c>
      <c r="AH791" t="s">
        <v>3</v>
      </c>
      <c r="AI791" t="s">
        <v>3</v>
      </c>
      <c r="AJ791" t="s">
        <v>3</v>
      </c>
      <c r="AK791" t="s">
        <v>7</v>
      </c>
      <c r="AL791">
        <v>0</v>
      </c>
      <c r="AM791">
        <v>0</v>
      </c>
      <c r="AN791">
        <v>0</v>
      </c>
      <c r="AO791">
        <v>0</v>
      </c>
      <c r="AP791">
        <v>0</v>
      </c>
      <c r="AQ791" t="s">
        <v>9</v>
      </c>
      <c r="AR791" s="1">
        <v>1.4063501900000001E-5</v>
      </c>
      <c r="AS791" s="1">
        <v>2.0935312699999999E-27</v>
      </c>
      <c r="AT791">
        <v>34</v>
      </c>
      <c r="AU791" t="s">
        <v>10</v>
      </c>
      <c r="AV791">
        <v>1</v>
      </c>
      <c r="AW791">
        <v>1</v>
      </c>
      <c r="AX791">
        <v>0</v>
      </c>
      <c r="AY791">
        <v>0</v>
      </c>
      <c r="AZ791">
        <v>0</v>
      </c>
      <c r="BA791" t="s">
        <v>23</v>
      </c>
      <c r="BB791" t="s">
        <v>4</v>
      </c>
      <c r="BC791" t="s">
        <v>10</v>
      </c>
      <c r="BD791">
        <v>0</v>
      </c>
      <c r="BE791">
        <v>0</v>
      </c>
      <c r="BF791">
        <v>0</v>
      </c>
      <c r="BG791">
        <v>0</v>
      </c>
      <c r="BH791">
        <v>0</v>
      </c>
      <c r="BI791" t="s">
        <v>9</v>
      </c>
      <c r="BJ791">
        <v>0</v>
      </c>
      <c r="BK791">
        <v>-1.4059999999999999E-5</v>
      </c>
      <c r="BL791">
        <v>0</v>
      </c>
      <c r="BM791" s="2">
        <f t="shared" si="12"/>
        <v>1.2607540077142814E-8</v>
      </c>
    </row>
    <row r="792" spans="1:65" x14ac:dyDescent="0.35">
      <c r="A792">
        <v>0</v>
      </c>
      <c r="B792" t="s">
        <v>11</v>
      </c>
      <c r="C792" t="s">
        <v>4</v>
      </c>
      <c r="D792">
        <v>0</v>
      </c>
      <c r="E792" t="s">
        <v>3</v>
      </c>
      <c r="F792" t="s">
        <v>5</v>
      </c>
      <c r="G792">
        <v>2821.5835240000001</v>
      </c>
      <c r="H792" t="s">
        <v>4</v>
      </c>
      <c r="I792">
        <v>990.16341899999998</v>
      </c>
      <c r="J792">
        <v>1831.4201049999999</v>
      </c>
      <c r="K792" t="s">
        <v>6</v>
      </c>
      <c r="L792" t="s">
        <v>7</v>
      </c>
      <c r="M792" t="s">
        <v>8</v>
      </c>
      <c r="N792" t="s">
        <v>6</v>
      </c>
      <c r="O792" t="s">
        <v>3</v>
      </c>
      <c r="P792" t="s">
        <v>3</v>
      </c>
      <c r="Q792" t="s">
        <v>3</v>
      </c>
      <c r="R792" t="s">
        <v>3</v>
      </c>
      <c r="S792" t="s">
        <v>11</v>
      </c>
      <c r="T792" t="s">
        <v>7</v>
      </c>
      <c r="U792">
        <v>0</v>
      </c>
      <c r="V792">
        <v>0</v>
      </c>
      <c r="W792">
        <v>0</v>
      </c>
      <c r="X792">
        <v>0</v>
      </c>
      <c r="Y792">
        <v>0</v>
      </c>
      <c r="Z792" t="s">
        <v>23</v>
      </c>
      <c r="AA792" t="s">
        <v>4</v>
      </c>
      <c r="AB792" t="s">
        <v>6</v>
      </c>
      <c r="AC792" t="s">
        <v>7</v>
      </c>
      <c r="AD792" t="s">
        <v>8</v>
      </c>
      <c r="AE792" t="s">
        <v>6</v>
      </c>
      <c r="AF792" t="s">
        <v>3</v>
      </c>
      <c r="AG792" t="s">
        <v>3</v>
      </c>
      <c r="AH792" t="s">
        <v>3</v>
      </c>
      <c r="AI792" t="s">
        <v>3</v>
      </c>
      <c r="AJ792" t="s">
        <v>3</v>
      </c>
      <c r="AK792" t="s">
        <v>7</v>
      </c>
      <c r="AL792">
        <v>0</v>
      </c>
      <c r="AM792">
        <v>0</v>
      </c>
      <c r="AN792">
        <v>0</v>
      </c>
      <c r="AO792">
        <v>0</v>
      </c>
      <c r="AP792">
        <v>0</v>
      </c>
      <c r="AQ792" t="s">
        <v>9</v>
      </c>
      <c r="AR792" s="1">
        <v>4.9044538500000003E-4</v>
      </c>
      <c r="AS792" s="1">
        <v>1.18337581E-24</v>
      </c>
      <c r="AT792">
        <v>32</v>
      </c>
      <c r="AU792" t="s">
        <v>10</v>
      </c>
      <c r="AV792">
        <v>0</v>
      </c>
      <c r="AW792">
        <v>0</v>
      </c>
      <c r="AX792">
        <v>0</v>
      </c>
      <c r="AY792">
        <v>0</v>
      </c>
      <c r="AZ792">
        <v>0</v>
      </c>
      <c r="BA792" t="s">
        <v>23</v>
      </c>
      <c r="BB792" t="s">
        <v>4</v>
      </c>
      <c r="BC792" t="s">
        <v>10</v>
      </c>
      <c r="BD792">
        <v>0</v>
      </c>
      <c r="BE792">
        <v>0</v>
      </c>
      <c r="BF792">
        <v>0</v>
      </c>
      <c r="BG792">
        <v>0</v>
      </c>
      <c r="BH792">
        <v>0</v>
      </c>
      <c r="BI792" t="s">
        <v>9</v>
      </c>
      <c r="BJ792">
        <v>0</v>
      </c>
      <c r="BK792">
        <v>-4.9045000000000002E-4</v>
      </c>
      <c r="BL792">
        <v>0</v>
      </c>
      <c r="BM792" s="2">
        <f t="shared" si="12"/>
        <v>7.1264557471340472E-6</v>
      </c>
    </row>
    <row r="793" spans="1:65" x14ac:dyDescent="0.35">
      <c r="A793">
        <v>0</v>
      </c>
      <c r="B793" t="s">
        <v>3</v>
      </c>
      <c r="C793" t="s">
        <v>4</v>
      </c>
      <c r="D793">
        <v>0</v>
      </c>
      <c r="E793" t="s">
        <v>3</v>
      </c>
      <c r="F793" t="s">
        <v>5</v>
      </c>
      <c r="G793">
        <v>4561.7374840000002</v>
      </c>
      <c r="H793" t="s">
        <v>4</v>
      </c>
      <c r="I793">
        <v>990.16341899999998</v>
      </c>
      <c r="J793">
        <v>3571.5740649999998</v>
      </c>
      <c r="K793" t="s">
        <v>6</v>
      </c>
      <c r="L793" t="s">
        <v>7</v>
      </c>
      <c r="M793" t="s">
        <v>8</v>
      </c>
      <c r="N793" t="s">
        <v>6</v>
      </c>
      <c r="O793" t="s">
        <v>3</v>
      </c>
      <c r="P793" t="s">
        <v>3</v>
      </c>
      <c r="Q793" t="s">
        <v>3</v>
      </c>
      <c r="R793" t="s">
        <v>3</v>
      </c>
      <c r="S793" t="s">
        <v>3</v>
      </c>
      <c r="T793" t="s">
        <v>7</v>
      </c>
      <c r="U793">
        <v>1</v>
      </c>
      <c r="V793">
        <v>0</v>
      </c>
      <c r="W793">
        <v>0</v>
      </c>
      <c r="X793">
        <v>4</v>
      </c>
      <c r="Y793">
        <v>0</v>
      </c>
      <c r="Z793" t="s">
        <v>24</v>
      </c>
      <c r="AA793" t="s">
        <v>4</v>
      </c>
      <c r="AB793" t="s">
        <v>6</v>
      </c>
      <c r="AC793" t="s">
        <v>7</v>
      </c>
      <c r="AD793" t="s">
        <v>8</v>
      </c>
      <c r="AE793" t="s">
        <v>6</v>
      </c>
      <c r="AF793" t="s">
        <v>3</v>
      </c>
      <c r="AG793" t="s">
        <v>3</v>
      </c>
      <c r="AH793" t="s">
        <v>3</v>
      </c>
      <c r="AI793" t="s">
        <v>3</v>
      </c>
      <c r="AJ793" t="s">
        <v>3</v>
      </c>
      <c r="AK793" t="s">
        <v>7</v>
      </c>
      <c r="AL793">
        <v>0</v>
      </c>
      <c r="AM793">
        <v>0</v>
      </c>
      <c r="AN793">
        <v>0</v>
      </c>
      <c r="AO793">
        <v>0</v>
      </c>
      <c r="AP793">
        <v>0</v>
      </c>
      <c r="AQ793" t="s">
        <v>9</v>
      </c>
      <c r="AR793" s="1">
        <v>7.0611113600000004E-5</v>
      </c>
      <c r="AS793" s="1">
        <v>4.78433885E-26</v>
      </c>
      <c r="AT793">
        <v>32</v>
      </c>
      <c r="AU793" t="s">
        <v>10</v>
      </c>
      <c r="AV793">
        <v>1</v>
      </c>
      <c r="AW793">
        <v>0</v>
      </c>
      <c r="AX793">
        <v>0</v>
      </c>
      <c r="AY793">
        <v>4</v>
      </c>
      <c r="AZ793">
        <v>0</v>
      </c>
      <c r="BA793" t="s">
        <v>24</v>
      </c>
      <c r="BB793" t="s">
        <v>4</v>
      </c>
      <c r="BC793" t="s">
        <v>10</v>
      </c>
      <c r="BD793">
        <v>0</v>
      </c>
      <c r="BE793">
        <v>0</v>
      </c>
      <c r="BF793">
        <v>0</v>
      </c>
      <c r="BG793">
        <v>0</v>
      </c>
      <c r="BH793">
        <v>0</v>
      </c>
      <c r="BI793" t="s">
        <v>9</v>
      </c>
      <c r="BJ793">
        <v>5.9219999999999999E-5</v>
      </c>
      <c r="BK793">
        <v>0</v>
      </c>
      <c r="BL793">
        <v>-3.8460000000000001E-5</v>
      </c>
      <c r="BM793" s="2">
        <f t="shared" si="12"/>
        <v>2.8811962189610079E-7</v>
      </c>
    </row>
    <row r="794" spans="1:65" x14ac:dyDescent="0.35">
      <c r="A794">
        <v>0</v>
      </c>
      <c r="B794" t="s">
        <v>11</v>
      </c>
      <c r="C794" t="s">
        <v>4</v>
      </c>
      <c r="D794">
        <v>0</v>
      </c>
      <c r="E794" t="s">
        <v>3</v>
      </c>
      <c r="F794" t="s">
        <v>5</v>
      </c>
      <c r="G794">
        <v>4988.6614970000001</v>
      </c>
      <c r="H794" t="s">
        <v>4</v>
      </c>
      <c r="I794">
        <v>990.16341899999998</v>
      </c>
      <c r="J794">
        <v>3998.4980780000001</v>
      </c>
      <c r="K794" t="s">
        <v>6</v>
      </c>
      <c r="L794" t="s">
        <v>7</v>
      </c>
      <c r="M794" t="s">
        <v>8</v>
      </c>
      <c r="N794" t="s">
        <v>6</v>
      </c>
      <c r="O794" t="s">
        <v>3</v>
      </c>
      <c r="P794" t="s">
        <v>3</v>
      </c>
      <c r="Q794" t="s">
        <v>3</v>
      </c>
      <c r="R794" t="s">
        <v>3</v>
      </c>
      <c r="S794" t="s">
        <v>11</v>
      </c>
      <c r="T794" t="s">
        <v>7</v>
      </c>
      <c r="U794">
        <v>2</v>
      </c>
      <c r="V794">
        <v>0</v>
      </c>
      <c r="W794">
        <v>0</v>
      </c>
      <c r="X794">
        <v>0</v>
      </c>
      <c r="Y794">
        <v>2</v>
      </c>
      <c r="Z794" t="s">
        <v>14</v>
      </c>
      <c r="AA794" t="s">
        <v>4</v>
      </c>
      <c r="AB794" t="s">
        <v>6</v>
      </c>
      <c r="AC794" t="s">
        <v>7</v>
      </c>
      <c r="AD794" t="s">
        <v>8</v>
      </c>
      <c r="AE794" t="s">
        <v>6</v>
      </c>
      <c r="AF794" t="s">
        <v>3</v>
      </c>
      <c r="AG794" t="s">
        <v>3</v>
      </c>
      <c r="AH794" t="s">
        <v>3</v>
      </c>
      <c r="AI794" t="s">
        <v>3</v>
      </c>
      <c r="AJ794" t="s">
        <v>3</v>
      </c>
      <c r="AK794" t="s">
        <v>7</v>
      </c>
      <c r="AL794">
        <v>0</v>
      </c>
      <c r="AM794">
        <v>0</v>
      </c>
      <c r="AN794">
        <v>0</v>
      </c>
      <c r="AO794">
        <v>0</v>
      </c>
      <c r="AP794">
        <v>0</v>
      </c>
      <c r="AQ794" t="s">
        <v>9</v>
      </c>
      <c r="AR794" s="1">
        <v>5.1210380099999997E-5</v>
      </c>
      <c r="AS794" s="1">
        <v>2.81727377E-26</v>
      </c>
      <c r="AT794">
        <v>34</v>
      </c>
      <c r="AU794" t="s">
        <v>10</v>
      </c>
      <c r="AV794">
        <v>2</v>
      </c>
      <c r="AW794">
        <v>0</v>
      </c>
      <c r="AX794">
        <v>0</v>
      </c>
      <c r="AY794">
        <v>0</v>
      </c>
      <c r="AZ794">
        <v>2</v>
      </c>
      <c r="BA794" t="s">
        <v>14</v>
      </c>
      <c r="BB794" t="s">
        <v>4</v>
      </c>
      <c r="BC794" t="s">
        <v>10</v>
      </c>
      <c r="BD794">
        <v>0</v>
      </c>
      <c r="BE794">
        <v>0</v>
      </c>
      <c r="BF794">
        <v>0</v>
      </c>
      <c r="BG794">
        <v>0</v>
      </c>
      <c r="BH794">
        <v>0</v>
      </c>
      <c r="BI794" t="s">
        <v>9</v>
      </c>
      <c r="BJ794">
        <v>0</v>
      </c>
      <c r="BK794">
        <v>5.1209999999999999E-5</v>
      </c>
      <c r="BL794">
        <v>0</v>
      </c>
      <c r="BM794" s="2">
        <f t="shared" si="12"/>
        <v>1.6966019315086817E-7</v>
      </c>
    </row>
    <row r="795" spans="1:65" x14ac:dyDescent="0.35">
      <c r="A795">
        <v>0</v>
      </c>
      <c r="B795" t="s">
        <v>3</v>
      </c>
      <c r="C795" t="s">
        <v>4</v>
      </c>
      <c r="D795">
        <v>0</v>
      </c>
      <c r="E795" t="s">
        <v>3</v>
      </c>
      <c r="F795" t="s">
        <v>5</v>
      </c>
      <c r="G795">
        <v>3318.6017579999998</v>
      </c>
      <c r="H795" t="s">
        <v>4</v>
      </c>
      <c r="I795">
        <v>990.16341899999998</v>
      </c>
      <c r="J795">
        <v>2328.4383389999998</v>
      </c>
      <c r="K795" t="s">
        <v>6</v>
      </c>
      <c r="L795" t="s">
        <v>7</v>
      </c>
      <c r="M795" t="s">
        <v>8</v>
      </c>
      <c r="N795" t="s">
        <v>6</v>
      </c>
      <c r="O795" t="s">
        <v>3</v>
      </c>
      <c r="P795" t="s">
        <v>3</v>
      </c>
      <c r="Q795" t="s">
        <v>3</v>
      </c>
      <c r="R795" t="s">
        <v>3</v>
      </c>
      <c r="S795" t="s">
        <v>3</v>
      </c>
      <c r="T795" t="s">
        <v>7</v>
      </c>
      <c r="U795">
        <v>1</v>
      </c>
      <c r="V795">
        <v>0</v>
      </c>
      <c r="W795">
        <v>0</v>
      </c>
      <c r="X795">
        <v>1</v>
      </c>
      <c r="Y795">
        <v>1</v>
      </c>
      <c r="Z795" t="s">
        <v>15</v>
      </c>
      <c r="AA795" t="s">
        <v>4</v>
      </c>
      <c r="AB795" t="s">
        <v>6</v>
      </c>
      <c r="AC795" t="s">
        <v>7</v>
      </c>
      <c r="AD795" t="s">
        <v>8</v>
      </c>
      <c r="AE795" t="s">
        <v>6</v>
      </c>
      <c r="AF795" t="s">
        <v>3</v>
      </c>
      <c r="AG795" t="s">
        <v>3</v>
      </c>
      <c r="AH795" t="s">
        <v>3</v>
      </c>
      <c r="AI795" t="s">
        <v>3</v>
      </c>
      <c r="AJ795" t="s">
        <v>3</v>
      </c>
      <c r="AK795" t="s">
        <v>7</v>
      </c>
      <c r="AL795">
        <v>0</v>
      </c>
      <c r="AM795">
        <v>0</v>
      </c>
      <c r="AN795">
        <v>0</v>
      </c>
      <c r="AO795">
        <v>0</v>
      </c>
      <c r="AP795">
        <v>0</v>
      </c>
      <c r="AQ795" t="s">
        <v>9</v>
      </c>
      <c r="AR795" s="1">
        <v>7.1802113899999999E-4</v>
      </c>
      <c r="AS795" s="1">
        <v>3.2251481599999999E-24</v>
      </c>
      <c r="AT795">
        <v>37</v>
      </c>
      <c r="AU795" t="s">
        <v>10</v>
      </c>
      <c r="AV795">
        <v>1</v>
      </c>
      <c r="AW795">
        <v>0</v>
      </c>
      <c r="AX795">
        <v>0</v>
      </c>
      <c r="AY795">
        <v>1</v>
      </c>
      <c r="AZ795">
        <v>1</v>
      </c>
      <c r="BA795" t="s">
        <v>15</v>
      </c>
      <c r="BB795" t="s">
        <v>4</v>
      </c>
      <c r="BC795" t="s">
        <v>10</v>
      </c>
      <c r="BD795">
        <v>0</v>
      </c>
      <c r="BE795">
        <v>0</v>
      </c>
      <c r="BF795">
        <v>0</v>
      </c>
      <c r="BG795">
        <v>0</v>
      </c>
      <c r="BH795">
        <v>0</v>
      </c>
      <c r="BI795" t="s">
        <v>9</v>
      </c>
      <c r="BJ795">
        <v>6.9585000000000003E-4</v>
      </c>
      <c r="BK795">
        <v>0</v>
      </c>
      <c r="BL795">
        <v>-1.7705999999999999E-4</v>
      </c>
      <c r="BM795" s="2">
        <f t="shared" si="12"/>
        <v>1.9422296320380927E-5</v>
      </c>
    </row>
    <row r="796" spans="1:65" x14ac:dyDescent="0.35">
      <c r="A796">
        <v>0</v>
      </c>
      <c r="B796" t="s">
        <v>3</v>
      </c>
      <c r="C796" t="s">
        <v>4</v>
      </c>
      <c r="D796">
        <v>0</v>
      </c>
      <c r="E796" t="s">
        <v>3</v>
      </c>
      <c r="F796" t="s">
        <v>5</v>
      </c>
      <c r="G796">
        <v>2088.085572</v>
      </c>
      <c r="H796" t="s">
        <v>4</v>
      </c>
      <c r="I796">
        <v>990.16341899999998</v>
      </c>
      <c r="J796">
        <v>1097.922153</v>
      </c>
      <c r="K796" t="s">
        <v>6</v>
      </c>
      <c r="L796" t="s">
        <v>7</v>
      </c>
      <c r="M796" t="s">
        <v>8</v>
      </c>
      <c r="N796" t="s">
        <v>6</v>
      </c>
      <c r="O796" t="s">
        <v>3</v>
      </c>
      <c r="P796" t="s">
        <v>3</v>
      </c>
      <c r="Q796" t="s">
        <v>3</v>
      </c>
      <c r="R796" t="s">
        <v>3</v>
      </c>
      <c r="S796" t="s">
        <v>3</v>
      </c>
      <c r="T796" t="s">
        <v>7</v>
      </c>
      <c r="U796">
        <v>2</v>
      </c>
      <c r="V796">
        <v>0</v>
      </c>
      <c r="W796">
        <v>0</v>
      </c>
      <c r="X796">
        <v>1</v>
      </c>
      <c r="Y796">
        <v>0</v>
      </c>
      <c r="Z796" t="s">
        <v>8</v>
      </c>
      <c r="AA796" t="s">
        <v>4</v>
      </c>
      <c r="AB796" t="s">
        <v>6</v>
      </c>
      <c r="AC796" t="s">
        <v>7</v>
      </c>
      <c r="AD796" t="s">
        <v>8</v>
      </c>
      <c r="AE796" t="s">
        <v>6</v>
      </c>
      <c r="AF796" t="s">
        <v>3</v>
      </c>
      <c r="AG796" t="s">
        <v>3</v>
      </c>
      <c r="AH796" t="s">
        <v>3</v>
      </c>
      <c r="AI796" t="s">
        <v>3</v>
      </c>
      <c r="AJ796" t="s">
        <v>3</v>
      </c>
      <c r="AK796" t="s">
        <v>7</v>
      </c>
      <c r="AL796">
        <v>0</v>
      </c>
      <c r="AM796">
        <v>0</v>
      </c>
      <c r="AN796">
        <v>0</v>
      </c>
      <c r="AO796">
        <v>0</v>
      </c>
      <c r="AP796">
        <v>0</v>
      </c>
      <c r="AQ796" t="s">
        <v>9</v>
      </c>
      <c r="AR796" s="1">
        <v>6.4812086999999997E-6</v>
      </c>
      <c r="AS796" s="1">
        <v>1.23290136E-28</v>
      </c>
      <c r="AT796">
        <v>38</v>
      </c>
      <c r="AU796" t="s">
        <v>10</v>
      </c>
      <c r="AV796">
        <v>2</v>
      </c>
      <c r="AW796">
        <v>0</v>
      </c>
      <c r="AX796">
        <v>0</v>
      </c>
      <c r="AY796">
        <v>1</v>
      </c>
      <c r="AZ796">
        <v>0</v>
      </c>
      <c r="BA796" t="s">
        <v>8</v>
      </c>
      <c r="BB796" t="s">
        <v>4</v>
      </c>
      <c r="BC796" t="s">
        <v>10</v>
      </c>
      <c r="BD796">
        <v>0</v>
      </c>
      <c r="BE796">
        <v>0</v>
      </c>
      <c r="BF796">
        <v>0</v>
      </c>
      <c r="BG796">
        <v>0</v>
      </c>
      <c r="BH796">
        <v>0</v>
      </c>
      <c r="BI796" t="s">
        <v>9</v>
      </c>
      <c r="BJ796">
        <v>3.8399999999999997E-6</v>
      </c>
      <c r="BK796">
        <v>0</v>
      </c>
      <c r="BL796">
        <v>5.22E-6</v>
      </c>
      <c r="BM796" s="2">
        <f t="shared" si="12"/>
        <v>7.4247055824314865E-10</v>
      </c>
    </row>
    <row r="797" spans="1:65" x14ac:dyDescent="0.35">
      <c r="A797">
        <v>0</v>
      </c>
      <c r="B797" t="s">
        <v>11</v>
      </c>
      <c r="C797" t="s">
        <v>4</v>
      </c>
      <c r="D797">
        <v>0</v>
      </c>
      <c r="E797" t="s">
        <v>3</v>
      </c>
      <c r="F797" t="s">
        <v>5</v>
      </c>
      <c r="G797">
        <v>4864.7847009999996</v>
      </c>
      <c r="H797" t="s">
        <v>4</v>
      </c>
      <c r="I797">
        <v>990.16341899999998</v>
      </c>
      <c r="J797">
        <v>3874.6212820000001</v>
      </c>
      <c r="K797" t="s">
        <v>6</v>
      </c>
      <c r="L797" t="s">
        <v>7</v>
      </c>
      <c r="M797" t="s">
        <v>8</v>
      </c>
      <c r="N797" t="s">
        <v>6</v>
      </c>
      <c r="O797" t="s">
        <v>3</v>
      </c>
      <c r="P797" t="s">
        <v>3</v>
      </c>
      <c r="Q797" t="s">
        <v>3</v>
      </c>
      <c r="R797" t="s">
        <v>3</v>
      </c>
      <c r="S797" t="s">
        <v>11</v>
      </c>
      <c r="T797" t="s">
        <v>7</v>
      </c>
      <c r="U797">
        <v>0</v>
      </c>
      <c r="V797">
        <v>2</v>
      </c>
      <c r="W797">
        <v>0</v>
      </c>
      <c r="X797">
        <v>0</v>
      </c>
      <c r="Y797">
        <v>2</v>
      </c>
      <c r="Z797" t="s">
        <v>18</v>
      </c>
      <c r="AA797" t="s">
        <v>4</v>
      </c>
      <c r="AB797" t="s">
        <v>6</v>
      </c>
      <c r="AC797" t="s">
        <v>7</v>
      </c>
      <c r="AD797" t="s">
        <v>8</v>
      </c>
      <c r="AE797" t="s">
        <v>6</v>
      </c>
      <c r="AF797" t="s">
        <v>3</v>
      </c>
      <c r="AG797" t="s">
        <v>3</v>
      </c>
      <c r="AH797" t="s">
        <v>3</v>
      </c>
      <c r="AI797" t="s">
        <v>3</v>
      </c>
      <c r="AJ797" t="s">
        <v>3</v>
      </c>
      <c r="AK797" t="s">
        <v>7</v>
      </c>
      <c r="AL797">
        <v>0</v>
      </c>
      <c r="AM797">
        <v>0</v>
      </c>
      <c r="AN797">
        <v>0</v>
      </c>
      <c r="AO797">
        <v>0</v>
      </c>
      <c r="AP797">
        <v>0</v>
      </c>
      <c r="AQ797" t="s">
        <v>9</v>
      </c>
      <c r="AR797" s="1">
        <v>6.5660550700000004E-6</v>
      </c>
      <c r="AS797" s="1">
        <v>4.4880166700000002E-28</v>
      </c>
      <c r="AT797">
        <v>34</v>
      </c>
      <c r="AU797" t="s">
        <v>10</v>
      </c>
      <c r="AV797">
        <v>0</v>
      </c>
      <c r="AW797">
        <v>2</v>
      </c>
      <c r="AX797">
        <v>0</v>
      </c>
      <c r="AY797">
        <v>0</v>
      </c>
      <c r="AZ797">
        <v>2</v>
      </c>
      <c r="BA797" t="s">
        <v>18</v>
      </c>
      <c r="BB797" t="s">
        <v>4</v>
      </c>
      <c r="BC797" t="s">
        <v>10</v>
      </c>
      <c r="BD797">
        <v>0</v>
      </c>
      <c r="BE797">
        <v>0</v>
      </c>
      <c r="BF797">
        <v>0</v>
      </c>
      <c r="BG797">
        <v>0</v>
      </c>
      <c r="BH797">
        <v>0</v>
      </c>
      <c r="BI797" t="s">
        <v>9</v>
      </c>
      <c r="BJ797">
        <v>0</v>
      </c>
      <c r="BK797">
        <v>-6.5699999999999998E-6</v>
      </c>
      <c r="BL797">
        <v>0</v>
      </c>
      <c r="BM797" s="2">
        <f t="shared" si="12"/>
        <v>2.7027468299487137E-9</v>
      </c>
    </row>
    <row r="798" spans="1:65" x14ac:dyDescent="0.35">
      <c r="A798">
        <v>0</v>
      </c>
      <c r="B798" t="s">
        <v>11</v>
      </c>
      <c r="C798" t="s">
        <v>4</v>
      </c>
      <c r="D798">
        <v>0</v>
      </c>
      <c r="E798" t="s">
        <v>3</v>
      </c>
      <c r="F798" t="s">
        <v>5</v>
      </c>
      <c r="G798">
        <v>4347.16255</v>
      </c>
      <c r="H798" t="s">
        <v>4</v>
      </c>
      <c r="I798">
        <v>990.16341899999998</v>
      </c>
      <c r="J798">
        <v>3356.999131</v>
      </c>
      <c r="K798" t="s">
        <v>6</v>
      </c>
      <c r="L798" t="s">
        <v>7</v>
      </c>
      <c r="M798" t="s">
        <v>8</v>
      </c>
      <c r="N798" t="s">
        <v>6</v>
      </c>
      <c r="O798" t="s">
        <v>3</v>
      </c>
      <c r="P798" t="s">
        <v>3</v>
      </c>
      <c r="Q798" t="s">
        <v>3</v>
      </c>
      <c r="R798" t="s">
        <v>3</v>
      </c>
      <c r="S798" t="s">
        <v>11</v>
      </c>
      <c r="T798" t="s">
        <v>7</v>
      </c>
      <c r="U798">
        <v>3</v>
      </c>
      <c r="V798">
        <v>0</v>
      </c>
      <c r="W798">
        <v>0</v>
      </c>
      <c r="X798">
        <v>2</v>
      </c>
      <c r="Y798">
        <v>0</v>
      </c>
      <c r="Z798" t="s">
        <v>18</v>
      </c>
      <c r="AA798" t="s">
        <v>4</v>
      </c>
      <c r="AB798" t="s">
        <v>6</v>
      </c>
      <c r="AC798" t="s">
        <v>7</v>
      </c>
      <c r="AD798" t="s">
        <v>8</v>
      </c>
      <c r="AE798" t="s">
        <v>6</v>
      </c>
      <c r="AF798" t="s">
        <v>3</v>
      </c>
      <c r="AG798" t="s">
        <v>3</v>
      </c>
      <c r="AH798" t="s">
        <v>3</v>
      </c>
      <c r="AI798" t="s">
        <v>3</v>
      </c>
      <c r="AJ798" t="s">
        <v>3</v>
      </c>
      <c r="AK798" t="s">
        <v>7</v>
      </c>
      <c r="AL798">
        <v>0</v>
      </c>
      <c r="AM798">
        <v>0</v>
      </c>
      <c r="AN798">
        <v>0</v>
      </c>
      <c r="AO798">
        <v>0</v>
      </c>
      <c r="AP798">
        <v>0</v>
      </c>
      <c r="AQ798" t="s">
        <v>9</v>
      </c>
      <c r="AR798" s="1">
        <v>1.34542819E-5</v>
      </c>
      <c r="AS798" s="1">
        <v>1.63263234E-27</v>
      </c>
      <c r="AT798">
        <v>33</v>
      </c>
      <c r="AU798" t="s">
        <v>10</v>
      </c>
      <c r="AV798">
        <v>3</v>
      </c>
      <c r="AW798">
        <v>0</v>
      </c>
      <c r="AX798">
        <v>0</v>
      </c>
      <c r="AY798">
        <v>2</v>
      </c>
      <c r="AZ798">
        <v>0</v>
      </c>
      <c r="BA798" t="s">
        <v>18</v>
      </c>
      <c r="BB798" t="s">
        <v>4</v>
      </c>
      <c r="BC798" t="s">
        <v>10</v>
      </c>
      <c r="BD798">
        <v>0</v>
      </c>
      <c r="BE798">
        <v>0</v>
      </c>
      <c r="BF798">
        <v>0</v>
      </c>
      <c r="BG798">
        <v>0</v>
      </c>
      <c r="BH798">
        <v>0</v>
      </c>
      <c r="BI798" t="s">
        <v>9</v>
      </c>
      <c r="BJ798">
        <v>0</v>
      </c>
      <c r="BK798">
        <v>1.345E-5</v>
      </c>
      <c r="BL798">
        <v>0</v>
      </c>
      <c r="BM798" s="2">
        <f t="shared" si="12"/>
        <v>9.8319418261134712E-9</v>
      </c>
    </row>
    <row r="799" spans="1:65" x14ac:dyDescent="0.35">
      <c r="A799">
        <v>0</v>
      </c>
      <c r="B799" t="s">
        <v>3</v>
      </c>
      <c r="C799" t="s">
        <v>4</v>
      </c>
      <c r="D799">
        <v>0</v>
      </c>
      <c r="E799" t="s">
        <v>3</v>
      </c>
      <c r="F799" t="s">
        <v>5</v>
      </c>
      <c r="G799">
        <v>3765.529117</v>
      </c>
      <c r="H799" t="s">
        <v>4</v>
      </c>
      <c r="I799">
        <v>990.16341899999998</v>
      </c>
      <c r="J799">
        <v>2775.3656980000001</v>
      </c>
      <c r="K799" t="s">
        <v>6</v>
      </c>
      <c r="L799" t="s">
        <v>7</v>
      </c>
      <c r="M799" t="s">
        <v>8</v>
      </c>
      <c r="N799" t="s">
        <v>6</v>
      </c>
      <c r="O799" t="s">
        <v>3</v>
      </c>
      <c r="P799" t="s">
        <v>3</v>
      </c>
      <c r="Q799" t="s">
        <v>3</v>
      </c>
      <c r="R799" t="s">
        <v>3</v>
      </c>
      <c r="S799" t="s">
        <v>3</v>
      </c>
      <c r="T799" t="s">
        <v>7</v>
      </c>
      <c r="U799">
        <v>1</v>
      </c>
      <c r="V799">
        <v>1</v>
      </c>
      <c r="W799">
        <v>0</v>
      </c>
      <c r="X799">
        <v>2</v>
      </c>
      <c r="Y799">
        <v>1</v>
      </c>
      <c r="Z799" t="s">
        <v>8</v>
      </c>
      <c r="AA799" t="s">
        <v>4</v>
      </c>
      <c r="AB799" t="s">
        <v>6</v>
      </c>
      <c r="AC799" t="s">
        <v>7</v>
      </c>
      <c r="AD799" t="s">
        <v>8</v>
      </c>
      <c r="AE799" t="s">
        <v>6</v>
      </c>
      <c r="AF799" t="s">
        <v>3</v>
      </c>
      <c r="AG799" t="s">
        <v>3</v>
      </c>
      <c r="AH799" t="s">
        <v>3</v>
      </c>
      <c r="AI799" t="s">
        <v>3</v>
      </c>
      <c r="AJ799" t="s">
        <v>3</v>
      </c>
      <c r="AK799" t="s">
        <v>7</v>
      </c>
      <c r="AL799">
        <v>0</v>
      </c>
      <c r="AM799">
        <v>0</v>
      </c>
      <c r="AN799">
        <v>0</v>
      </c>
      <c r="AO799">
        <v>0</v>
      </c>
      <c r="AP799">
        <v>0</v>
      </c>
      <c r="AQ799" t="s">
        <v>9</v>
      </c>
      <c r="AR799" s="1">
        <v>1.8971618300000001E-4</v>
      </c>
      <c r="AS799" s="1">
        <v>2.6837649600000002E-25</v>
      </c>
      <c r="AT799">
        <v>38</v>
      </c>
      <c r="AU799" t="s">
        <v>10</v>
      </c>
      <c r="AV799">
        <v>1</v>
      </c>
      <c r="AW799">
        <v>1</v>
      </c>
      <c r="AX799">
        <v>0</v>
      </c>
      <c r="AY799">
        <v>2</v>
      </c>
      <c r="AZ799">
        <v>1</v>
      </c>
      <c r="BA799" t="s">
        <v>8</v>
      </c>
      <c r="BB799" t="s">
        <v>4</v>
      </c>
      <c r="BC799" t="s">
        <v>10</v>
      </c>
      <c r="BD799">
        <v>0</v>
      </c>
      <c r="BE799">
        <v>0</v>
      </c>
      <c r="BF799">
        <v>0</v>
      </c>
      <c r="BG799">
        <v>0</v>
      </c>
      <c r="BH799">
        <v>0</v>
      </c>
      <c r="BI799" t="s">
        <v>9</v>
      </c>
      <c r="BJ799">
        <v>-1.6535000000000001E-4</v>
      </c>
      <c r="BK799">
        <v>0</v>
      </c>
      <c r="BL799">
        <v>-9.3010000000000006E-5</v>
      </c>
      <c r="BM799" s="2">
        <f t="shared" si="12"/>
        <v>1.616201046322637E-6</v>
      </c>
    </row>
    <row r="800" spans="1:65" x14ac:dyDescent="0.35">
      <c r="A800">
        <v>0</v>
      </c>
      <c r="B800" t="s">
        <v>3</v>
      </c>
      <c r="C800" t="s">
        <v>4</v>
      </c>
      <c r="D800">
        <v>0</v>
      </c>
      <c r="E800" t="s">
        <v>3</v>
      </c>
      <c r="F800" t="s">
        <v>5</v>
      </c>
      <c r="G800">
        <v>4446.8148270000002</v>
      </c>
      <c r="H800" t="s">
        <v>4</v>
      </c>
      <c r="I800">
        <v>990.16341899999998</v>
      </c>
      <c r="J800">
        <v>3456.6514080000002</v>
      </c>
      <c r="K800" t="s">
        <v>6</v>
      </c>
      <c r="L800" t="s">
        <v>7</v>
      </c>
      <c r="M800" t="s">
        <v>8</v>
      </c>
      <c r="N800" t="s">
        <v>6</v>
      </c>
      <c r="O800" t="s">
        <v>3</v>
      </c>
      <c r="P800" t="s">
        <v>3</v>
      </c>
      <c r="Q800" t="s">
        <v>3</v>
      </c>
      <c r="R800" t="s">
        <v>3</v>
      </c>
      <c r="S800" t="s">
        <v>3</v>
      </c>
      <c r="T800" t="s">
        <v>7</v>
      </c>
      <c r="U800">
        <v>1</v>
      </c>
      <c r="V800">
        <v>2</v>
      </c>
      <c r="W800">
        <v>0</v>
      </c>
      <c r="X800">
        <v>0</v>
      </c>
      <c r="Y800">
        <v>0</v>
      </c>
      <c r="Z800" t="s">
        <v>15</v>
      </c>
      <c r="AA800" t="s">
        <v>4</v>
      </c>
      <c r="AB800" t="s">
        <v>6</v>
      </c>
      <c r="AC800" t="s">
        <v>7</v>
      </c>
      <c r="AD800" t="s">
        <v>8</v>
      </c>
      <c r="AE800" t="s">
        <v>6</v>
      </c>
      <c r="AF800" t="s">
        <v>3</v>
      </c>
      <c r="AG800" t="s">
        <v>3</v>
      </c>
      <c r="AH800" t="s">
        <v>3</v>
      </c>
      <c r="AI800" t="s">
        <v>3</v>
      </c>
      <c r="AJ800" t="s">
        <v>3</v>
      </c>
      <c r="AK800" t="s">
        <v>7</v>
      </c>
      <c r="AL800">
        <v>0</v>
      </c>
      <c r="AM800">
        <v>0</v>
      </c>
      <c r="AN800">
        <v>0</v>
      </c>
      <c r="AO800">
        <v>0</v>
      </c>
      <c r="AP800">
        <v>0</v>
      </c>
      <c r="AQ800" t="s">
        <v>9</v>
      </c>
      <c r="AR800" s="1">
        <v>5.5744733200000002E-5</v>
      </c>
      <c r="AS800" s="1">
        <v>2.8858875599999999E-26</v>
      </c>
      <c r="AT800">
        <v>19</v>
      </c>
      <c r="AU800" t="s">
        <v>10</v>
      </c>
      <c r="AV800">
        <v>1</v>
      </c>
      <c r="AW800">
        <v>2</v>
      </c>
      <c r="AX800">
        <v>0</v>
      </c>
      <c r="AY800">
        <v>0</v>
      </c>
      <c r="AZ800">
        <v>0</v>
      </c>
      <c r="BA800" t="s">
        <v>15</v>
      </c>
      <c r="BB800" t="s">
        <v>4</v>
      </c>
      <c r="BC800" t="s">
        <v>10</v>
      </c>
      <c r="BD800">
        <v>0</v>
      </c>
      <c r="BE800">
        <v>0</v>
      </c>
      <c r="BF800">
        <v>0</v>
      </c>
      <c r="BG800">
        <v>0</v>
      </c>
      <c r="BH800">
        <v>0</v>
      </c>
      <c r="BI800" t="s">
        <v>9</v>
      </c>
      <c r="BJ800">
        <v>-1.394E-5</v>
      </c>
      <c r="BK800">
        <v>0</v>
      </c>
      <c r="BL800">
        <v>5.397E-5</v>
      </c>
      <c r="BM800" s="2">
        <f t="shared" si="12"/>
        <v>1.7379221219288446E-7</v>
      </c>
    </row>
    <row r="801" spans="1:65" x14ac:dyDescent="0.35">
      <c r="A801">
        <v>0</v>
      </c>
      <c r="B801" t="s">
        <v>3</v>
      </c>
      <c r="C801" t="s">
        <v>4</v>
      </c>
      <c r="D801">
        <v>0</v>
      </c>
      <c r="E801" t="s">
        <v>3</v>
      </c>
      <c r="F801" t="s">
        <v>5</v>
      </c>
      <c r="G801">
        <v>4186.2053329999999</v>
      </c>
      <c r="H801" t="s">
        <v>4</v>
      </c>
      <c r="I801">
        <v>990.16341899999998</v>
      </c>
      <c r="J801">
        <v>3196.0419139999999</v>
      </c>
      <c r="K801" t="s">
        <v>6</v>
      </c>
      <c r="L801" t="s">
        <v>7</v>
      </c>
      <c r="M801" t="s">
        <v>8</v>
      </c>
      <c r="N801" t="s">
        <v>6</v>
      </c>
      <c r="O801" t="s">
        <v>3</v>
      </c>
      <c r="P801" t="s">
        <v>3</v>
      </c>
      <c r="Q801" t="s">
        <v>3</v>
      </c>
      <c r="R801" t="s">
        <v>3</v>
      </c>
      <c r="S801" t="s">
        <v>3</v>
      </c>
      <c r="T801" t="s">
        <v>7</v>
      </c>
      <c r="U801">
        <v>0</v>
      </c>
      <c r="V801">
        <v>0</v>
      </c>
      <c r="W801">
        <v>0</v>
      </c>
      <c r="X801">
        <v>7</v>
      </c>
      <c r="Y801">
        <v>1</v>
      </c>
      <c r="Z801" t="s">
        <v>8</v>
      </c>
      <c r="AA801" t="s">
        <v>4</v>
      </c>
      <c r="AB801" t="s">
        <v>6</v>
      </c>
      <c r="AC801" t="s">
        <v>7</v>
      </c>
      <c r="AD801" t="s">
        <v>8</v>
      </c>
      <c r="AE801" t="s">
        <v>6</v>
      </c>
      <c r="AF801" t="s">
        <v>3</v>
      </c>
      <c r="AG801" t="s">
        <v>3</v>
      </c>
      <c r="AH801" t="s">
        <v>3</v>
      </c>
      <c r="AI801" t="s">
        <v>3</v>
      </c>
      <c r="AJ801" t="s">
        <v>3</v>
      </c>
      <c r="AK801" t="s">
        <v>7</v>
      </c>
      <c r="AL801">
        <v>0</v>
      </c>
      <c r="AM801">
        <v>0</v>
      </c>
      <c r="AN801">
        <v>0</v>
      </c>
      <c r="AO801">
        <v>0</v>
      </c>
      <c r="AP801">
        <v>0</v>
      </c>
      <c r="AQ801" t="s">
        <v>9</v>
      </c>
      <c r="AR801" s="1">
        <v>7.1067845499999999E-5</v>
      </c>
      <c r="AS801" s="1">
        <v>4.3368544100000002E-26</v>
      </c>
      <c r="AT801">
        <v>38</v>
      </c>
      <c r="AU801" t="s">
        <v>10</v>
      </c>
      <c r="AV801">
        <v>0</v>
      </c>
      <c r="AW801">
        <v>0</v>
      </c>
      <c r="AX801">
        <v>0</v>
      </c>
      <c r="AY801">
        <v>7</v>
      </c>
      <c r="AZ801">
        <v>1</v>
      </c>
      <c r="BA801" t="s">
        <v>8</v>
      </c>
      <c r="BB801" t="s">
        <v>4</v>
      </c>
      <c r="BC801" t="s">
        <v>10</v>
      </c>
      <c r="BD801">
        <v>0</v>
      </c>
      <c r="BE801">
        <v>0</v>
      </c>
      <c r="BF801">
        <v>0</v>
      </c>
      <c r="BG801">
        <v>0</v>
      </c>
      <c r="BH801">
        <v>0</v>
      </c>
      <c r="BI801" t="s">
        <v>9</v>
      </c>
      <c r="BJ801">
        <v>-7.093E-5</v>
      </c>
      <c r="BK801">
        <v>0</v>
      </c>
      <c r="BL801">
        <v>-4.3800000000000004E-6</v>
      </c>
      <c r="BM801" s="2">
        <f t="shared" si="12"/>
        <v>2.6117147886120928E-7</v>
      </c>
    </row>
    <row r="802" spans="1:65" x14ac:dyDescent="0.35">
      <c r="A802">
        <v>0</v>
      </c>
      <c r="B802" t="s">
        <v>3</v>
      </c>
      <c r="C802" t="s">
        <v>4</v>
      </c>
      <c r="D802">
        <v>0</v>
      </c>
      <c r="E802" t="s">
        <v>3</v>
      </c>
      <c r="F802" t="s">
        <v>5</v>
      </c>
      <c r="G802">
        <v>4064.4635389999999</v>
      </c>
      <c r="H802" t="s">
        <v>4</v>
      </c>
      <c r="I802">
        <v>990.16341899999998</v>
      </c>
      <c r="J802">
        <v>3074.3001199999999</v>
      </c>
      <c r="K802" t="s">
        <v>6</v>
      </c>
      <c r="L802" t="s">
        <v>7</v>
      </c>
      <c r="M802" t="s">
        <v>8</v>
      </c>
      <c r="N802" t="s">
        <v>6</v>
      </c>
      <c r="O802" t="s">
        <v>3</v>
      </c>
      <c r="P802" t="s">
        <v>3</v>
      </c>
      <c r="Q802" t="s">
        <v>3</v>
      </c>
      <c r="R802" t="s">
        <v>3</v>
      </c>
      <c r="S802" t="s">
        <v>3</v>
      </c>
      <c r="T802" t="s">
        <v>7</v>
      </c>
      <c r="U802">
        <v>0</v>
      </c>
      <c r="V802">
        <v>0</v>
      </c>
      <c r="W802">
        <v>0</v>
      </c>
      <c r="X802">
        <v>5</v>
      </c>
      <c r="Y802">
        <v>0</v>
      </c>
      <c r="Z802" t="s">
        <v>21</v>
      </c>
      <c r="AA802" t="s">
        <v>4</v>
      </c>
      <c r="AB802" t="s">
        <v>6</v>
      </c>
      <c r="AC802" t="s">
        <v>7</v>
      </c>
      <c r="AD802" t="s">
        <v>8</v>
      </c>
      <c r="AE802" t="s">
        <v>6</v>
      </c>
      <c r="AF802" t="s">
        <v>3</v>
      </c>
      <c r="AG802" t="s">
        <v>3</v>
      </c>
      <c r="AH802" t="s">
        <v>3</v>
      </c>
      <c r="AI802" t="s">
        <v>3</v>
      </c>
      <c r="AJ802" t="s">
        <v>3</v>
      </c>
      <c r="AK802" t="s">
        <v>7</v>
      </c>
      <c r="AL802">
        <v>0</v>
      </c>
      <c r="AM802">
        <v>0</v>
      </c>
      <c r="AN802">
        <v>0</v>
      </c>
      <c r="AO802">
        <v>0</v>
      </c>
      <c r="AP802">
        <v>0</v>
      </c>
      <c r="AQ802" t="s">
        <v>9</v>
      </c>
      <c r="AR802" s="1">
        <v>2.00544872E-5</v>
      </c>
      <c r="AS802" s="1">
        <v>3.3218910999999999E-27</v>
      </c>
      <c r="AT802">
        <v>34</v>
      </c>
      <c r="AU802" t="s">
        <v>10</v>
      </c>
      <c r="AV802">
        <v>0</v>
      </c>
      <c r="AW802">
        <v>0</v>
      </c>
      <c r="AX802">
        <v>0</v>
      </c>
      <c r="AY802">
        <v>5</v>
      </c>
      <c r="AZ802">
        <v>0</v>
      </c>
      <c r="BA802" t="s">
        <v>21</v>
      </c>
      <c r="BB802" t="s">
        <v>4</v>
      </c>
      <c r="BC802" t="s">
        <v>10</v>
      </c>
      <c r="BD802">
        <v>0</v>
      </c>
      <c r="BE802">
        <v>0</v>
      </c>
      <c r="BF802">
        <v>0</v>
      </c>
      <c r="BG802">
        <v>0</v>
      </c>
      <c r="BH802">
        <v>0</v>
      </c>
      <c r="BI802" t="s">
        <v>9</v>
      </c>
      <c r="BJ802">
        <v>5.3499999999999996E-6</v>
      </c>
      <c r="BK802">
        <v>0</v>
      </c>
      <c r="BL802">
        <v>1.933E-5</v>
      </c>
      <c r="BM802" s="2">
        <f t="shared" si="12"/>
        <v>2.0004895926466879E-8</v>
      </c>
    </row>
    <row r="803" spans="1:65" x14ac:dyDescent="0.35">
      <c r="A803">
        <v>0</v>
      </c>
      <c r="B803" t="s">
        <v>3</v>
      </c>
      <c r="C803" t="s">
        <v>4</v>
      </c>
      <c r="D803">
        <v>0</v>
      </c>
      <c r="E803" t="s">
        <v>3</v>
      </c>
      <c r="F803" t="s">
        <v>5</v>
      </c>
      <c r="G803">
        <v>4761.4748950000003</v>
      </c>
      <c r="H803" t="s">
        <v>4</v>
      </c>
      <c r="I803">
        <v>990.16341899999998</v>
      </c>
      <c r="J803">
        <v>3771.3114759999999</v>
      </c>
      <c r="K803" t="s">
        <v>6</v>
      </c>
      <c r="L803" t="s">
        <v>7</v>
      </c>
      <c r="M803" t="s">
        <v>8</v>
      </c>
      <c r="N803" t="s">
        <v>6</v>
      </c>
      <c r="O803" t="s">
        <v>3</v>
      </c>
      <c r="P803" t="s">
        <v>3</v>
      </c>
      <c r="Q803" t="s">
        <v>3</v>
      </c>
      <c r="R803" t="s">
        <v>3</v>
      </c>
      <c r="S803" t="s">
        <v>3</v>
      </c>
      <c r="T803" t="s">
        <v>7</v>
      </c>
      <c r="U803">
        <v>2</v>
      </c>
      <c r="V803">
        <v>1</v>
      </c>
      <c r="W803">
        <v>0</v>
      </c>
      <c r="X803">
        <v>2</v>
      </c>
      <c r="Y803">
        <v>0</v>
      </c>
      <c r="Z803" t="s">
        <v>9</v>
      </c>
      <c r="AA803" t="s">
        <v>4</v>
      </c>
      <c r="AB803" t="s">
        <v>6</v>
      </c>
      <c r="AC803" t="s">
        <v>7</v>
      </c>
      <c r="AD803" t="s">
        <v>8</v>
      </c>
      <c r="AE803" t="s">
        <v>6</v>
      </c>
      <c r="AF803" t="s">
        <v>3</v>
      </c>
      <c r="AG803" t="s">
        <v>3</v>
      </c>
      <c r="AH803" t="s">
        <v>3</v>
      </c>
      <c r="AI803" t="s">
        <v>3</v>
      </c>
      <c r="AJ803" t="s">
        <v>3</v>
      </c>
      <c r="AK803" t="s">
        <v>7</v>
      </c>
      <c r="AL803">
        <v>0</v>
      </c>
      <c r="AM803">
        <v>0</v>
      </c>
      <c r="AN803">
        <v>0</v>
      </c>
      <c r="AO803">
        <v>0</v>
      </c>
      <c r="AP803">
        <v>0</v>
      </c>
      <c r="AQ803" t="s">
        <v>9</v>
      </c>
      <c r="AR803" s="1">
        <v>1.0520373799999999E-4</v>
      </c>
      <c r="AS803" s="1">
        <v>1.12142672E-25</v>
      </c>
      <c r="AT803">
        <v>33</v>
      </c>
      <c r="AU803" t="s">
        <v>10</v>
      </c>
      <c r="AV803">
        <v>2</v>
      </c>
      <c r="AW803">
        <v>1</v>
      </c>
      <c r="AX803">
        <v>0</v>
      </c>
      <c r="AY803">
        <v>2</v>
      </c>
      <c r="AZ803">
        <v>0</v>
      </c>
      <c r="BA803" t="s">
        <v>9</v>
      </c>
      <c r="BB803" t="s">
        <v>4</v>
      </c>
      <c r="BC803" t="s">
        <v>10</v>
      </c>
      <c r="BD803">
        <v>0</v>
      </c>
      <c r="BE803">
        <v>0</v>
      </c>
      <c r="BF803">
        <v>0</v>
      </c>
      <c r="BG803">
        <v>0</v>
      </c>
      <c r="BH803">
        <v>0</v>
      </c>
      <c r="BI803" t="s">
        <v>9</v>
      </c>
      <c r="BJ803">
        <v>-5.9150000000000001E-5</v>
      </c>
      <c r="BK803">
        <v>0</v>
      </c>
      <c r="BL803">
        <v>8.7000000000000001E-5</v>
      </c>
      <c r="BM803" s="2">
        <f t="shared" si="12"/>
        <v>6.7533896047221769E-7</v>
      </c>
    </row>
    <row r="804" spans="1:65" x14ac:dyDescent="0.35">
      <c r="A804">
        <v>0</v>
      </c>
      <c r="B804" t="s">
        <v>3</v>
      </c>
      <c r="C804" t="s">
        <v>4</v>
      </c>
      <c r="D804">
        <v>0</v>
      </c>
      <c r="E804" t="s">
        <v>3</v>
      </c>
      <c r="F804" t="s">
        <v>5</v>
      </c>
      <c r="G804">
        <v>4637.986723</v>
      </c>
      <c r="H804" t="s">
        <v>4</v>
      </c>
      <c r="I804">
        <v>990.16341899999998</v>
      </c>
      <c r="J804">
        <v>3647.823304</v>
      </c>
      <c r="K804" t="s">
        <v>6</v>
      </c>
      <c r="L804" t="s">
        <v>7</v>
      </c>
      <c r="M804" t="s">
        <v>8</v>
      </c>
      <c r="N804" t="s">
        <v>6</v>
      </c>
      <c r="O804" t="s">
        <v>3</v>
      </c>
      <c r="P804" t="s">
        <v>3</v>
      </c>
      <c r="Q804" t="s">
        <v>3</v>
      </c>
      <c r="R804" t="s">
        <v>3</v>
      </c>
      <c r="S804" t="s">
        <v>3</v>
      </c>
      <c r="T804" t="s">
        <v>7</v>
      </c>
      <c r="U804">
        <v>3</v>
      </c>
      <c r="V804">
        <v>0</v>
      </c>
      <c r="W804">
        <v>0</v>
      </c>
      <c r="X804">
        <v>5</v>
      </c>
      <c r="Y804">
        <v>0</v>
      </c>
      <c r="Z804" t="s">
        <v>8</v>
      </c>
      <c r="AA804" t="s">
        <v>4</v>
      </c>
      <c r="AB804" t="s">
        <v>6</v>
      </c>
      <c r="AC804" t="s">
        <v>7</v>
      </c>
      <c r="AD804" t="s">
        <v>8</v>
      </c>
      <c r="AE804" t="s">
        <v>6</v>
      </c>
      <c r="AF804" t="s">
        <v>3</v>
      </c>
      <c r="AG804" t="s">
        <v>3</v>
      </c>
      <c r="AH804" t="s">
        <v>3</v>
      </c>
      <c r="AI804" t="s">
        <v>3</v>
      </c>
      <c r="AJ804" t="s">
        <v>3</v>
      </c>
      <c r="AK804" t="s">
        <v>7</v>
      </c>
      <c r="AL804">
        <v>0</v>
      </c>
      <c r="AM804">
        <v>0</v>
      </c>
      <c r="AN804">
        <v>0</v>
      </c>
      <c r="AO804">
        <v>0</v>
      </c>
      <c r="AP804">
        <v>0</v>
      </c>
      <c r="AQ804" t="s">
        <v>9</v>
      </c>
      <c r="AR804" s="1">
        <v>1.0913678299999999E-3</v>
      </c>
      <c r="AS804" s="1">
        <v>1.16732623E-23</v>
      </c>
      <c r="AT804">
        <v>38</v>
      </c>
      <c r="AU804" t="s">
        <v>10</v>
      </c>
      <c r="AV804">
        <v>3</v>
      </c>
      <c r="AW804">
        <v>0</v>
      </c>
      <c r="AX804">
        <v>0</v>
      </c>
      <c r="AY804">
        <v>5</v>
      </c>
      <c r="AZ804">
        <v>0</v>
      </c>
      <c r="BA804" t="s">
        <v>8</v>
      </c>
      <c r="BB804" t="s">
        <v>4</v>
      </c>
      <c r="BC804" t="s">
        <v>10</v>
      </c>
      <c r="BD804">
        <v>0</v>
      </c>
      <c r="BE804">
        <v>0</v>
      </c>
      <c r="BF804">
        <v>0</v>
      </c>
      <c r="BG804">
        <v>0</v>
      </c>
      <c r="BH804">
        <v>0</v>
      </c>
      <c r="BI804" t="s">
        <v>9</v>
      </c>
      <c r="BJ804">
        <v>8.1731999999999996E-4</v>
      </c>
      <c r="BK804">
        <v>0</v>
      </c>
      <c r="BL804">
        <v>-7.2323999999999999E-4</v>
      </c>
      <c r="BM804" s="2">
        <f t="shared" si="12"/>
        <v>7.0298029165931833E-5</v>
      </c>
    </row>
    <row r="805" spans="1:65" x14ac:dyDescent="0.35">
      <c r="A805">
        <v>0</v>
      </c>
      <c r="B805" t="s">
        <v>11</v>
      </c>
      <c r="C805" t="s">
        <v>4</v>
      </c>
      <c r="D805">
        <v>0</v>
      </c>
      <c r="E805" t="s">
        <v>3</v>
      </c>
      <c r="F805" t="s">
        <v>5</v>
      </c>
      <c r="G805">
        <v>4263.398956</v>
      </c>
      <c r="H805" t="s">
        <v>4</v>
      </c>
      <c r="I805">
        <v>990.16341899999998</v>
      </c>
      <c r="J805">
        <v>3273.235537</v>
      </c>
      <c r="K805" t="s">
        <v>6</v>
      </c>
      <c r="L805" t="s">
        <v>7</v>
      </c>
      <c r="M805" t="s">
        <v>8</v>
      </c>
      <c r="N805" t="s">
        <v>6</v>
      </c>
      <c r="O805" t="s">
        <v>3</v>
      </c>
      <c r="P805" t="s">
        <v>3</v>
      </c>
      <c r="Q805" t="s">
        <v>3</v>
      </c>
      <c r="R805" t="s">
        <v>3</v>
      </c>
      <c r="S805" t="s">
        <v>11</v>
      </c>
      <c r="T805" t="s">
        <v>7</v>
      </c>
      <c r="U805">
        <v>2</v>
      </c>
      <c r="V805">
        <v>1</v>
      </c>
      <c r="W805">
        <v>0</v>
      </c>
      <c r="X805">
        <v>2</v>
      </c>
      <c r="Y805">
        <v>0</v>
      </c>
      <c r="Z805" t="s">
        <v>18</v>
      </c>
      <c r="AA805" t="s">
        <v>4</v>
      </c>
      <c r="AB805" t="s">
        <v>6</v>
      </c>
      <c r="AC805" t="s">
        <v>7</v>
      </c>
      <c r="AD805" t="s">
        <v>8</v>
      </c>
      <c r="AE805" t="s">
        <v>6</v>
      </c>
      <c r="AF805" t="s">
        <v>3</v>
      </c>
      <c r="AG805" t="s">
        <v>3</v>
      </c>
      <c r="AH805" t="s">
        <v>3</v>
      </c>
      <c r="AI805" t="s">
        <v>3</v>
      </c>
      <c r="AJ805" t="s">
        <v>3</v>
      </c>
      <c r="AK805" t="s">
        <v>7</v>
      </c>
      <c r="AL805">
        <v>0</v>
      </c>
      <c r="AM805">
        <v>0</v>
      </c>
      <c r="AN805">
        <v>0</v>
      </c>
      <c r="AO805">
        <v>0</v>
      </c>
      <c r="AP805">
        <v>0</v>
      </c>
      <c r="AQ805" t="s">
        <v>9</v>
      </c>
      <c r="AR805" s="1">
        <v>7.2906701099999997E-6</v>
      </c>
      <c r="AS805" s="1">
        <v>4.6744256499999997E-28</v>
      </c>
      <c r="AT805">
        <v>33</v>
      </c>
      <c r="AU805" t="s">
        <v>10</v>
      </c>
      <c r="AV805">
        <v>2</v>
      </c>
      <c r="AW805">
        <v>1</v>
      </c>
      <c r="AX805">
        <v>0</v>
      </c>
      <c r="AY805">
        <v>2</v>
      </c>
      <c r="AZ805">
        <v>0</v>
      </c>
      <c r="BA805" t="s">
        <v>18</v>
      </c>
      <c r="BB805" t="s">
        <v>4</v>
      </c>
      <c r="BC805" t="s">
        <v>10</v>
      </c>
      <c r="BD805">
        <v>0</v>
      </c>
      <c r="BE805">
        <v>0</v>
      </c>
      <c r="BF805">
        <v>0</v>
      </c>
      <c r="BG805">
        <v>0</v>
      </c>
      <c r="BH805">
        <v>0</v>
      </c>
      <c r="BI805" t="s">
        <v>9</v>
      </c>
      <c r="BJ805">
        <v>0</v>
      </c>
      <c r="BK805">
        <v>7.2899999999999997E-6</v>
      </c>
      <c r="BL805">
        <v>0</v>
      </c>
      <c r="BM805" s="2">
        <f t="shared" si="12"/>
        <v>2.815004942343152E-9</v>
      </c>
    </row>
    <row r="806" spans="1:65" x14ac:dyDescent="0.35">
      <c r="A806">
        <v>0</v>
      </c>
      <c r="B806" t="s">
        <v>11</v>
      </c>
      <c r="C806" t="s">
        <v>4</v>
      </c>
      <c r="D806">
        <v>0</v>
      </c>
      <c r="E806" t="s">
        <v>3</v>
      </c>
      <c r="F806" t="s">
        <v>5</v>
      </c>
      <c r="G806">
        <v>4408.386786</v>
      </c>
      <c r="H806" t="s">
        <v>4</v>
      </c>
      <c r="I806">
        <v>990.16341899999998</v>
      </c>
      <c r="J806">
        <v>3418.2233670000001</v>
      </c>
      <c r="K806" t="s">
        <v>6</v>
      </c>
      <c r="L806" t="s">
        <v>7</v>
      </c>
      <c r="M806" t="s">
        <v>8</v>
      </c>
      <c r="N806" t="s">
        <v>6</v>
      </c>
      <c r="O806" t="s">
        <v>3</v>
      </c>
      <c r="P806" t="s">
        <v>3</v>
      </c>
      <c r="Q806" t="s">
        <v>3</v>
      </c>
      <c r="R806" t="s">
        <v>3</v>
      </c>
      <c r="S806" t="s">
        <v>11</v>
      </c>
      <c r="T806" t="s">
        <v>7</v>
      </c>
      <c r="U806">
        <v>2</v>
      </c>
      <c r="V806">
        <v>1</v>
      </c>
      <c r="W806">
        <v>0</v>
      </c>
      <c r="X806">
        <v>0</v>
      </c>
      <c r="Y806">
        <v>0</v>
      </c>
      <c r="Z806" t="s">
        <v>14</v>
      </c>
      <c r="AA806" t="s">
        <v>4</v>
      </c>
      <c r="AB806" t="s">
        <v>6</v>
      </c>
      <c r="AC806" t="s">
        <v>7</v>
      </c>
      <c r="AD806" t="s">
        <v>8</v>
      </c>
      <c r="AE806" t="s">
        <v>6</v>
      </c>
      <c r="AF806" t="s">
        <v>3</v>
      </c>
      <c r="AG806" t="s">
        <v>3</v>
      </c>
      <c r="AH806" t="s">
        <v>3</v>
      </c>
      <c r="AI806" t="s">
        <v>3</v>
      </c>
      <c r="AJ806" t="s">
        <v>3</v>
      </c>
      <c r="AK806" t="s">
        <v>7</v>
      </c>
      <c r="AL806">
        <v>0</v>
      </c>
      <c r="AM806">
        <v>0</v>
      </c>
      <c r="AN806">
        <v>0</v>
      </c>
      <c r="AO806">
        <v>0</v>
      </c>
      <c r="AP806">
        <v>0</v>
      </c>
      <c r="AQ806" t="s">
        <v>9</v>
      </c>
      <c r="AR806" s="1">
        <v>2.10270029E-5</v>
      </c>
      <c r="AS806" s="1">
        <v>4.06042339E-27</v>
      </c>
      <c r="AT806">
        <v>33</v>
      </c>
      <c r="AU806" t="s">
        <v>10</v>
      </c>
      <c r="AV806">
        <v>2</v>
      </c>
      <c r="AW806">
        <v>1</v>
      </c>
      <c r="AX806">
        <v>0</v>
      </c>
      <c r="AY806">
        <v>0</v>
      </c>
      <c r="AZ806">
        <v>0</v>
      </c>
      <c r="BA806" t="s">
        <v>14</v>
      </c>
      <c r="BB806" t="s">
        <v>4</v>
      </c>
      <c r="BC806" t="s">
        <v>10</v>
      </c>
      <c r="BD806">
        <v>0</v>
      </c>
      <c r="BE806">
        <v>0</v>
      </c>
      <c r="BF806">
        <v>0</v>
      </c>
      <c r="BG806">
        <v>0</v>
      </c>
      <c r="BH806">
        <v>0</v>
      </c>
      <c r="BI806" t="s">
        <v>9</v>
      </c>
      <c r="BJ806">
        <v>0</v>
      </c>
      <c r="BK806">
        <v>-2.103E-5</v>
      </c>
      <c r="BL806">
        <v>0</v>
      </c>
      <c r="BM806" s="2">
        <f t="shared" si="12"/>
        <v>2.4452441362193314E-8</v>
      </c>
    </row>
    <row r="807" spans="1:65" x14ac:dyDescent="0.35">
      <c r="A807">
        <v>0</v>
      </c>
      <c r="B807" t="s">
        <v>3</v>
      </c>
      <c r="C807" t="s">
        <v>4</v>
      </c>
      <c r="D807">
        <v>0</v>
      </c>
      <c r="E807" t="s">
        <v>3</v>
      </c>
      <c r="F807" t="s">
        <v>5</v>
      </c>
      <c r="G807">
        <v>4814.6151620000001</v>
      </c>
      <c r="H807" t="s">
        <v>4</v>
      </c>
      <c r="I807">
        <v>990.16341899999998</v>
      </c>
      <c r="J807">
        <v>3824.4517430000001</v>
      </c>
      <c r="K807" t="s">
        <v>6</v>
      </c>
      <c r="L807" t="s">
        <v>7</v>
      </c>
      <c r="M807" t="s">
        <v>8</v>
      </c>
      <c r="N807" t="s">
        <v>6</v>
      </c>
      <c r="O807" t="s">
        <v>3</v>
      </c>
      <c r="P807" t="s">
        <v>3</v>
      </c>
      <c r="Q807" t="s">
        <v>3</v>
      </c>
      <c r="R807" t="s">
        <v>3</v>
      </c>
      <c r="S807" t="s">
        <v>3</v>
      </c>
      <c r="T807" t="s">
        <v>7</v>
      </c>
      <c r="U807">
        <v>3</v>
      </c>
      <c r="V807">
        <v>1</v>
      </c>
      <c r="W807">
        <v>0</v>
      </c>
      <c r="X807">
        <v>0</v>
      </c>
      <c r="Y807">
        <v>0</v>
      </c>
      <c r="Z807" t="s">
        <v>15</v>
      </c>
      <c r="AA807" t="s">
        <v>4</v>
      </c>
      <c r="AB807" t="s">
        <v>6</v>
      </c>
      <c r="AC807" t="s">
        <v>7</v>
      </c>
      <c r="AD807" t="s">
        <v>8</v>
      </c>
      <c r="AE807" t="s">
        <v>6</v>
      </c>
      <c r="AF807" t="s">
        <v>3</v>
      </c>
      <c r="AG807" t="s">
        <v>3</v>
      </c>
      <c r="AH807" t="s">
        <v>3</v>
      </c>
      <c r="AI807" t="s">
        <v>3</v>
      </c>
      <c r="AJ807" t="s">
        <v>3</v>
      </c>
      <c r="AK807" t="s">
        <v>7</v>
      </c>
      <c r="AL807">
        <v>0</v>
      </c>
      <c r="AM807">
        <v>0</v>
      </c>
      <c r="AN807">
        <v>0</v>
      </c>
      <c r="AO807">
        <v>0</v>
      </c>
      <c r="AP807">
        <v>0</v>
      </c>
      <c r="AQ807" t="s">
        <v>9</v>
      </c>
      <c r="AR807" s="1">
        <v>2.08724421E-4</v>
      </c>
      <c r="AS807" s="1">
        <v>4.4764307900000004E-25</v>
      </c>
      <c r="AT807">
        <v>35</v>
      </c>
      <c r="AU807" t="s">
        <v>10</v>
      </c>
      <c r="AV807">
        <v>3</v>
      </c>
      <c r="AW807">
        <v>1</v>
      </c>
      <c r="AX807">
        <v>0</v>
      </c>
      <c r="AY807">
        <v>0</v>
      </c>
      <c r="AZ807">
        <v>0</v>
      </c>
      <c r="BA807" t="s">
        <v>15</v>
      </c>
      <c r="BB807" t="s">
        <v>4</v>
      </c>
      <c r="BC807" t="s">
        <v>10</v>
      </c>
      <c r="BD807">
        <v>0</v>
      </c>
      <c r="BE807">
        <v>0</v>
      </c>
      <c r="BF807">
        <v>0</v>
      </c>
      <c r="BG807">
        <v>0</v>
      </c>
      <c r="BH807">
        <v>0</v>
      </c>
      <c r="BI807" t="s">
        <v>9</v>
      </c>
      <c r="BJ807">
        <v>1.4673E-4</v>
      </c>
      <c r="BK807">
        <v>0</v>
      </c>
      <c r="BL807">
        <v>-1.4844000000000001E-4</v>
      </c>
      <c r="BM807" s="2">
        <f t="shared" si="12"/>
        <v>2.6957696498835231E-6</v>
      </c>
    </row>
    <row r="808" spans="1:65" x14ac:dyDescent="0.35">
      <c r="A808">
        <v>0</v>
      </c>
      <c r="B808" t="s">
        <v>11</v>
      </c>
      <c r="C808" t="s">
        <v>4</v>
      </c>
      <c r="D808">
        <v>0</v>
      </c>
      <c r="E808" t="s">
        <v>3</v>
      </c>
      <c r="F808" t="s">
        <v>5</v>
      </c>
      <c r="G808">
        <v>3483.9583400000001</v>
      </c>
      <c r="H808" t="s">
        <v>4</v>
      </c>
      <c r="I808">
        <v>990.16341899999998</v>
      </c>
      <c r="J808">
        <v>2493.7949210000002</v>
      </c>
      <c r="K808" t="s">
        <v>6</v>
      </c>
      <c r="L808" t="s">
        <v>7</v>
      </c>
      <c r="M808" t="s">
        <v>8</v>
      </c>
      <c r="N808" t="s">
        <v>6</v>
      </c>
      <c r="O808" t="s">
        <v>3</v>
      </c>
      <c r="P808" t="s">
        <v>3</v>
      </c>
      <c r="Q808" t="s">
        <v>3</v>
      </c>
      <c r="R808" t="s">
        <v>3</v>
      </c>
      <c r="S808" t="s">
        <v>11</v>
      </c>
      <c r="T808" t="s">
        <v>7</v>
      </c>
      <c r="U808">
        <v>0</v>
      </c>
      <c r="V808">
        <v>0</v>
      </c>
      <c r="W808">
        <v>0</v>
      </c>
      <c r="X808">
        <v>3</v>
      </c>
      <c r="Y808">
        <v>0</v>
      </c>
      <c r="Z808" t="s">
        <v>19</v>
      </c>
      <c r="AA808" t="s">
        <v>4</v>
      </c>
      <c r="AB808" t="s">
        <v>6</v>
      </c>
      <c r="AC808" t="s">
        <v>7</v>
      </c>
      <c r="AD808" t="s">
        <v>8</v>
      </c>
      <c r="AE808" t="s">
        <v>6</v>
      </c>
      <c r="AF808" t="s">
        <v>3</v>
      </c>
      <c r="AG808" t="s">
        <v>3</v>
      </c>
      <c r="AH808" t="s">
        <v>3</v>
      </c>
      <c r="AI808" t="s">
        <v>3</v>
      </c>
      <c r="AJ808" t="s">
        <v>3</v>
      </c>
      <c r="AK808" t="s">
        <v>7</v>
      </c>
      <c r="AL808">
        <v>0</v>
      </c>
      <c r="AM808">
        <v>0</v>
      </c>
      <c r="AN808">
        <v>0</v>
      </c>
      <c r="AO808">
        <v>0</v>
      </c>
      <c r="AP808">
        <v>0</v>
      </c>
      <c r="AQ808" t="s">
        <v>9</v>
      </c>
      <c r="AR808" s="1">
        <v>7.1671421199999999E-6</v>
      </c>
      <c r="AS808" s="1">
        <v>3.4416473600000002E-28</v>
      </c>
      <c r="AT808">
        <v>38</v>
      </c>
      <c r="AU808" t="s">
        <v>10</v>
      </c>
      <c r="AV808">
        <v>0</v>
      </c>
      <c r="AW808">
        <v>0</v>
      </c>
      <c r="AX808">
        <v>0</v>
      </c>
      <c r="AY808">
        <v>3</v>
      </c>
      <c r="AZ808">
        <v>0</v>
      </c>
      <c r="BA808" t="s">
        <v>19</v>
      </c>
      <c r="BB808" t="s">
        <v>4</v>
      </c>
      <c r="BC808" t="s">
        <v>10</v>
      </c>
      <c r="BD808">
        <v>0</v>
      </c>
      <c r="BE808">
        <v>0</v>
      </c>
      <c r="BF808">
        <v>0</v>
      </c>
      <c r="BG808">
        <v>0</v>
      </c>
      <c r="BH808">
        <v>0</v>
      </c>
      <c r="BI808" t="s">
        <v>9</v>
      </c>
      <c r="BJ808">
        <v>0</v>
      </c>
      <c r="BK808">
        <v>-7.17E-6</v>
      </c>
      <c r="BL808">
        <v>0</v>
      </c>
      <c r="BM808" s="2">
        <f t="shared" si="12"/>
        <v>2.0726084985868288E-9</v>
      </c>
    </row>
    <row r="809" spans="1:65" x14ac:dyDescent="0.35">
      <c r="A809">
        <v>0</v>
      </c>
      <c r="B809" t="s">
        <v>3</v>
      </c>
      <c r="C809" t="s">
        <v>4</v>
      </c>
      <c r="D809">
        <v>0</v>
      </c>
      <c r="E809" t="s">
        <v>3</v>
      </c>
      <c r="F809" t="s">
        <v>5</v>
      </c>
      <c r="G809">
        <v>3876.1413739999998</v>
      </c>
      <c r="H809" t="s">
        <v>4</v>
      </c>
      <c r="I809">
        <v>990.16341899999998</v>
      </c>
      <c r="J809">
        <v>2885.9779549999998</v>
      </c>
      <c r="K809" t="s">
        <v>6</v>
      </c>
      <c r="L809" t="s">
        <v>7</v>
      </c>
      <c r="M809" t="s">
        <v>8</v>
      </c>
      <c r="N809" t="s">
        <v>6</v>
      </c>
      <c r="O809" t="s">
        <v>3</v>
      </c>
      <c r="P809" t="s">
        <v>3</v>
      </c>
      <c r="Q809" t="s">
        <v>3</v>
      </c>
      <c r="R809" t="s">
        <v>3</v>
      </c>
      <c r="S809" t="s">
        <v>3</v>
      </c>
      <c r="T809" t="s">
        <v>7</v>
      </c>
      <c r="U809">
        <v>0</v>
      </c>
      <c r="V809">
        <v>0</v>
      </c>
      <c r="W809">
        <v>0</v>
      </c>
      <c r="X809">
        <v>2</v>
      </c>
      <c r="Y809">
        <v>1</v>
      </c>
      <c r="Z809" t="s">
        <v>24</v>
      </c>
      <c r="AA809" t="s">
        <v>4</v>
      </c>
      <c r="AB809" t="s">
        <v>6</v>
      </c>
      <c r="AC809" t="s">
        <v>7</v>
      </c>
      <c r="AD809" t="s">
        <v>8</v>
      </c>
      <c r="AE809" t="s">
        <v>6</v>
      </c>
      <c r="AF809" t="s">
        <v>3</v>
      </c>
      <c r="AG809" t="s">
        <v>3</v>
      </c>
      <c r="AH809" t="s">
        <v>3</v>
      </c>
      <c r="AI809" t="s">
        <v>3</v>
      </c>
      <c r="AJ809" t="s">
        <v>3</v>
      </c>
      <c r="AK809" t="s">
        <v>7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9</v>
      </c>
      <c r="AR809" s="1">
        <v>2.96006299E-5</v>
      </c>
      <c r="AS809" s="1">
        <v>6.7937676899999993E-27</v>
      </c>
      <c r="AT809">
        <v>33</v>
      </c>
      <c r="AU809" t="s">
        <v>10</v>
      </c>
      <c r="AV809">
        <v>0</v>
      </c>
      <c r="AW809">
        <v>0</v>
      </c>
      <c r="AX809">
        <v>0</v>
      </c>
      <c r="AY809">
        <v>2</v>
      </c>
      <c r="AZ809">
        <v>1</v>
      </c>
      <c r="BA809" t="s">
        <v>24</v>
      </c>
      <c r="BB809" t="s">
        <v>4</v>
      </c>
      <c r="BC809" t="s">
        <v>10</v>
      </c>
      <c r="BD809">
        <v>0</v>
      </c>
      <c r="BE809">
        <v>0</v>
      </c>
      <c r="BF809">
        <v>0</v>
      </c>
      <c r="BG809">
        <v>0</v>
      </c>
      <c r="BH809">
        <v>0</v>
      </c>
      <c r="BI809" t="s">
        <v>9</v>
      </c>
      <c r="BJ809">
        <v>2.8989999999999999E-5</v>
      </c>
      <c r="BK809">
        <v>0</v>
      </c>
      <c r="BL809">
        <v>-5.9699999999999996E-6</v>
      </c>
      <c r="BM809" s="2">
        <f t="shared" si="12"/>
        <v>4.0913025591670747E-8</v>
      </c>
    </row>
    <row r="810" spans="1:65" x14ac:dyDescent="0.35">
      <c r="A810">
        <v>0</v>
      </c>
      <c r="B810" t="s">
        <v>11</v>
      </c>
      <c r="C810" t="s">
        <v>4</v>
      </c>
      <c r="D810">
        <v>0</v>
      </c>
      <c r="E810" t="s">
        <v>3</v>
      </c>
      <c r="F810" t="s">
        <v>5</v>
      </c>
      <c r="G810">
        <v>3580.0757939999999</v>
      </c>
      <c r="H810" t="s">
        <v>4</v>
      </c>
      <c r="I810">
        <v>990.16341899999998</v>
      </c>
      <c r="J810">
        <v>2589.9123749999999</v>
      </c>
      <c r="K810" t="s">
        <v>6</v>
      </c>
      <c r="L810" t="s">
        <v>7</v>
      </c>
      <c r="M810" t="s">
        <v>8</v>
      </c>
      <c r="N810" t="s">
        <v>6</v>
      </c>
      <c r="O810" t="s">
        <v>3</v>
      </c>
      <c r="P810" t="s">
        <v>3</v>
      </c>
      <c r="Q810" t="s">
        <v>3</v>
      </c>
      <c r="R810" t="s">
        <v>3</v>
      </c>
      <c r="S810" t="s">
        <v>11</v>
      </c>
      <c r="T810" t="s">
        <v>7</v>
      </c>
      <c r="U810">
        <v>0</v>
      </c>
      <c r="V810">
        <v>0</v>
      </c>
      <c r="W810">
        <v>0</v>
      </c>
      <c r="X810">
        <v>4</v>
      </c>
      <c r="Y810">
        <v>0</v>
      </c>
      <c r="Z810" t="s">
        <v>14</v>
      </c>
      <c r="AA810" t="s">
        <v>4</v>
      </c>
      <c r="AB810" t="s">
        <v>6</v>
      </c>
      <c r="AC810" t="s">
        <v>7</v>
      </c>
      <c r="AD810" t="s">
        <v>8</v>
      </c>
      <c r="AE810" t="s">
        <v>6</v>
      </c>
      <c r="AF810" t="s">
        <v>3</v>
      </c>
      <c r="AG810" t="s">
        <v>3</v>
      </c>
      <c r="AH810" t="s">
        <v>3</v>
      </c>
      <c r="AI810" t="s">
        <v>3</v>
      </c>
      <c r="AJ810" t="s">
        <v>3</v>
      </c>
      <c r="AK810" t="s">
        <v>7</v>
      </c>
      <c r="AL810">
        <v>0</v>
      </c>
      <c r="AM810">
        <v>0</v>
      </c>
      <c r="AN810">
        <v>0</v>
      </c>
      <c r="AO810">
        <v>0</v>
      </c>
      <c r="AP810">
        <v>0</v>
      </c>
      <c r="AQ810" t="s">
        <v>9</v>
      </c>
      <c r="AR810" s="1">
        <v>8.3950150999999994E-6</v>
      </c>
      <c r="AS810" s="1">
        <v>4.9039110600000001E-28</v>
      </c>
      <c r="AT810">
        <v>33</v>
      </c>
      <c r="AU810" t="s">
        <v>10</v>
      </c>
      <c r="AV810">
        <v>0</v>
      </c>
      <c r="AW810">
        <v>0</v>
      </c>
      <c r="AX810">
        <v>0</v>
      </c>
      <c r="AY810">
        <v>4</v>
      </c>
      <c r="AZ810">
        <v>0</v>
      </c>
      <c r="BA810" t="s">
        <v>14</v>
      </c>
      <c r="BB810" t="s">
        <v>4</v>
      </c>
      <c r="BC810" t="s">
        <v>10</v>
      </c>
      <c r="BD810">
        <v>0</v>
      </c>
      <c r="BE810">
        <v>0</v>
      </c>
      <c r="BF810">
        <v>0</v>
      </c>
      <c r="BG810">
        <v>0</v>
      </c>
      <c r="BH810">
        <v>0</v>
      </c>
      <c r="BI810" t="s">
        <v>9</v>
      </c>
      <c r="BJ810">
        <v>0</v>
      </c>
      <c r="BK810">
        <v>-8.3999999999999992E-6</v>
      </c>
      <c r="BL810">
        <v>0</v>
      </c>
      <c r="BM810" s="2">
        <f t="shared" si="12"/>
        <v>2.9532042873997242E-9</v>
      </c>
    </row>
    <row r="811" spans="1:65" x14ac:dyDescent="0.35">
      <c r="A811">
        <v>0</v>
      </c>
      <c r="B811" t="s">
        <v>11</v>
      </c>
      <c r="C811" t="s">
        <v>4</v>
      </c>
      <c r="D811">
        <v>0</v>
      </c>
      <c r="E811" t="s">
        <v>3</v>
      </c>
      <c r="F811" t="s">
        <v>5</v>
      </c>
      <c r="G811">
        <v>3093.2505980000001</v>
      </c>
      <c r="H811" t="s">
        <v>4</v>
      </c>
      <c r="I811">
        <v>990.16341899999998</v>
      </c>
      <c r="J811">
        <v>2103.0871790000001</v>
      </c>
      <c r="K811" t="s">
        <v>6</v>
      </c>
      <c r="L811" t="s">
        <v>7</v>
      </c>
      <c r="M811" t="s">
        <v>8</v>
      </c>
      <c r="N811" t="s">
        <v>6</v>
      </c>
      <c r="O811" t="s">
        <v>3</v>
      </c>
      <c r="P811" t="s">
        <v>3</v>
      </c>
      <c r="Q811" t="s">
        <v>3</v>
      </c>
      <c r="R811" t="s">
        <v>3</v>
      </c>
      <c r="S811" t="s">
        <v>11</v>
      </c>
      <c r="T811" t="s">
        <v>7</v>
      </c>
      <c r="U811">
        <v>1</v>
      </c>
      <c r="V811">
        <v>0</v>
      </c>
      <c r="W811">
        <v>0</v>
      </c>
      <c r="X811">
        <v>0</v>
      </c>
      <c r="Y811">
        <v>0</v>
      </c>
      <c r="Z811" t="s">
        <v>12</v>
      </c>
      <c r="AA811" t="s">
        <v>4</v>
      </c>
      <c r="AB811" t="s">
        <v>6</v>
      </c>
      <c r="AC811" t="s">
        <v>7</v>
      </c>
      <c r="AD811" t="s">
        <v>8</v>
      </c>
      <c r="AE811" t="s">
        <v>6</v>
      </c>
      <c r="AF811" t="s">
        <v>3</v>
      </c>
      <c r="AG811" t="s">
        <v>3</v>
      </c>
      <c r="AH811" t="s">
        <v>3</v>
      </c>
      <c r="AI811" t="s">
        <v>3</v>
      </c>
      <c r="AJ811" t="s">
        <v>3</v>
      </c>
      <c r="AK811" t="s">
        <v>7</v>
      </c>
      <c r="AL811">
        <v>0</v>
      </c>
      <c r="AM811">
        <v>0</v>
      </c>
      <c r="AN811">
        <v>0</v>
      </c>
      <c r="AO811">
        <v>0</v>
      </c>
      <c r="AP811">
        <v>0</v>
      </c>
      <c r="AQ811" t="s">
        <v>9</v>
      </c>
      <c r="AR811" s="1">
        <v>1.9048559000000001E-3</v>
      </c>
      <c r="AS811" s="1">
        <v>2.0501271100000001E-23</v>
      </c>
      <c r="AT811">
        <v>35</v>
      </c>
      <c r="AU811" t="s">
        <v>10</v>
      </c>
      <c r="AV811">
        <v>1</v>
      </c>
      <c r="AW811">
        <v>0</v>
      </c>
      <c r="AX811">
        <v>0</v>
      </c>
      <c r="AY811">
        <v>0</v>
      </c>
      <c r="AZ811">
        <v>0</v>
      </c>
      <c r="BA811" t="s">
        <v>12</v>
      </c>
      <c r="BB811" t="s">
        <v>4</v>
      </c>
      <c r="BC811" t="s">
        <v>10</v>
      </c>
      <c r="BD811">
        <v>0</v>
      </c>
      <c r="BE811">
        <v>0</v>
      </c>
      <c r="BF811">
        <v>0</v>
      </c>
      <c r="BG811">
        <v>0</v>
      </c>
      <c r="BH811">
        <v>0</v>
      </c>
      <c r="BI811" t="s">
        <v>9</v>
      </c>
      <c r="BJ811">
        <v>0</v>
      </c>
      <c r="BK811">
        <v>-1.90486E-3</v>
      </c>
      <c r="BL811">
        <v>0</v>
      </c>
      <c r="BM811" s="2">
        <f t="shared" si="12"/>
        <v>1.2346154114317088E-4</v>
      </c>
    </row>
    <row r="812" spans="1:65" x14ac:dyDescent="0.35">
      <c r="A812">
        <v>0</v>
      </c>
      <c r="B812" t="s">
        <v>3</v>
      </c>
      <c r="C812" t="s">
        <v>4</v>
      </c>
      <c r="D812">
        <v>0</v>
      </c>
      <c r="E812" t="s">
        <v>3</v>
      </c>
      <c r="F812" t="s">
        <v>5</v>
      </c>
      <c r="G812">
        <v>2524.0417809999999</v>
      </c>
      <c r="H812" t="s">
        <v>4</v>
      </c>
      <c r="I812">
        <v>990.16341899999998</v>
      </c>
      <c r="J812">
        <v>1533.8783619999999</v>
      </c>
      <c r="K812" t="s">
        <v>6</v>
      </c>
      <c r="L812" t="s">
        <v>7</v>
      </c>
      <c r="M812" t="s">
        <v>8</v>
      </c>
      <c r="N812" t="s">
        <v>6</v>
      </c>
      <c r="O812" t="s">
        <v>3</v>
      </c>
      <c r="P812" t="s">
        <v>3</v>
      </c>
      <c r="Q812" t="s">
        <v>3</v>
      </c>
      <c r="R812" t="s">
        <v>3</v>
      </c>
      <c r="S812" t="s">
        <v>3</v>
      </c>
      <c r="T812" t="s">
        <v>7</v>
      </c>
      <c r="U812">
        <v>2</v>
      </c>
      <c r="V812">
        <v>0</v>
      </c>
      <c r="W812">
        <v>0</v>
      </c>
      <c r="X812">
        <v>0</v>
      </c>
      <c r="Y812">
        <v>1</v>
      </c>
      <c r="Z812" t="s">
        <v>8</v>
      </c>
      <c r="AA812" t="s">
        <v>4</v>
      </c>
      <c r="AB812" t="s">
        <v>6</v>
      </c>
      <c r="AC812" t="s">
        <v>7</v>
      </c>
      <c r="AD812" t="s">
        <v>8</v>
      </c>
      <c r="AE812" t="s">
        <v>6</v>
      </c>
      <c r="AF812" t="s">
        <v>3</v>
      </c>
      <c r="AG812" t="s">
        <v>3</v>
      </c>
      <c r="AH812" t="s">
        <v>3</v>
      </c>
      <c r="AI812" t="s">
        <v>3</v>
      </c>
      <c r="AJ812" t="s">
        <v>3</v>
      </c>
      <c r="AK812" t="s">
        <v>7</v>
      </c>
      <c r="AL812">
        <v>0</v>
      </c>
      <c r="AM812">
        <v>0</v>
      </c>
      <c r="AN812">
        <v>0</v>
      </c>
      <c r="AO812">
        <v>0</v>
      </c>
      <c r="AP812">
        <v>0</v>
      </c>
      <c r="AQ812" t="s">
        <v>9</v>
      </c>
      <c r="AR812" s="1">
        <v>7.4235337299999999E-4</v>
      </c>
      <c r="AS812" s="1">
        <v>2.2696788799999999E-24</v>
      </c>
      <c r="AT812">
        <v>33</v>
      </c>
      <c r="AU812" t="s">
        <v>10</v>
      </c>
      <c r="AV812">
        <v>2</v>
      </c>
      <c r="AW812">
        <v>0</v>
      </c>
      <c r="AX812">
        <v>0</v>
      </c>
      <c r="AY812">
        <v>0</v>
      </c>
      <c r="AZ812">
        <v>1</v>
      </c>
      <c r="BA812" t="s">
        <v>8</v>
      </c>
      <c r="BB812" t="s">
        <v>4</v>
      </c>
      <c r="BC812" t="s">
        <v>10</v>
      </c>
      <c r="BD812">
        <v>0</v>
      </c>
      <c r="BE812">
        <v>0</v>
      </c>
      <c r="BF812">
        <v>0</v>
      </c>
      <c r="BG812">
        <v>0</v>
      </c>
      <c r="BH812">
        <v>0</v>
      </c>
      <c r="BI812" t="s">
        <v>9</v>
      </c>
      <c r="BJ812">
        <v>4.367E-5</v>
      </c>
      <c r="BK812">
        <v>0</v>
      </c>
      <c r="BL812">
        <v>-7.4107000000000003E-4</v>
      </c>
      <c r="BM812" s="2">
        <f t="shared" si="12"/>
        <v>1.3668325786146302E-5</v>
      </c>
    </row>
    <row r="813" spans="1:65" x14ac:dyDescent="0.35">
      <c r="A813">
        <v>0</v>
      </c>
      <c r="B813" t="s">
        <v>11</v>
      </c>
      <c r="C813" t="s">
        <v>4</v>
      </c>
      <c r="D813">
        <v>0</v>
      </c>
      <c r="E813" t="s">
        <v>3</v>
      </c>
      <c r="F813" t="s">
        <v>5</v>
      </c>
      <c r="G813">
        <v>3959.8818409999999</v>
      </c>
      <c r="H813" t="s">
        <v>4</v>
      </c>
      <c r="I813">
        <v>990.16341899999998</v>
      </c>
      <c r="J813">
        <v>2969.7184219999999</v>
      </c>
      <c r="K813" t="s">
        <v>6</v>
      </c>
      <c r="L813" t="s">
        <v>7</v>
      </c>
      <c r="M813" t="s">
        <v>8</v>
      </c>
      <c r="N813" t="s">
        <v>6</v>
      </c>
      <c r="O813" t="s">
        <v>3</v>
      </c>
      <c r="P813" t="s">
        <v>3</v>
      </c>
      <c r="Q813" t="s">
        <v>3</v>
      </c>
      <c r="R813" t="s">
        <v>3</v>
      </c>
      <c r="S813" t="s">
        <v>11</v>
      </c>
      <c r="T813" t="s">
        <v>7</v>
      </c>
      <c r="U813">
        <v>0</v>
      </c>
      <c r="V813">
        <v>0</v>
      </c>
      <c r="W813">
        <v>0</v>
      </c>
      <c r="X813">
        <v>2</v>
      </c>
      <c r="Y813">
        <v>1</v>
      </c>
      <c r="Z813" t="s">
        <v>19</v>
      </c>
      <c r="AA813" t="s">
        <v>4</v>
      </c>
      <c r="AB813" t="s">
        <v>6</v>
      </c>
      <c r="AC813" t="s">
        <v>7</v>
      </c>
      <c r="AD813" t="s">
        <v>8</v>
      </c>
      <c r="AE813" t="s">
        <v>6</v>
      </c>
      <c r="AF813" t="s">
        <v>3</v>
      </c>
      <c r="AG813" t="s">
        <v>3</v>
      </c>
      <c r="AH813" t="s">
        <v>3</v>
      </c>
      <c r="AI813" t="s">
        <v>3</v>
      </c>
      <c r="AJ813" t="s">
        <v>3</v>
      </c>
      <c r="AK813" t="s">
        <v>7</v>
      </c>
      <c r="AL813">
        <v>0</v>
      </c>
      <c r="AM813">
        <v>0</v>
      </c>
      <c r="AN813">
        <v>0</v>
      </c>
      <c r="AO813">
        <v>0</v>
      </c>
      <c r="AP813">
        <v>0</v>
      </c>
      <c r="AQ813" t="s">
        <v>9</v>
      </c>
      <c r="AR813" s="1">
        <v>6.3427089199999994E-5</v>
      </c>
      <c r="AS813" s="1">
        <v>3.20982046E-26</v>
      </c>
      <c r="AT813">
        <v>33</v>
      </c>
      <c r="AU813" t="s">
        <v>10</v>
      </c>
      <c r="AV813">
        <v>0</v>
      </c>
      <c r="AW813">
        <v>0</v>
      </c>
      <c r="AX813">
        <v>0</v>
      </c>
      <c r="AY813">
        <v>2</v>
      </c>
      <c r="AZ813">
        <v>1</v>
      </c>
      <c r="BA813" t="s">
        <v>19</v>
      </c>
      <c r="BB813" t="s">
        <v>4</v>
      </c>
      <c r="BC813" t="s">
        <v>10</v>
      </c>
      <c r="BD813">
        <v>0</v>
      </c>
      <c r="BE813">
        <v>0</v>
      </c>
      <c r="BF813">
        <v>0</v>
      </c>
      <c r="BG813">
        <v>0</v>
      </c>
      <c r="BH813">
        <v>0</v>
      </c>
      <c r="BI813" t="s">
        <v>9</v>
      </c>
      <c r="BJ813">
        <v>0</v>
      </c>
      <c r="BK813">
        <v>-6.3429999999999994E-5</v>
      </c>
      <c r="BL813">
        <v>0</v>
      </c>
      <c r="BM813" s="2">
        <f t="shared" si="12"/>
        <v>1.9329990752840768E-7</v>
      </c>
    </row>
    <row r="814" spans="1:65" x14ac:dyDescent="0.35">
      <c r="A814">
        <v>0</v>
      </c>
      <c r="B814" t="s">
        <v>11</v>
      </c>
      <c r="C814" t="s">
        <v>4</v>
      </c>
      <c r="D814">
        <v>0</v>
      </c>
      <c r="E814" t="s">
        <v>3</v>
      </c>
      <c r="F814" t="s">
        <v>5</v>
      </c>
      <c r="G814">
        <v>4700.9300990000002</v>
      </c>
      <c r="H814" t="s">
        <v>4</v>
      </c>
      <c r="I814">
        <v>990.16341899999998</v>
      </c>
      <c r="J814">
        <v>3710.7666800000002</v>
      </c>
      <c r="K814" t="s">
        <v>6</v>
      </c>
      <c r="L814" t="s">
        <v>7</v>
      </c>
      <c r="M814" t="s">
        <v>8</v>
      </c>
      <c r="N814" t="s">
        <v>6</v>
      </c>
      <c r="O814" t="s">
        <v>3</v>
      </c>
      <c r="P814" t="s">
        <v>3</v>
      </c>
      <c r="Q814" t="s">
        <v>3</v>
      </c>
      <c r="R814" t="s">
        <v>3</v>
      </c>
      <c r="S814" t="s">
        <v>11</v>
      </c>
      <c r="T814" t="s">
        <v>7</v>
      </c>
      <c r="U814">
        <v>1</v>
      </c>
      <c r="V814">
        <v>1</v>
      </c>
      <c r="W814">
        <v>0</v>
      </c>
      <c r="X814">
        <v>0</v>
      </c>
      <c r="Y814">
        <v>1</v>
      </c>
      <c r="Z814" t="s">
        <v>13</v>
      </c>
      <c r="AA814" t="s">
        <v>4</v>
      </c>
      <c r="AB814" t="s">
        <v>6</v>
      </c>
      <c r="AC814" t="s">
        <v>7</v>
      </c>
      <c r="AD814" t="s">
        <v>8</v>
      </c>
      <c r="AE814" t="s">
        <v>6</v>
      </c>
      <c r="AF814" t="s">
        <v>3</v>
      </c>
      <c r="AG814" t="s">
        <v>3</v>
      </c>
      <c r="AH814" t="s">
        <v>3</v>
      </c>
      <c r="AI814" t="s">
        <v>3</v>
      </c>
      <c r="AJ814" t="s">
        <v>3</v>
      </c>
      <c r="AK814" t="s">
        <v>7</v>
      </c>
      <c r="AL814">
        <v>0</v>
      </c>
      <c r="AM814">
        <v>0</v>
      </c>
      <c r="AN814">
        <v>0</v>
      </c>
      <c r="AO814">
        <v>0</v>
      </c>
      <c r="AP814">
        <v>0</v>
      </c>
      <c r="AQ814" t="s">
        <v>9</v>
      </c>
      <c r="AR814" s="1">
        <v>9.2197186400000007E-6</v>
      </c>
      <c r="AS814" s="1">
        <v>8.4745206100000006E-28</v>
      </c>
      <c r="AT814">
        <v>34</v>
      </c>
      <c r="AU814" t="s">
        <v>10</v>
      </c>
      <c r="AV814">
        <v>1</v>
      </c>
      <c r="AW814">
        <v>1</v>
      </c>
      <c r="AX814">
        <v>0</v>
      </c>
      <c r="AY814">
        <v>0</v>
      </c>
      <c r="AZ814">
        <v>1</v>
      </c>
      <c r="BA814" t="s">
        <v>13</v>
      </c>
      <c r="BB814" t="s">
        <v>4</v>
      </c>
      <c r="BC814" t="s">
        <v>10</v>
      </c>
      <c r="BD814">
        <v>0</v>
      </c>
      <c r="BE814">
        <v>0</v>
      </c>
      <c r="BF814">
        <v>0</v>
      </c>
      <c r="BG814">
        <v>0</v>
      </c>
      <c r="BH814">
        <v>0</v>
      </c>
      <c r="BI814" t="s">
        <v>9</v>
      </c>
      <c r="BJ814">
        <v>0</v>
      </c>
      <c r="BK814">
        <v>9.2199999999999998E-6</v>
      </c>
      <c r="BL814">
        <v>0</v>
      </c>
      <c r="BM814" s="2">
        <f t="shared" si="12"/>
        <v>5.1034756325921888E-9</v>
      </c>
    </row>
    <row r="815" spans="1:65" x14ac:dyDescent="0.35">
      <c r="A815">
        <v>0</v>
      </c>
      <c r="B815" t="s">
        <v>3</v>
      </c>
      <c r="C815" t="s">
        <v>4</v>
      </c>
      <c r="D815">
        <v>0</v>
      </c>
      <c r="E815" t="s">
        <v>3</v>
      </c>
      <c r="F815" t="s">
        <v>5</v>
      </c>
      <c r="G815">
        <v>4931.7069419999998</v>
      </c>
      <c r="H815" t="s">
        <v>4</v>
      </c>
      <c r="I815">
        <v>990.16341899999998</v>
      </c>
      <c r="J815">
        <v>3941.5435229999998</v>
      </c>
      <c r="K815" t="s">
        <v>6</v>
      </c>
      <c r="L815" t="s">
        <v>7</v>
      </c>
      <c r="M815" t="s">
        <v>8</v>
      </c>
      <c r="N815" t="s">
        <v>6</v>
      </c>
      <c r="O815" t="s">
        <v>3</v>
      </c>
      <c r="P815" t="s">
        <v>3</v>
      </c>
      <c r="Q815" t="s">
        <v>3</v>
      </c>
      <c r="R815" t="s">
        <v>3</v>
      </c>
      <c r="S815" t="s">
        <v>3</v>
      </c>
      <c r="T815" t="s">
        <v>7</v>
      </c>
      <c r="U815">
        <v>1</v>
      </c>
      <c r="V815">
        <v>0</v>
      </c>
      <c r="W815">
        <v>0</v>
      </c>
      <c r="X815">
        <v>3</v>
      </c>
      <c r="Y815">
        <v>0</v>
      </c>
      <c r="Z815" t="s">
        <v>22</v>
      </c>
      <c r="AA815" t="s">
        <v>4</v>
      </c>
      <c r="AB815" t="s">
        <v>6</v>
      </c>
      <c r="AC815" t="s">
        <v>7</v>
      </c>
      <c r="AD815" t="s">
        <v>8</v>
      </c>
      <c r="AE815" t="s">
        <v>6</v>
      </c>
      <c r="AF815" t="s">
        <v>3</v>
      </c>
      <c r="AG815" t="s">
        <v>3</v>
      </c>
      <c r="AH815" t="s">
        <v>3</v>
      </c>
      <c r="AI815" t="s">
        <v>3</v>
      </c>
      <c r="AJ815" t="s">
        <v>3</v>
      </c>
      <c r="AK815" t="s">
        <v>7</v>
      </c>
      <c r="AL815">
        <v>0</v>
      </c>
      <c r="AM815">
        <v>0</v>
      </c>
      <c r="AN815">
        <v>0</v>
      </c>
      <c r="AO815">
        <v>0</v>
      </c>
      <c r="AP815">
        <v>0</v>
      </c>
      <c r="AQ815" t="s">
        <v>9</v>
      </c>
      <c r="AR815" s="1">
        <v>4.8573354499999997E-5</v>
      </c>
      <c r="AS815" s="1">
        <v>2.4984961300000001E-26</v>
      </c>
      <c r="AT815">
        <v>35</v>
      </c>
      <c r="AU815" t="s">
        <v>10</v>
      </c>
      <c r="AV815">
        <v>1</v>
      </c>
      <c r="AW815">
        <v>0</v>
      </c>
      <c r="AX815">
        <v>0</v>
      </c>
      <c r="AY815">
        <v>3</v>
      </c>
      <c r="AZ815">
        <v>0</v>
      </c>
      <c r="BA815" t="s">
        <v>22</v>
      </c>
      <c r="BB815" t="s">
        <v>4</v>
      </c>
      <c r="BC815" t="s">
        <v>10</v>
      </c>
      <c r="BD815">
        <v>0</v>
      </c>
      <c r="BE815">
        <v>0</v>
      </c>
      <c r="BF815">
        <v>0</v>
      </c>
      <c r="BG815">
        <v>0</v>
      </c>
      <c r="BH815">
        <v>0</v>
      </c>
      <c r="BI815" t="s">
        <v>9</v>
      </c>
      <c r="BJ815">
        <v>-3.2419999999999998E-5</v>
      </c>
      <c r="BK815">
        <v>0</v>
      </c>
      <c r="BL815">
        <v>3.6170000000000001E-5</v>
      </c>
      <c r="BM815" s="2">
        <f t="shared" si="12"/>
        <v>1.5046295483115106E-7</v>
      </c>
    </row>
    <row r="816" spans="1:65" x14ac:dyDescent="0.35">
      <c r="A816">
        <v>0</v>
      </c>
      <c r="B816" t="s">
        <v>3</v>
      </c>
      <c r="C816" t="s">
        <v>4</v>
      </c>
      <c r="D816">
        <v>0</v>
      </c>
      <c r="E816" t="s">
        <v>3</v>
      </c>
      <c r="F816" t="s">
        <v>5</v>
      </c>
      <c r="G816">
        <v>3321.1627720000001</v>
      </c>
      <c r="H816" t="s">
        <v>4</v>
      </c>
      <c r="I816">
        <v>990.16341899999998</v>
      </c>
      <c r="J816">
        <v>2330.9993530000002</v>
      </c>
      <c r="K816" t="s">
        <v>6</v>
      </c>
      <c r="L816" t="s">
        <v>7</v>
      </c>
      <c r="M816" t="s">
        <v>8</v>
      </c>
      <c r="N816" t="s">
        <v>6</v>
      </c>
      <c r="O816" t="s">
        <v>3</v>
      </c>
      <c r="P816" t="s">
        <v>3</v>
      </c>
      <c r="Q816" t="s">
        <v>3</v>
      </c>
      <c r="R816" t="s">
        <v>3</v>
      </c>
      <c r="S816" t="s">
        <v>3</v>
      </c>
      <c r="T816" t="s">
        <v>7</v>
      </c>
      <c r="U816">
        <v>0</v>
      </c>
      <c r="V816">
        <v>0</v>
      </c>
      <c r="W816">
        <v>0</v>
      </c>
      <c r="X816">
        <v>8</v>
      </c>
      <c r="Y816">
        <v>0</v>
      </c>
      <c r="Z816" t="s">
        <v>8</v>
      </c>
      <c r="AA816" t="s">
        <v>4</v>
      </c>
      <c r="AB816" t="s">
        <v>6</v>
      </c>
      <c r="AC816" t="s">
        <v>7</v>
      </c>
      <c r="AD816" t="s">
        <v>8</v>
      </c>
      <c r="AE816" t="s">
        <v>6</v>
      </c>
      <c r="AF816" t="s">
        <v>3</v>
      </c>
      <c r="AG816" t="s">
        <v>3</v>
      </c>
      <c r="AH816" t="s">
        <v>3</v>
      </c>
      <c r="AI816" t="s">
        <v>3</v>
      </c>
      <c r="AJ816" t="s">
        <v>3</v>
      </c>
      <c r="AK816" t="s">
        <v>7</v>
      </c>
      <c r="AL816">
        <v>0</v>
      </c>
      <c r="AM816">
        <v>0</v>
      </c>
      <c r="AN816">
        <v>0</v>
      </c>
      <c r="AO816">
        <v>0</v>
      </c>
      <c r="AP816">
        <v>0</v>
      </c>
      <c r="AQ816" t="s">
        <v>9</v>
      </c>
      <c r="AR816" s="1">
        <v>9.3388696500000003E-6</v>
      </c>
      <c r="AS816" s="1">
        <v>5.4618694899999998E-28</v>
      </c>
      <c r="AT816">
        <v>38</v>
      </c>
      <c r="AU816" t="s">
        <v>10</v>
      </c>
      <c r="AV816">
        <v>0</v>
      </c>
      <c r="AW816">
        <v>0</v>
      </c>
      <c r="AX816">
        <v>0</v>
      </c>
      <c r="AY816">
        <v>8</v>
      </c>
      <c r="AZ816">
        <v>0</v>
      </c>
      <c r="BA816" t="s">
        <v>8</v>
      </c>
      <c r="BB816" t="s">
        <v>4</v>
      </c>
      <c r="BC816" t="s">
        <v>10</v>
      </c>
      <c r="BD816">
        <v>0</v>
      </c>
      <c r="BE816">
        <v>0</v>
      </c>
      <c r="BF816">
        <v>0</v>
      </c>
      <c r="BG816">
        <v>0</v>
      </c>
      <c r="BH816">
        <v>0</v>
      </c>
      <c r="BI816" t="s">
        <v>9</v>
      </c>
      <c r="BJ816">
        <v>-9.02E-6</v>
      </c>
      <c r="BK816">
        <v>0</v>
      </c>
      <c r="BL816">
        <v>2.4200000000000001E-6</v>
      </c>
      <c r="BM816" s="2">
        <f t="shared" si="12"/>
        <v>3.2892147100004191E-9</v>
      </c>
    </row>
    <row r="817" spans="1:65" x14ac:dyDescent="0.35">
      <c r="A817">
        <v>0</v>
      </c>
      <c r="B817" t="s">
        <v>3</v>
      </c>
      <c r="C817" t="s">
        <v>4</v>
      </c>
      <c r="D817">
        <v>0</v>
      </c>
      <c r="E817" t="s">
        <v>3</v>
      </c>
      <c r="F817" t="s">
        <v>5</v>
      </c>
      <c r="G817">
        <v>2828.5592139999999</v>
      </c>
      <c r="H817" t="s">
        <v>4</v>
      </c>
      <c r="I817">
        <v>990.16341899999998</v>
      </c>
      <c r="J817">
        <v>1838.3957949999999</v>
      </c>
      <c r="K817" t="s">
        <v>6</v>
      </c>
      <c r="L817" t="s">
        <v>7</v>
      </c>
      <c r="M817" t="s">
        <v>8</v>
      </c>
      <c r="N817" t="s">
        <v>6</v>
      </c>
      <c r="O817" t="s">
        <v>3</v>
      </c>
      <c r="P817" t="s">
        <v>3</v>
      </c>
      <c r="Q817" t="s">
        <v>3</v>
      </c>
      <c r="R817" t="s">
        <v>3</v>
      </c>
      <c r="S817" t="s">
        <v>3</v>
      </c>
      <c r="T817" t="s">
        <v>7</v>
      </c>
      <c r="U817">
        <v>0</v>
      </c>
      <c r="V817">
        <v>1</v>
      </c>
      <c r="W817">
        <v>0</v>
      </c>
      <c r="X817">
        <v>4</v>
      </c>
      <c r="Y817">
        <v>0</v>
      </c>
      <c r="Z817" t="s">
        <v>8</v>
      </c>
      <c r="AA817" t="s">
        <v>4</v>
      </c>
      <c r="AB817" t="s">
        <v>6</v>
      </c>
      <c r="AC817" t="s">
        <v>7</v>
      </c>
      <c r="AD817" t="s">
        <v>8</v>
      </c>
      <c r="AE817" t="s">
        <v>6</v>
      </c>
      <c r="AF817" t="s">
        <v>3</v>
      </c>
      <c r="AG817" t="s">
        <v>3</v>
      </c>
      <c r="AH817" t="s">
        <v>3</v>
      </c>
      <c r="AI817" t="s">
        <v>3</v>
      </c>
      <c r="AJ817" t="s">
        <v>3</v>
      </c>
      <c r="AK817" t="s">
        <v>7</v>
      </c>
      <c r="AL817">
        <v>0</v>
      </c>
      <c r="AM817">
        <v>0</v>
      </c>
      <c r="AN817">
        <v>0</v>
      </c>
      <c r="AO817">
        <v>0</v>
      </c>
      <c r="AP817">
        <v>0</v>
      </c>
      <c r="AQ817" t="s">
        <v>9</v>
      </c>
      <c r="AR817" s="1">
        <v>1.14968641E-6</v>
      </c>
      <c r="AS817" s="1">
        <v>6.5275964200000001E-30</v>
      </c>
      <c r="AT817">
        <v>33</v>
      </c>
      <c r="AU817" t="s">
        <v>10</v>
      </c>
      <c r="AV817">
        <v>0</v>
      </c>
      <c r="AW817">
        <v>1</v>
      </c>
      <c r="AX817">
        <v>0</v>
      </c>
      <c r="AY817">
        <v>4</v>
      </c>
      <c r="AZ817">
        <v>0</v>
      </c>
      <c r="BA817" t="s">
        <v>8</v>
      </c>
      <c r="BB817" t="s">
        <v>4</v>
      </c>
      <c r="BC817" t="s">
        <v>10</v>
      </c>
      <c r="BD817">
        <v>0</v>
      </c>
      <c r="BE817">
        <v>0</v>
      </c>
      <c r="BF817">
        <v>0</v>
      </c>
      <c r="BG817">
        <v>0</v>
      </c>
      <c r="BH817">
        <v>0</v>
      </c>
      <c r="BI817" t="s">
        <v>9</v>
      </c>
      <c r="BJ817">
        <v>-9.7000000000000003E-7</v>
      </c>
      <c r="BK817">
        <v>0</v>
      </c>
      <c r="BL817">
        <v>6.1999999999999999E-7</v>
      </c>
      <c r="BM817" s="2">
        <f t="shared" si="12"/>
        <v>3.9310104726815939E-11</v>
      </c>
    </row>
    <row r="818" spans="1:65" x14ac:dyDescent="0.35">
      <c r="A818">
        <v>0</v>
      </c>
      <c r="B818" t="s">
        <v>3</v>
      </c>
      <c r="C818" t="s">
        <v>4</v>
      </c>
      <c r="D818">
        <v>0</v>
      </c>
      <c r="E818" t="s">
        <v>3</v>
      </c>
      <c r="F818" t="s">
        <v>5</v>
      </c>
      <c r="G818">
        <v>2096.294652</v>
      </c>
      <c r="H818" t="s">
        <v>4</v>
      </c>
      <c r="I818">
        <v>990.16341899999998</v>
      </c>
      <c r="J818">
        <v>1106.1312330000001</v>
      </c>
      <c r="K818" t="s">
        <v>6</v>
      </c>
      <c r="L818" t="s">
        <v>7</v>
      </c>
      <c r="M818" t="s">
        <v>8</v>
      </c>
      <c r="N818" t="s">
        <v>6</v>
      </c>
      <c r="O818" t="s">
        <v>3</v>
      </c>
      <c r="P818" t="s">
        <v>3</v>
      </c>
      <c r="Q818" t="s">
        <v>3</v>
      </c>
      <c r="R818" t="s">
        <v>3</v>
      </c>
      <c r="S818" t="s">
        <v>3</v>
      </c>
      <c r="T818" t="s">
        <v>7</v>
      </c>
      <c r="U818">
        <v>0</v>
      </c>
      <c r="V818">
        <v>0</v>
      </c>
      <c r="W818">
        <v>0</v>
      </c>
      <c r="X818">
        <v>4</v>
      </c>
      <c r="Y818">
        <v>0</v>
      </c>
      <c r="Z818" t="s">
        <v>8</v>
      </c>
      <c r="AA818" t="s">
        <v>4</v>
      </c>
      <c r="AB818" t="s">
        <v>6</v>
      </c>
      <c r="AC818" t="s">
        <v>7</v>
      </c>
      <c r="AD818" t="s">
        <v>8</v>
      </c>
      <c r="AE818" t="s">
        <v>6</v>
      </c>
      <c r="AF818" t="s">
        <v>3</v>
      </c>
      <c r="AG818" t="s">
        <v>3</v>
      </c>
      <c r="AH818" t="s">
        <v>3</v>
      </c>
      <c r="AI818" t="s">
        <v>3</v>
      </c>
      <c r="AJ818" t="s">
        <v>3</v>
      </c>
      <c r="AK818" t="s">
        <v>7</v>
      </c>
      <c r="AL818">
        <v>0</v>
      </c>
      <c r="AM818">
        <v>0</v>
      </c>
      <c r="AN818">
        <v>0</v>
      </c>
      <c r="AO818">
        <v>0</v>
      </c>
      <c r="AP818">
        <v>0</v>
      </c>
      <c r="AQ818" t="s">
        <v>9</v>
      </c>
      <c r="AR818" s="1">
        <v>3.8271501000000002E-6</v>
      </c>
      <c r="AS818" s="1">
        <v>4.3319855599999998E-29</v>
      </c>
      <c r="AT818">
        <v>39</v>
      </c>
      <c r="AU818" t="s">
        <v>10</v>
      </c>
      <c r="AV818">
        <v>0</v>
      </c>
      <c r="AW818">
        <v>0</v>
      </c>
      <c r="AX818">
        <v>0</v>
      </c>
      <c r="AY818">
        <v>4</v>
      </c>
      <c r="AZ818">
        <v>0</v>
      </c>
      <c r="BA818" t="s">
        <v>8</v>
      </c>
      <c r="BB818" t="s">
        <v>4</v>
      </c>
      <c r="BC818" t="s">
        <v>10</v>
      </c>
      <c r="BD818">
        <v>0</v>
      </c>
      <c r="BE818">
        <v>0</v>
      </c>
      <c r="BF818">
        <v>0</v>
      </c>
      <c r="BG818">
        <v>0</v>
      </c>
      <c r="BH818">
        <v>0</v>
      </c>
      <c r="BI818" t="s">
        <v>9</v>
      </c>
      <c r="BJ818">
        <v>1.9099999999999999E-6</v>
      </c>
      <c r="BK818">
        <v>0</v>
      </c>
      <c r="BL818">
        <v>3.32E-6</v>
      </c>
      <c r="BM818" s="2">
        <f t="shared" si="12"/>
        <v>2.6087826985886849E-10</v>
      </c>
    </row>
    <row r="819" spans="1:65" x14ac:dyDescent="0.35">
      <c r="A819">
        <v>0</v>
      </c>
      <c r="B819" t="s">
        <v>3</v>
      </c>
      <c r="C819" t="s">
        <v>4</v>
      </c>
      <c r="D819">
        <v>0</v>
      </c>
      <c r="E819" t="s">
        <v>3</v>
      </c>
      <c r="F819" t="s">
        <v>5</v>
      </c>
      <c r="G819">
        <v>4988.8421779999999</v>
      </c>
      <c r="H819" t="s">
        <v>4</v>
      </c>
      <c r="I819">
        <v>990.16341899999998</v>
      </c>
      <c r="J819">
        <v>3998.6787589999999</v>
      </c>
      <c r="K819" t="s">
        <v>6</v>
      </c>
      <c r="L819" t="s">
        <v>7</v>
      </c>
      <c r="M819" t="s">
        <v>8</v>
      </c>
      <c r="N819" t="s">
        <v>6</v>
      </c>
      <c r="O819" t="s">
        <v>3</v>
      </c>
      <c r="P819" t="s">
        <v>3</v>
      </c>
      <c r="Q819" t="s">
        <v>3</v>
      </c>
      <c r="R819" t="s">
        <v>3</v>
      </c>
      <c r="S819" t="s">
        <v>3</v>
      </c>
      <c r="T819" t="s">
        <v>7</v>
      </c>
      <c r="U819">
        <v>4</v>
      </c>
      <c r="V819">
        <v>0</v>
      </c>
      <c r="W819">
        <v>0</v>
      </c>
      <c r="X819">
        <v>0</v>
      </c>
      <c r="Y819">
        <v>2</v>
      </c>
      <c r="Z819" t="s">
        <v>8</v>
      </c>
      <c r="AA819" t="s">
        <v>4</v>
      </c>
      <c r="AB819" t="s">
        <v>6</v>
      </c>
      <c r="AC819" t="s">
        <v>7</v>
      </c>
      <c r="AD819" t="s">
        <v>8</v>
      </c>
      <c r="AE819" t="s">
        <v>6</v>
      </c>
      <c r="AF819" t="s">
        <v>3</v>
      </c>
      <c r="AG819" t="s">
        <v>3</v>
      </c>
      <c r="AH819" t="s">
        <v>3</v>
      </c>
      <c r="AI819" t="s">
        <v>3</v>
      </c>
      <c r="AJ819" t="s">
        <v>3</v>
      </c>
      <c r="AK819" t="s">
        <v>7</v>
      </c>
      <c r="AL819">
        <v>0</v>
      </c>
      <c r="AM819">
        <v>0</v>
      </c>
      <c r="AN819">
        <v>0</v>
      </c>
      <c r="AO819">
        <v>0</v>
      </c>
      <c r="AP819">
        <v>0</v>
      </c>
      <c r="AQ819" t="s">
        <v>9</v>
      </c>
      <c r="AR819" s="1">
        <v>2.4296523E-5</v>
      </c>
      <c r="AS819" s="1">
        <v>6.3419225099999999E-27</v>
      </c>
      <c r="AT819">
        <v>35</v>
      </c>
      <c r="AU819" t="s">
        <v>10</v>
      </c>
      <c r="AV819">
        <v>4</v>
      </c>
      <c r="AW819">
        <v>0</v>
      </c>
      <c r="AX819">
        <v>0</v>
      </c>
      <c r="AY819">
        <v>0</v>
      </c>
      <c r="AZ819">
        <v>2</v>
      </c>
      <c r="BA819" t="s">
        <v>8</v>
      </c>
      <c r="BB819" t="s">
        <v>4</v>
      </c>
      <c r="BC819" t="s">
        <v>10</v>
      </c>
      <c r="BD819">
        <v>0</v>
      </c>
      <c r="BE819">
        <v>0</v>
      </c>
      <c r="BF819">
        <v>0</v>
      </c>
      <c r="BG819">
        <v>0</v>
      </c>
      <c r="BH819">
        <v>0</v>
      </c>
      <c r="BI819" t="s">
        <v>9</v>
      </c>
      <c r="BJ819">
        <v>3.8800000000000001E-6</v>
      </c>
      <c r="BK819">
        <v>0</v>
      </c>
      <c r="BL819">
        <v>2.3980000000000001E-5</v>
      </c>
      <c r="BM819" s="2">
        <f t="shared" si="12"/>
        <v>3.8191950297909408E-8</v>
      </c>
    </row>
    <row r="820" spans="1:65" x14ac:dyDescent="0.35">
      <c r="A820">
        <v>0</v>
      </c>
      <c r="B820" t="s">
        <v>3</v>
      </c>
      <c r="C820" t="s">
        <v>4</v>
      </c>
      <c r="D820">
        <v>0</v>
      </c>
      <c r="E820" t="s">
        <v>3</v>
      </c>
      <c r="F820" t="s">
        <v>5</v>
      </c>
      <c r="G820">
        <v>4563.6615179999999</v>
      </c>
      <c r="H820" t="s">
        <v>4</v>
      </c>
      <c r="I820">
        <v>990.16341899999998</v>
      </c>
      <c r="J820">
        <v>3573.4980989999999</v>
      </c>
      <c r="K820" t="s">
        <v>6</v>
      </c>
      <c r="L820" t="s">
        <v>7</v>
      </c>
      <c r="M820" t="s">
        <v>8</v>
      </c>
      <c r="N820" t="s">
        <v>6</v>
      </c>
      <c r="O820" t="s">
        <v>3</v>
      </c>
      <c r="P820" t="s">
        <v>3</v>
      </c>
      <c r="Q820" t="s">
        <v>3</v>
      </c>
      <c r="R820" t="s">
        <v>3</v>
      </c>
      <c r="S820" t="s">
        <v>3</v>
      </c>
      <c r="T820" t="s">
        <v>7</v>
      </c>
      <c r="U820">
        <v>0</v>
      </c>
      <c r="V820">
        <v>1</v>
      </c>
      <c r="W820">
        <v>0</v>
      </c>
      <c r="X820">
        <v>1</v>
      </c>
      <c r="Y820">
        <v>1</v>
      </c>
      <c r="Z820" t="s">
        <v>21</v>
      </c>
      <c r="AA820" t="s">
        <v>4</v>
      </c>
      <c r="AB820" t="s">
        <v>6</v>
      </c>
      <c r="AC820" t="s">
        <v>7</v>
      </c>
      <c r="AD820" t="s">
        <v>8</v>
      </c>
      <c r="AE820" t="s">
        <v>6</v>
      </c>
      <c r="AF820" t="s">
        <v>3</v>
      </c>
      <c r="AG820" t="s">
        <v>3</v>
      </c>
      <c r="AH820" t="s">
        <v>3</v>
      </c>
      <c r="AI820" t="s">
        <v>3</v>
      </c>
      <c r="AJ820" t="s">
        <v>3</v>
      </c>
      <c r="AK820" t="s">
        <v>7</v>
      </c>
      <c r="AL820">
        <v>0</v>
      </c>
      <c r="AM820">
        <v>0</v>
      </c>
      <c r="AN820">
        <v>0</v>
      </c>
      <c r="AO820">
        <v>0</v>
      </c>
      <c r="AP820">
        <v>0</v>
      </c>
      <c r="AQ820" t="s">
        <v>9</v>
      </c>
      <c r="AR820" s="1">
        <v>8.5178021000000004E-6</v>
      </c>
      <c r="AS820" s="1">
        <v>6.9657004699999998E-28</v>
      </c>
      <c r="AT820">
        <v>33</v>
      </c>
      <c r="AU820" t="s">
        <v>10</v>
      </c>
      <c r="AV820">
        <v>0</v>
      </c>
      <c r="AW820">
        <v>1</v>
      </c>
      <c r="AX820">
        <v>0</v>
      </c>
      <c r="AY820">
        <v>1</v>
      </c>
      <c r="AZ820">
        <v>1</v>
      </c>
      <c r="BA820" t="s">
        <v>21</v>
      </c>
      <c r="BB820" t="s">
        <v>4</v>
      </c>
      <c r="BC820" t="s">
        <v>10</v>
      </c>
      <c r="BD820">
        <v>0</v>
      </c>
      <c r="BE820">
        <v>0</v>
      </c>
      <c r="BF820">
        <v>0</v>
      </c>
      <c r="BG820">
        <v>0</v>
      </c>
      <c r="BH820">
        <v>0</v>
      </c>
      <c r="BI820" t="s">
        <v>9</v>
      </c>
      <c r="BJ820">
        <v>-4.4000000000000002E-6</v>
      </c>
      <c r="BK820">
        <v>0</v>
      </c>
      <c r="BL820">
        <v>-7.2899999999999997E-6</v>
      </c>
      <c r="BM820" s="2">
        <f t="shared" si="12"/>
        <v>4.1948429000966172E-9</v>
      </c>
    </row>
    <row r="821" spans="1:65" x14ac:dyDescent="0.35">
      <c r="A821">
        <v>0</v>
      </c>
      <c r="B821" t="s">
        <v>3</v>
      </c>
      <c r="C821" t="s">
        <v>4</v>
      </c>
      <c r="D821">
        <v>0</v>
      </c>
      <c r="E821" t="s">
        <v>3</v>
      </c>
      <c r="F821" t="s">
        <v>5</v>
      </c>
      <c r="G821">
        <v>3772.3429860000001</v>
      </c>
      <c r="H821" t="s">
        <v>4</v>
      </c>
      <c r="I821">
        <v>990.16341899999998</v>
      </c>
      <c r="J821">
        <v>2782.1795670000001</v>
      </c>
      <c r="K821" t="s">
        <v>6</v>
      </c>
      <c r="L821" t="s">
        <v>7</v>
      </c>
      <c r="M821" t="s">
        <v>8</v>
      </c>
      <c r="N821" t="s">
        <v>6</v>
      </c>
      <c r="O821" t="s">
        <v>3</v>
      </c>
      <c r="P821" t="s">
        <v>3</v>
      </c>
      <c r="Q821" t="s">
        <v>3</v>
      </c>
      <c r="R821" t="s">
        <v>3</v>
      </c>
      <c r="S821" t="s">
        <v>3</v>
      </c>
      <c r="T821" t="s">
        <v>7</v>
      </c>
      <c r="U821">
        <v>2</v>
      </c>
      <c r="V821">
        <v>0</v>
      </c>
      <c r="W821">
        <v>0</v>
      </c>
      <c r="X821">
        <v>0</v>
      </c>
      <c r="Y821">
        <v>1</v>
      </c>
      <c r="Z821" t="s">
        <v>15</v>
      </c>
      <c r="AA821" t="s">
        <v>4</v>
      </c>
      <c r="AB821" t="s">
        <v>6</v>
      </c>
      <c r="AC821" t="s">
        <v>7</v>
      </c>
      <c r="AD821" t="s">
        <v>8</v>
      </c>
      <c r="AE821" t="s">
        <v>6</v>
      </c>
      <c r="AF821" t="s">
        <v>3</v>
      </c>
      <c r="AG821" t="s">
        <v>3</v>
      </c>
      <c r="AH821" t="s">
        <v>3</v>
      </c>
      <c r="AI821" t="s">
        <v>3</v>
      </c>
      <c r="AJ821" t="s">
        <v>3</v>
      </c>
      <c r="AK821" t="s">
        <v>7</v>
      </c>
      <c r="AL821">
        <v>0</v>
      </c>
      <c r="AM821">
        <v>0</v>
      </c>
      <c r="AN821">
        <v>0</v>
      </c>
      <c r="AO821">
        <v>0</v>
      </c>
      <c r="AP821">
        <v>0</v>
      </c>
      <c r="AQ821" t="s">
        <v>9</v>
      </c>
      <c r="AR821" s="1">
        <v>1.03787764E-4</v>
      </c>
      <c r="AS821" s="1">
        <v>8.0518002299999998E-26</v>
      </c>
      <c r="AT821">
        <v>39</v>
      </c>
      <c r="AU821" t="s">
        <v>10</v>
      </c>
      <c r="AV821">
        <v>2</v>
      </c>
      <c r="AW821">
        <v>0</v>
      </c>
      <c r="AX821">
        <v>0</v>
      </c>
      <c r="AY821">
        <v>0</v>
      </c>
      <c r="AZ821">
        <v>1</v>
      </c>
      <c r="BA821" t="s">
        <v>15</v>
      </c>
      <c r="BB821" t="s">
        <v>4</v>
      </c>
      <c r="BC821" t="s">
        <v>10</v>
      </c>
      <c r="BD821">
        <v>0</v>
      </c>
      <c r="BE821">
        <v>0</v>
      </c>
      <c r="BF821">
        <v>0</v>
      </c>
      <c r="BG821">
        <v>0</v>
      </c>
      <c r="BH821">
        <v>0</v>
      </c>
      <c r="BI821" t="s">
        <v>9</v>
      </c>
      <c r="BJ821">
        <v>-9.0959999999999996E-5</v>
      </c>
      <c r="BK821">
        <v>0</v>
      </c>
      <c r="BL821">
        <v>-4.9979999999999999E-5</v>
      </c>
      <c r="BM821" s="2">
        <f t="shared" si="12"/>
        <v>4.8489074678532385E-7</v>
      </c>
    </row>
    <row r="822" spans="1:65" x14ac:dyDescent="0.35">
      <c r="A822">
        <v>0</v>
      </c>
      <c r="B822" t="s">
        <v>3</v>
      </c>
      <c r="C822" t="s">
        <v>4</v>
      </c>
      <c r="D822">
        <v>0</v>
      </c>
      <c r="E822" t="s">
        <v>3</v>
      </c>
      <c r="F822" t="s">
        <v>5</v>
      </c>
      <c r="G822">
        <v>4865.8898140000001</v>
      </c>
      <c r="H822" t="s">
        <v>4</v>
      </c>
      <c r="I822">
        <v>990.16341899999998</v>
      </c>
      <c r="J822">
        <v>3875.7263950000001</v>
      </c>
      <c r="K822" t="s">
        <v>6</v>
      </c>
      <c r="L822" t="s">
        <v>7</v>
      </c>
      <c r="M822" t="s">
        <v>8</v>
      </c>
      <c r="N822" t="s">
        <v>6</v>
      </c>
      <c r="O822" t="s">
        <v>3</v>
      </c>
      <c r="P822" t="s">
        <v>3</v>
      </c>
      <c r="Q822" t="s">
        <v>3</v>
      </c>
      <c r="R822" t="s">
        <v>3</v>
      </c>
      <c r="S822" t="s">
        <v>3</v>
      </c>
      <c r="T822" t="s">
        <v>7</v>
      </c>
      <c r="U822">
        <v>0</v>
      </c>
      <c r="V822">
        <v>1</v>
      </c>
      <c r="W822">
        <v>0</v>
      </c>
      <c r="X822">
        <v>6</v>
      </c>
      <c r="Y822">
        <v>0</v>
      </c>
      <c r="Z822" t="s">
        <v>15</v>
      </c>
      <c r="AA822" t="s">
        <v>4</v>
      </c>
      <c r="AB822" t="s">
        <v>6</v>
      </c>
      <c r="AC822" t="s">
        <v>7</v>
      </c>
      <c r="AD822" t="s">
        <v>8</v>
      </c>
      <c r="AE822" t="s">
        <v>6</v>
      </c>
      <c r="AF822" t="s">
        <v>3</v>
      </c>
      <c r="AG822" t="s">
        <v>3</v>
      </c>
      <c r="AH822" t="s">
        <v>3</v>
      </c>
      <c r="AI822" t="s">
        <v>3</v>
      </c>
      <c r="AJ822" t="s">
        <v>3</v>
      </c>
      <c r="AK822" t="s">
        <v>7</v>
      </c>
      <c r="AL822">
        <v>0</v>
      </c>
      <c r="AM822">
        <v>0</v>
      </c>
      <c r="AN822">
        <v>0</v>
      </c>
      <c r="AO822">
        <v>0</v>
      </c>
      <c r="AP822">
        <v>0</v>
      </c>
      <c r="AQ822" t="s">
        <v>9</v>
      </c>
      <c r="AR822" s="1">
        <v>1.2644889499999999E-5</v>
      </c>
      <c r="AS822" s="1">
        <v>1.6649429199999998E-27</v>
      </c>
      <c r="AT822">
        <v>35</v>
      </c>
      <c r="AU822" t="s">
        <v>10</v>
      </c>
      <c r="AV822">
        <v>0</v>
      </c>
      <c r="AW822">
        <v>1</v>
      </c>
      <c r="AX822">
        <v>0</v>
      </c>
      <c r="AY822">
        <v>6</v>
      </c>
      <c r="AZ822">
        <v>0</v>
      </c>
      <c r="BA822" t="s">
        <v>15</v>
      </c>
      <c r="BB822" t="s">
        <v>4</v>
      </c>
      <c r="BC822" t="s">
        <v>10</v>
      </c>
      <c r="BD822">
        <v>0</v>
      </c>
      <c r="BE822">
        <v>0</v>
      </c>
      <c r="BF822">
        <v>0</v>
      </c>
      <c r="BG822">
        <v>0</v>
      </c>
      <c r="BH822">
        <v>0</v>
      </c>
      <c r="BI822" t="s">
        <v>9</v>
      </c>
      <c r="BJ822">
        <v>1.118E-5</v>
      </c>
      <c r="BK822">
        <v>0</v>
      </c>
      <c r="BL822">
        <v>-5.9100000000000002E-6</v>
      </c>
      <c r="BM822" s="2">
        <f t="shared" si="12"/>
        <v>1.0026520688203134E-8</v>
      </c>
    </row>
    <row r="823" spans="1:65" x14ac:dyDescent="0.35">
      <c r="A823">
        <v>0</v>
      </c>
      <c r="B823" t="s">
        <v>3</v>
      </c>
      <c r="C823" t="s">
        <v>4</v>
      </c>
      <c r="D823">
        <v>0</v>
      </c>
      <c r="E823" t="s">
        <v>3</v>
      </c>
      <c r="F823" t="s">
        <v>5</v>
      </c>
      <c r="G823">
        <v>4348.6142900000004</v>
      </c>
      <c r="H823" t="s">
        <v>4</v>
      </c>
      <c r="I823">
        <v>990.16341899999998</v>
      </c>
      <c r="J823">
        <v>3358.450871</v>
      </c>
      <c r="K823" t="s">
        <v>6</v>
      </c>
      <c r="L823" t="s">
        <v>7</v>
      </c>
      <c r="M823" t="s">
        <v>8</v>
      </c>
      <c r="N823" t="s">
        <v>6</v>
      </c>
      <c r="O823" t="s">
        <v>3</v>
      </c>
      <c r="P823" t="s">
        <v>3</v>
      </c>
      <c r="Q823" t="s">
        <v>3</v>
      </c>
      <c r="R823" t="s">
        <v>3</v>
      </c>
      <c r="S823" t="s">
        <v>3</v>
      </c>
      <c r="T823" t="s">
        <v>7</v>
      </c>
      <c r="U823">
        <v>0</v>
      </c>
      <c r="V823">
        <v>0</v>
      </c>
      <c r="W823">
        <v>0</v>
      </c>
      <c r="X823">
        <v>0</v>
      </c>
      <c r="Y823">
        <v>4</v>
      </c>
      <c r="Z823" t="s">
        <v>9</v>
      </c>
      <c r="AA823" t="s">
        <v>4</v>
      </c>
      <c r="AB823" t="s">
        <v>6</v>
      </c>
      <c r="AC823" t="s">
        <v>7</v>
      </c>
      <c r="AD823" t="s">
        <v>8</v>
      </c>
      <c r="AE823" t="s">
        <v>6</v>
      </c>
      <c r="AF823" t="s">
        <v>3</v>
      </c>
      <c r="AG823" t="s">
        <v>3</v>
      </c>
      <c r="AH823" t="s">
        <v>3</v>
      </c>
      <c r="AI823" t="s">
        <v>3</v>
      </c>
      <c r="AJ823" t="s">
        <v>3</v>
      </c>
      <c r="AK823" t="s">
        <v>7</v>
      </c>
      <c r="AL823">
        <v>0</v>
      </c>
      <c r="AM823">
        <v>0</v>
      </c>
      <c r="AN823">
        <v>0</v>
      </c>
      <c r="AO823">
        <v>0</v>
      </c>
      <c r="AP823">
        <v>0</v>
      </c>
      <c r="AQ823" t="s">
        <v>9</v>
      </c>
      <c r="AR823" s="1">
        <v>5.2156631700000003E-4</v>
      </c>
      <c r="AS823" s="1">
        <v>2.4545630800000001E-24</v>
      </c>
      <c r="AT823">
        <v>34</v>
      </c>
      <c r="AU823" t="s">
        <v>10</v>
      </c>
      <c r="AV823">
        <v>0</v>
      </c>
      <c r="AW823">
        <v>0</v>
      </c>
      <c r="AX823">
        <v>0</v>
      </c>
      <c r="AY823">
        <v>0</v>
      </c>
      <c r="AZ823">
        <v>4</v>
      </c>
      <c r="BA823" t="s">
        <v>9</v>
      </c>
      <c r="BB823" t="s">
        <v>4</v>
      </c>
      <c r="BC823" t="s">
        <v>10</v>
      </c>
      <c r="BD823">
        <v>0</v>
      </c>
      <c r="BE823">
        <v>0</v>
      </c>
      <c r="BF823">
        <v>0</v>
      </c>
      <c r="BG823">
        <v>0</v>
      </c>
      <c r="BH823">
        <v>0</v>
      </c>
      <c r="BI823" t="s">
        <v>9</v>
      </c>
      <c r="BJ823">
        <v>-5.1723000000000003E-4</v>
      </c>
      <c r="BK823">
        <v>0</v>
      </c>
      <c r="BL823">
        <v>6.7089999999999996E-5</v>
      </c>
      <c r="BM823" s="2">
        <f t="shared" si="12"/>
        <v>1.4781724470241664E-5</v>
      </c>
    </row>
    <row r="824" spans="1:65" x14ac:dyDescent="0.35">
      <c r="A824">
        <v>0</v>
      </c>
      <c r="B824" t="s">
        <v>11</v>
      </c>
      <c r="C824" t="s">
        <v>4</v>
      </c>
      <c r="D824">
        <v>0</v>
      </c>
      <c r="E824" t="s">
        <v>3</v>
      </c>
      <c r="F824" t="s">
        <v>5</v>
      </c>
      <c r="G824">
        <v>4187.6775079999998</v>
      </c>
      <c r="H824" t="s">
        <v>4</v>
      </c>
      <c r="I824">
        <v>990.16341899999998</v>
      </c>
      <c r="J824">
        <v>3197.5140889999998</v>
      </c>
      <c r="K824" t="s">
        <v>6</v>
      </c>
      <c r="L824" t="s">
        <v>7</v>
      </c>
      <c r="M824" t="s">
        <v>8</v>
      </c>
      <c r="N824" t="s">
        <v>6</v>
      </c>
      <c r="O824" t="s">
        <v>3</v>
      </c>
      <c r="P824" t="s">
        <v>3</v>
      </c>
      <c r="Q824" t="s">
        <v>3</v>
      </c>
      <c r="R824" t="s">
        <v>3</v>
      </c>
      <c r="S824" t="s">
        <v>11</v>
      </c>
      <c r="T824" t="s">
        <v>7</v>
      </c>
      <c r="U824">
        <v>0</v>
      </c>
      <c r="V824">
        <v>0</v>
      </c>
      <c r="W824">
        <v>0</v>
      </c>
      <c r="X824">
        <v>4</v>
      </c>
      <c r="Y824">
        <v>1</v>
      </c>
      <c r="Z824" t="s">
        <v>13</v>
      </c>
      <c r="AA824" t="s">
        <v>4</v>
      </c>
      <c r="AB824" t="s">
        <v>6</v>
      </c>
      <c r="AC824" t="s">
        <v>7</v>
      </c>
      <c r="AD824" t="s">
        <v>8</v>
      </c>
      <c r="AE824" t="s">
        <v>6</v>
      </c>
      <c r="AF824" t="s">
        <v>3</v>
      </c>
      <c r="AG824" t="s">
        <v>3</v>
      </c>
      <c r="AH824" t="s">
        <v>3</v>
      </c>
      <c r="AI824" t="s">
        <v>3</v>
      </c>
      <c r="AJ824" t="s">
        <v>3</v>
      </c>
      <c r="AK824" t="s">
        <v>7</v>
      </c>
      <c r="AL824">
        <v>0</v>
      </c>
      <c r="AM824">
        <v>0</v>
      </c>
      <c r="AN824">
        <v>0</v>
      </c>
      <c r="AO824">
        <v>0</v>
      </c>
      <c r="AP824">
        <v>0</v>
      </c>
      <c r="AQ824" t="s">
        <v>9</v>
      </c>
      <c r="AR824" s="1">
        <v>1.63649224E-5</v>
      </c>
      <c r="AS824" s="1">
        <v>2.3006812100000002E-27</v>
      </c>
      <c r="AT824">
        <v>39</v>
      </c>
      <c r="AU824" t="s">
        <v>10</v>
      </c>
      <c r="AV824">
        <v>0</v>
      </c>
      <c r="AW824">
        <v>0</v>
      </c>
      <c r="AX824">
        <v>0</v>
      </c>
      <c r="AY824">
        <v>4</v>
      </c>
      <c r="AZ824">
        <v>1</v>
      </c>
      <c r="BA824" t="s">
        <v>13</v>
      </c>
      <c r="BB824" t="s">
        <v>4</v>
      </c>
      <c r="BC824" t="s">
        <v>10</v>
      </c>
      <c r="BD824">
        <v>0</v>
      </c>
      <c r="BE824">
        <v>0</v>
      </c>
      <c r="BF824">
        <v>0</v>
      </c>
      <c r="BG824">
        <v>0</v>
      </c>
      <c r="BH824">
        <v>0</v>
      </c>
      <c r="BI824" t="s">
        <v>9</v>
      </c>
      <c r="BJ824">
        <v>0</v>
      </c>
      <c r="BK824">
        <v>1.6359999999999999E-5</v>
      </c>
      <c r="BL824">
        <v>0</v>
      </c>
      <c r="BM824" s="2">
        <f t="shared" si="12"/>
        <v>1.385502618253437E-8</v>
      </c>
    </row>
    <row r="825" spans="1:65" x14ac:dyDescent="0.35">
      <c r="A825">
        <v>0</v>
      </c>
      <c r="B825" t="s">
        <v>11</v>
      </c>
      <c r="C825" t="s">
        <v>4</v>
      </c>
      <c r="D825">
        <v>0</v>
      </c>
      <c r="E825" t="s">
        <v>3</v>
      </c>
      <c r="F825" t="s">
        <v>5</v>
      </c>
      <c r="G825">
        <v>4448.1574460000002</v>
      </c>
      <c r="H825" t="s">
        <v>4</v>
      </c>
      <c r="I825">
        <v>990.16341899999998</v>
      </c>
      <c r="J825">
        <v>3457.9940270000002</v>
      </c>
      <c r="K825" t="s">
        <v>6</v>
      </c>
      <c r="L825" t="s">
        <v>7</v>
      </c>
      <c r="M825" t="s">
        <v>8</v>
      </c>
      <c r="N825" t="s">
        <v>6</v>
      </c>
      <c r="O825" t="s">
        <v>3</v>
      </c>
      <c r="P825" t="s">
        <v>3</v>
      </c>
      <c r="Q825" t="s">
        <v>3</v>
      </c>
      <c r="R825" t="s">
        <v>3</v>
      </c>
      <c r="S825" t="s">
        <v>11</v>
      </c>
      <c r="T825" t="s">
        <v>7</v>
      </c>
      <c r="U825">
        <v>1</v>
      </c>
      <c r="V825">
        <v>1</v>
      </c>
      <c r="W825">
        <v>0</v>
      </c>
      <c r="X825">
        <v>2</v>
      </c>
      <c r="Y825">
        <v>0</v>
      </c>
      <c r="Z825" t="s">
        <v>13</v>
      </c>
      <c r="AA825" t="s">
        <v>4</v>
      </c>
      <c r="AB825" t="s">
        <v>6</v>
      </c>
      <c r="AC825" t="s">
        <v>7</v>
      </c>
      <c r="AD825" t="s">
        <v>8</v>
      </c>
      <c r="AE825" t="s">
        <v>6</v>
      </c>
      <c r="AF825" t="s">
        <v>3</v>
      </c>
      <c r="AG825" t="s">
        <v>3</v>
      </c>
      <c r="AH825" t="s">
        <v>3</v>
      </c>
      <c r="AI825" t="s">
        <v>3</v>
      </c>
      <c r="AJ825" t="s">
        <v>3</v>
      </c>
      <c r="AK825" t="s">
        <v>7</v>
      </c>
      <c r="AL825">
        <v>0</v>
      </c>
      <c r="AM825">
        <v>0</v>
      </c>
      <c r="AN825">
        <v>0</v>
      </c>
      <c r="AO825">
        <v>0</v>
      </c>
      <c r="AP825">
        <v>0</v>
      </c>
      <c r="AQ825" t="s">
        <v>9</v>
      </c>
      <c r="AR825" s="1">
        <v>7.2962977799999999E-7</v>
      </c>
      <c r="AS825" s="1">
        <v>4.9459016800000002E-30</v>
      </c>
      <c r="AT825">
        <v>20</v>
      </c>
      <c r="AU825" t="s">
        <v>10</v>
      </c>
      <c r="AV825">
        <v>1</v>
      </c>
      <c r="AW825">
        <v>1</v>
      </c>
      <c r="AX825">
        <v>0</v>
      </c>
      <c r="AY825">
        <v>2</v>
      </c>
      <c r="AZ825">
        <v>0</v>
      </c>
      <c r="BA825" t="s">
        <v>13</v>
      </c>
      <c r="BB825" t="s">
        <v>4</v>
      </c>
      <c r="BC825" t="s">
        <v>10</v>
      </c>
      <c r="BD825">
        <v>0</v>
      </c>
      <c r="BE825">
        <v>0</v>
      </c>
      <c r="BF825">
        <v>0</v>
      </c>
      <c r="BG825">
        <v>0</v>
      </c>
      <c r="BH825">
        <v>0</v>
      </c>
      <c r="BI825" t="s">
        <v>9</v>
      </c>
      <c r="BJ825">
        <v>0</v>
      </c>
      <c r="BK825">
        <v>-7.3E-7</v>
      </c>
      <c r="BL825">
        <v>0</v>
      </c>
      <c r="BM825" s="2">
        <f t="shared" si="12"/>
        <v>2.9784916299916543E-11</v>
      </c>
    </row>
    <row r="826" spans="1:65" x14ac:dyDescent="0.35">
      <c r="A826">
        <v>0</v>
      </c>
      <c r="B826" t="s">
        <v>11</v>
      </c>
      <c r="C826" t="s">
        <v>4</v>
      </c>
      <c r="D826">
        <v>0</v>
      </c>
      <c r="E826" t="s">
        <v>3</v>
      </c>
      <c r="F826" t="s">
        <v>5</v>
      </c>
      <c r="G826">
        <v>4065.9158779999998</v>
      </c>
      <c r="H826" t="s">
        <v>4</v>
      </c>
      <c r="I826">
        <v>990.16341899999998</v>
      </c>
      <c r="J826">
        <v>3075.7524589999998</v>
      </c>
      <c r="K826" t="s">
        <v>6</v>
      </c>
      <c r="L826" t="s">
        <v>7</v>
      </c>
      <c r="M826" t="s">
        <v>8</v>
      </c>
      <c r="N826" t="s">
        <v>6</v>
      </c>
      <c r="O826" t="s">
        <v>3</v>
      </c>
      <c r="P826" t="s">
        <v>3</v>
      </c>
      <c r="Q826" t="s">
        <v>3</v>
      </c>
      <c r="R826" t="s">
        <v>3</v>
      </c>
      <c r="S826" t="s">
        <v>11</v>
      </c>
      <c r="T826" t="s">
        <v>7</v>
      </c>
      <c r="U826">
        <v>1</v>
      </c>
      <c r="V826">
        <v>0</v>
      </c>
      <c r="W826">
        <v>0</v>
      </c>
      <c r="X826">
        <v>2</v>
      </c>
      <c r="Y826">
        <v>1</v>
      </c>
      <c r="Z826" t="s">
        <v>14</v>
      </c>
      <c r="AA826" t="s">
        <v>4</v>
      </c>
      <c r="AB826" t="s">
        <v>6</v>
      </c>
      <c r="AC826" t="s">
        <v>7</v>
      </c>
      <c r="AD826" t="s">
        <v>8</v>
      </c>
      <c r="AE826" t="s">
        <v>6</v>
      </c>
      <c r="AF826" t="s">
        <v>3</v>
      </c>
      <c r="AG826" t="s">
        <v>3</v>
      </c>
      <c r="AH826" t="s">
        <v>3</v>
      </c>
      <c r="AI826" t="s">
        <v>3</v>
      </c>
      <c r="AJ826" t="s">
        <v>3</v>
      </c>
      <c r="AK826" t="s">
        <v>7</v>
      </c>
      <c r="AL826">
        <v>0</v>
      </c>
      <c r="AM826">
        <v>0</v>
      </c>
      <c r="AN826">
        <v>0</v>
      </c>
      <c r="AO826">
        <v>0</v>
      </c>
      <c r="AP826">
        <v>0</v>
      </c>
      <c r="AQ826" t="s">
        <v>9</v>
      </c>
      <c r="AR826" s="1">
        <v>1.7585342200000001E-5</v>
      </c>
      <c r="AS826" s="1">
        <v>2.5554597100000001E-27</v>
      </c>
      <c r="AT826">
        <v>35</v>
      </c>
      <c r="AU826" t="s">
        <v>10</v>
      </c>
      <c r="AV826">
        <v>1</v>
      </c>
      <c r="AW826">
        <v>0</v>
      </c>
      <c r="AX826">
        <v>0</v>
      </c>
      <c r="AY826">
        <v>2</v>
      </c>
      <c r="AZ826">
        <v>1</v>
      </c>
      <c r="BA826" t="s">
        <v>14</v>
      </c>
      <c r="BB826" t="s">
        <v>4</v>
      </c>
      <c r="BC826" t="s">
        <v>10</v>
      </c>
      <c r="BD826">
        <v>0</v>
      </c>
      <c r="BE826">
        <v>0</v>
      </c>
      <c r="BF826">
        <v>0</v>
      </c>
      <c r="BG826">
        <v>0</v>
      </c>
      <c r="BH826">
        <v>0</v>
      </c>
      <c r="BI826" t="s">
        <v>9</v>
      </c>
      <c r="BJ826">
        <v>0</v>
      </c>
      <c r="BK826">
        <v>1.7589999999999999E-5</v>
      </c>
      <c r="BL826">
        <v>0</v>
      </c>
      <c r="BM826" s="2">
        <f t="shared" si="12"/>
        <v>1.5389338182347167E-8</v>
      </c>
    </row>
    <row r="827" spans="1:65" x14ac:dyDescent="0.35">
      <c r="A827">
        <v>0</v>
      </c>
      <c r="B827" t="s">
        <v>3</v>
      </c>
      <c r="C827" t="s">
        <v>4</v>
      </c>
      <c r="D827">
        <v>0</v>
      </c>
      <c r="E827" t="s">
        <v>3</v>
      </c>
      <c r="F827" t="s">
        <v>5</v>
      </c>
      <c r="G827">
        <v>4639.3322330000001</v>
      </c>
      <c r="H827" t="s">
        <v>4</v>
      </c>
      <c r="I827">
        <v>990.16341899999998</v>
      </c>
      <c r="J827">
        <v>3649.1688140000001</v>
      </c>
      <c r="K827" t="s">
        <v>6</v>
      </c>
      <c r="L827" t="s">
        <v>7</v>
      </c>
      <c r="M827" t="s">
        <v>8</v>
      </c>
      <c r="N827" t="s">
        <v>6</v>
      </c>
      <c r="O827" t="s">
        <v>3</v>
      </c>
      <c r="P827" t="s">
        <v>3</v>
      </c>
      <c r="Q827" t="s">
        <v>3</v>
      </c>
      <c r="R827" t="s">
        <v>3</v>
      </c>
      <c r="S827" t="s">
        <v>3</v>
      </c>
      <c r="T827" t="s">
        <v>7</v>
      </c>
      <c r="U827">
        <v>5</v>
      </c>
      <c r="V827">
        <v>0</v>
      </c>
      <c r="W827">
        <v>0</v>
      </c>
      <c r="X827">
        <v>1</v>
      </c>
      <c r="Y827">
        <v>0</v>
      </c>
      <c r="Z827" t="s">
        <v>8</v>
      </c>
      <c r="AA827" t="s">
        <v>4</v>
      </c>
      <c r="AB827" t="s">
        <v>6</v>
      </c>
      <c r="AC827" t="s">
        <v>7</v>
      </c>
      <c r="AD827" t="s">
        <v>8</v>
      </c>
      <c r="AE827" t="s">
        <v>6</v>
      </c>
      <c r="AF827" t="s">
        <v>3</v>
      </c>
      <c r="AG827" t="s">
        <v>3</v>
      </c>
      <c r="AH827" t="s">
        <v>3</v>
      </c>
      <c r="AI827" t="s">
        <v>3</v>
      </c>
      <c r="AJ827" t="s">
        <v>3</v>
      </c>
      <c r="AK827" t="s">
        <v>7</v>
      </c>
      <c r="AL827">
        <v>0</v>
      </c>
      <c r="AM827">
        <v>0</v>
      </c>
      <c r="AN827">
        <v>0</v>
      </c>
      <c r="AO827">
        <v>0</v>
      </c>
      <c r="AP827">
        <v>0</v>
      </c>
      <c r="AQ827" t="s">
        <v>9</v>
      </c>
      <c r="AR827" s="1">
        <v>6.7658643299999997E-4</v>
      </c>
      <c r="AS827" s="1">
        <v>4.4880395799999998E-24</v>
      </c>
      <c r="AT827">
        <v>39</v>
      </c>
      <c r="AU827" t="s">
        <v>10</v>
      </c>
      <c r="AV827">
        <v>5</v>
      </c>
      <c r="AW827">
        <v>0</v>
      </c>
      <c r="AX827">
        <v>0</v>
      </c>
      <c r="AY827">
        <v>1</v>
      </c>
      <c r="AZ827">
        <v>0</v>
      </c>
      <c r="BA827" t="s">
        <v>8</v>
      </c>
      <c r="BB827" t="s">
        <v>4</v>
      </c>
      <c r="BC827" t="s">
        <v>10</v>
      </c>
      <c r="BD827">
        <v>0</v>
      </c>
      <c r="BE827">
        <v>0</v>
      </c>
      <c r="BF827">
        <v>0</v>
      </c>
      <c r="BG827">
        <v>0</v>
      </c>
      <c r="BH827">
        <v>0</v>
      </c>
      <c r="BI827" t="s">
        <v>9</v>
      </c>
      <c r="BJ827">
        <v>-5.1946000000000002E-4</v>
      </c>
      <c r="BK827">
        <v>0</v>
      </c>
      <c r="BL827">
        <v>4.3351000000000002E-4</v>
      </c>
      <c r="BM827" s="2">
        <f t="shared" si="12"/>
        <v>2.7027606266732862E-5</v>
      </c>
    </row>
    <row r="828" spans="1:65" x14ac:dyDescent="0.35">
      <c r="A828">
        <v>0</v>
      </c>
      <c r="B828" t="s">
        <v>3</v>
      </c>
      <c r="C828" t="s">
        <v>4</v>
      </c>
      <c r="D828">
        <v>0</v>
      </c>
      <c r="E828" t="s">
        <v>3</v>
      </c>
      <c r="F828" t="s">
        <v>5</v>
      </c>
      <c r="G828">
        <v>4762.3060429999996</v>
      </c>
      <c r="H828" t="s">
        <v>4</v>
      </c>
      <c r="I828">
        <v>990.16341899999998</v>
      </c>
      <c r="J828">
        <v>3772.1426240000001</v>
      </c>
      <c r="K828" t="s">
        <v>6</v>
      </c>
      <c r="L828" t="s">
        <v>7</v>
      </c>
      <c r="M828" t="s">
        <v>8</v>
      </c>
      <c r="N828" t="s">
        <v>6</v>
      </c>
      <c r="O828" t="s">
        <v>3</v>
      </c>
      <c r="P828" t="s">
        <v>3</v>
      </c>
      <c r="Q828" t="s">
        <v>3</v>
      </c>
      <c r="R828" t="s">
        <v>3</v>
      </c>
      <c r="S828" t="s">
        <v>3</v>
      </c>
      <c r="T828" t="s">
        <v>7</v>
      </c>
      <c r="U828">
        <v>3</v>
      </c>
      <c r="V828">
        <v>0</v>
      </c>
      <c r="W828">
        <v>0</v>
      </c>
      <c r="X828">
        <v>1</v>
      </c>
      <c r="Y828">
        <v>0</v>
      </c>
      <c r="Z828" t="s">
        <v>24</v>
      </c>
      <c r="AA828" t="s">
        <v>4</v>
      </c>
      <c r="AB828" t="s">
        <v>6</v>
      </c>
      <c r="AC828" t="s">
        <v>7</v>
      </c>
      <c r="AD828" t="s">
        <v>8</v>
      </c>
      <c r="AE828" t="s">
        <v>6</v>
      </c>
      <c r="AF828" t="s">
        <v>3</v>
      </c>
      <c r="AG828" t="s">
        <v>3</v>
      </c>
      <c r="AH828" t="s">
        <v>3</v>
      </c>
      <c r="AI828" t="s">
        <v>3</v>
      </c>
      <c r="AJ828" t="s">
        <v>3</v>
      </c>
      <c r="AK828" t="s">
        <v>7</v>
      </c>
      <c r="AL828">
        <v>0</v>
      </c>
      <c r="AM828">
        <v>0</v>
      </c>
      <c r="AN828">
        <v>0</v>
      </c>
      <c r="AO828">
        <v>0</v>
      </c>
      <c r="AP828">
        <v>0</v>
      </c>
      <c r="AQ828" t="s">
        <v>9</v>
      </c>
      <c r="AR828" s="1">
        <v>1.95148758E-4</v>
      </c>
      <c r="AS828" s="1">
        <v>3.8595426700000002E-25</v>
      </c>
      <c r="AT828">
        <v>34</v>
      </c>
      <c r="AU828" t="s">
        <v>10</v>
      </c>
      <c r="AV828">
        <v>3</v>
      </c>
      <c r="AW828">
        <v>0</v>
      </c>
      <c r="AX828">
        <v>0</v>
      </c>
      <c r="AY828">
        <v>1</v>
      </c>
      <c r="AZ828">
        <v>0</v>
      </c>
      <c r="BA828" t="s">
        <v>24</v>
      </c>
      <c r="BB828" t="s">
        <v>4</v>
      </c>
      <c r="BC828" t="s">
        <v>10</v>
      </c>
      <c r="BD828">
        <v>0</v>
      </c>
      <c r="BE828">
        <v>0</v>
      </c>
      <c r="BF828">
        <v>0</v>
      </c>
      <c r="BG828">
        <v>0</v>
      </c>
      <c r="BH828">
        <v>0</v>
      </c>
      <c r="BI828" t="s">
        <v>9</v>
      </c>
      <c r="BJ828">
        <v>-1.2755000000000001E-4</v>
      </c>
      <c r="BK828">
        <v>0</v>
      </c>
      <c r="BL828">
        <v>1.4768999999999999E-4</v>
      </c>
      <c r="BM828" s="2">
        <f t="shared" si="12"/>
        <v>2.3242709382347939E-6</v>
      </c>
    </row>
    <row r="829" spans="1:65" x14ac:dyDescent="0.35">
      <c r="A829">
        <v>0</v>
      </c>
      <c r="B829" t="s">
        <v>3</v>
      </c>
      <c r="C829" t="s">
        <v>4</v>
      </c>
      <c r="D829">
        <v>0</v>
      </c>
      <c r="E829" t="s">
        <v>3</v>
      </c>
      <c r="F829" t="s">
        <v>5</v>
      </c>
      <c r="G829">
        <v>3485.2826190000001</v>
      </c>
      <c r="H829" t="s">
        <v>4</v>
      </c>
      <c r="I829">
        <v>990.16341899999998</v>
      </c>
      <c r="J829">
        <v>2495.1192000000001</v>
      </c>
      <c r="K829" t="s">
        <v>6</v>
      </c>
      <c r="L829" t="s">
        <v>7</v>
      </c>
      <c r="M829" t="s">
        <v>8</v>
      </c>
      <c r="N829" t="s">
        <v>6</v>
      </c>
      <c r="O829" t="s">
        <v>3</v>
      </c>
      <c r="P829" t="s">
        <v>3</v>
      </c>
      <c r="Q829" t="s">
        <v>3</v>
      </c>
      <c r="R829" t="s">
        <v>3</v>
      </c>
      <c r="S829" t="s">
        <v>3</v>
      </c>
      <c r="T829" t="s">
        <v>7</v>
      </c>
      <c r="U829">
        <v>3</v>
      </c>
      <c r="V829">
        <v>0</v>
      </c>
      <c r="W829">
        <v>0</v>
      </c>
      <c r="X829">
        <v>0</v>
      </c>
      <c r="Y829">
        <v>1</v>
      </c>
      <c r="Z829" t="s">
        <v>8</v>
      </c>
      <c r="AA829" t="s">
        <v>4</v>
      </c>
      <c r="AB829" t="s">
        <v>6</v>
      </c>
      <c r="AC829" t="s">
        <v>7</v>
      </c>
      <c r="AD829" t="s">
        <v>8</v>
      </c>
      <c r="AE829" t="s">
        <v>6</v>
      </c>
      <c r="AF829" t="s">
        <v>3</v>
      </c>
      <c r="AG829" t="s">
        <v>3</v>
      </c>
      <c r="AH829" t="s">
        <v>3</v>
      </c>
      <c r="AI829" t="s">
        <v>3</v>
      </c>
      <c r="AJ829" t="s">
        <v>3</v>
      </c>
      <c r="AK829" t="s">
        <v>7</v>
      </c>
      <c r="AL829">
        <v>0</v>
      </c>
      <c r="AM829">
        <v>0</v>
      </c>
      <c r="AN829">
        <v>0</v>
      </c>
      <c r="AO829">
        <v>0</v>
      </c>
      <c r="AP829">
        <v>0</v>
      </c>
      <c r="AQ829" t="s">
        <v>9</v>
      </c>
      <c r="AR829" s="1">
        <v>8.9315400300000005E-4</v>
      </c>
      <c r="AS829" s="1">
        <v>5.3475839599999997E-24</v>
      </c>
      <c r="AT829">
        <v>39</v>
      </c>
      <c r="AU829" t="s">
        <v>10</v>
      </c>
      <c r="AV829">
        <v>3</v>
      </c>
      <c r="AW829">
        <v>0</v>
      </c>
      <c r="AX829">
        <v>0</v>
      </c>
      <c r="AY829">
        <v>0</v>
      </c>
      <c r="AZ829">
        <v>1</v>
      </c>
      <c r="BA829" t="s">
        <v>8</v>
      </c>
      <c r="BB829" t="s">
        <v>4</v>
      </c>
      <c r="BC829" t="s">
        <v>10</v>
      </c>
      <c r="BD829">
        <v>0</v>
      </c>
      <c r="BE829">
        <v>0</v>
      </c>
      <c r="BF829">
        <v>0</v>
      </c>
      <c r="BG829">
        <v>0</v>
      </c>
      <c r="BH829">
        <v>0</v>
      </c>
      <c r="BI829" t="s">
        <v>9</v>
      </c>
      <c r="BJ829">
        <v>-8.9159999999999999E-4</v>
      </c>
      <c r="BK829">
        <v>0</v>
      </c>
      <c r="BL829">
        <v>-5.2609999999999999E-5</v>
      </c>
      <c r="BM829" s="2">
        <f t="shared" si="12"/>
        <v>3.2203903546941568E-5</v>
      </c>
    </row>
    <row r="830" spans="1:65" x14ac:dyDescent="0.35">
      <c r="A830">
        <v>0</v>
      </c>
      <c r="B830" t="s">
        <v>3</v>
      </c>
      <c r="C830" t="s">
        <v>4</v>
      </c>
      <c r="D830">
        <v>0</v>
      </c>
      <c r="E830" t="s">
        <v>3</v>
      </c>
      <c r="F830" t="s">
        <v>5</v>
      </c>
      <c r="G830">
        <v>4266.6299529999997</v>
      </c>
      <c r="H830" t="s">
        <v>4</v>
      </c>
      <c r="I830">
        <v>990.16341899999998</v>
      </c>
      <c r="J830">
        <v>3276.4665340000001</v>
      </c>
      <c r="K830" t="s">
        <v>6</v>
      </c>
      <c r="L830" t="s">
        <v>7</v>
      </c>
      <c r="M830" t="s">
        <v>8</v>
      </c>
      <c r="N830" t="s">
        <v>6</v>
      </c>
      <c r="O830" t="s">
        <v>3</v>
      </c>
      <c r="P830" t="s">
        <v>3</v>
      </c>
      <c r="Q830" t="s">
        <v>3</v>
      </c>
      <c r="R830" t="s">
        <v>3</v>
      </c>
      <c r="S830" t="s">
        <v>3</v>
      </c>
      <c r="T830" t="s">
        <v>7</v>
      </c>
      <c r="U830">
        <v>2</v>
      </c>
      <c r="V830">
        <v>0</v>
      </c>
      <c r="W830">
        <v>0</v>
      </c>
      <c r="X830">
        <v>0</v>
      </c>
      <c r="Y830">
        <v>0</v>
      </c>
      <c r="Z830" t="s">
        <v>22</v>
      </c>
      <c r="AA830" t="s">
        <v>4</v>
      </c>
      <c r="AB830" t="s">
        <v>6</v>
      </c>
      <c r="AC830" t="s">
        <v>7</v>
      </c>
      <c r="AD830" t="s">
        <v>8</v>
      </c>
      <c r="AE830" t="s">
        <v>6</v>
      </c>
      <c r="AF830" t="s">
        <v>3</v>
      </c>
      <c r="AG830" t="s">
        <v>3</v>
      </c>
      <c r="AH830" t="s">
        <v>3</v>
      </c>
      <c r="AI830" t="s">
        <v>3</v>
      </c>
      <c r="AJ830" t="s">
        <v>3</v>
      </c>
      <c r="AK830" t="s">
        <v>7</v>
      </c>
      <c r="AL830">
        <v>0</v>
      </c>
      <c r="AM830">
        <v>0</v>
      </c>
      <c r="AN830">
        <v>0</v>
      </c>
      <c r="AO830">
        <v>0</v>
      </c>
      <c r="AP830">
        <v>0</v>
      </c>
      <c r="AQ830" t="s">
        <v>9</v>
      </c>
      <c r="AR830" s="1">
        <v>6.4669482699999993E-5</v>
      </c>
      <c r="AS830" s="1">
        <v>3.68146448E-26</v>
      </c>
      <c r="AT830">
        <v>34</v>
      </c>
      <c r="AU830" t="s">
        <v>10</v>
      </c>
      <c r="AV830">
        <v>2</v>
      </c>
      <c r="AW830">
        <v>0</v>
      </c>
      <c r="AX830">
        <v>0</v>
      </c>
      <c r="AY830">
        <v>0</v>
      </c>
      <c r="AZ830">
        <v>0</v>
      </c>
      <c r="BA830" t="s">
        <v>22</v>
      </c>
      <c r="BB830" t="s">
        <v>4</v>
      </c>
      <c r="BC830" t="s">
        <v>10</v>
      </c>
      <c r="BD830">
        <v>0</v>
      </c>
      <c r="BE830">
        <v>0</v>
      </c>
      <c r="BF830">
        <v>0</v>
      </c>
      <c r="BG830">
        <v>0</v>
      </c>
      <c r="BH830">
        <v>0</v>
      </c>
      <c r="BI830" t="s">
        <v>9</v>
      </c>
      <c r="BJ830">
        <v>-2.5999999999999998E-5</v>
      </c>
      <c r="BK830">
        <v>0</v>
      </c>
      <c r="BL830">
        <v>-5.9209999999999997E-5</v>
      </c>
      <c r="BM830" s="2">
        <f t="shared" si="12"/>
        <v>2.2170297448758784E-7</v>
      </c>
    </row>
    <row r="831" spans="1:65" x14ac:dyDescent="0.35">
      <c r="A831">
        <v>0</v>
      </c>
      <c r="B831" t="s">
        <v>3</v>
      </c>
      <c r="C831" t="s">
        <v>4</v>
      </c>
      <c r="D831">
        <v>0</v>
      </c>
      <c r="E831" t="s">
        <v>3</v>
      </c>
      <c r="F831" t="s">
        <v>5</v>
      </c>
      <c r="G831">
        <v>4409.2626499999997</v>
      </c>
      <c r="H831" t="s">
        <v>4</v>
      </c>
      <c r="I831">
        <v>990.16341899999998</v>
      </c>
      <c r="J831">
        <v>3419.0992310000001</v>
      </c>
      <c r="K831" t="s">
        <v>6</v>
      </c>
      <c r="L831" t="s">
        <v>7</v>
      </c>
      <c r="M831" t="s">
        <v>8</v>
      </c>
      <c r="N831" t="s">
        <v>6</v>
      </c>
      <c r="O831" t="s">
        <v>3</v>
      </c>
      <c r="P831" t="s">
        <v>3</v>
      </c>
      <c r="Q831" t="s">
        <v>3</v>
      </c>
      <c r="R831" t="s">
        <v>3</v>
      </c>
      <c r="S831" t="s">
        <v>3</v>
      </c>
      <c r="T831" t="s">
        <v>7</v>
      </c>
      <c r="U831">
        <v>1</v>
      </c>
      <c r="V831">
        <v>0</v>
      </c>
      <c r="W831">
        <v>0</v>
      </c>
      <c r="X831">
        <v>0</v>
      </c>
      <c r="Y831">
        <v>3</v>
      </c>
      <c r="Z831" t="s">
        <v>9</v>
      </c>
      <c r="AA831" t="s">
        <v>4</v>
      </c>
      <c r="AB831" t="s">
        <v>6</v>
      </c>
      <c r="AC831" t="s">
        <v>7</v>
      </c>
      <c r="AD831" t="s">
        <v>8</v>
      </c>
      <c r="AE831" t="s">
        <v>6</v>
      </c>
      <c r="AF831" t="s">
        <v>3</v>
      </c>
      <c r="AG831" t="s">
        <v>3</v>
      </c>
      <c r="AH831" t="s">
        <v>3</v>
      </c>
      <c r="AI831" t="s">
        <v>3</v>
      </c>
      <c r="AJ831" t="s">
        <v>3</v>
      </c>
      <c r="AK831" t="s">
        <v>7</v>
      </c>
      <c r="AL831">
        <v>0</v>
      </c>
      <c r="AM831">
        <v>0</v>
      </c>
      <c r="AN831">
        <v>0</v>
      </c>
      <c r="AO831">
        <v>0</v>
      </c>
      <c r="AP831">
        <v>0</v>
      </c>
      <c r="AQ831" t="s">
        <v>9</v>
      </c>
      <c r="AR831" s="1">
        <v>3.4225241699999999E-4</v>
      </c>
      <c r="AS831" s="1">
        <v>1.07602135E-24</v>
      </c>
      <c r="AT831">
        <v>34</v>
      </c>
      <c r="AU831" t="s">
        <v>10</v>
      </c>
      <c r="AV831">
        <v>1</v>
      </c>
      <c r="AW831">
        <v>0</v>
      </c>
      <c r="AX831">
        <v>0</v>
      </c>
      <c r="AY831">
        <v>0</v>
      </c>
      <c r="AZ831">
        <v>3</v>
      </c>
      <c r="BA831" t="s">
        <v>9</v>
      </c>
      <c r="BB831" t="s">
        <v>4</v>
      </c>
      <c r="BC831" t="s">
        <v>10</v>
      </c>
      <c r="BD831">
        <v>0</v>
      </c>
      <c r="BE831">
        <v>0</v>
      </c>
      <c r="BF831">
        <v>0</v>
      </c>
      <c r="BG831">
        <v>0</v>
      </c>
      <c r="BH831">
        <v>0</v>
      </c>
      <c r="BI831" t="s">
        <v>9</v>
      </c>
      <c r="BJ831">
        <v>1.5500000000000001E-5</v>
      </c>
      <c r="BK831">
        <v>0</v>
      </c>
      <c r="BL831">
        <v>-3.4190000000000002E-4</v>
      </c>
      <c r="BM831" s="2">
        <f t="shared" si="12"/>
        <v>6.4799520735060801E-6</v>
      </c>
    </row>
    <row r="832" spans="1:65" x14ac:dyDescent="0.35">
      <c r="A832">
        <v>0</v>
      </c>
      <c r="B832" t="s">
        <v>3</v>
      </c>
      <c r="C832" t="s">
        <v>4</v>
      </c>
      <c r="D832">
        <v>0</v>
      </c>
      <c r="E832" t="s">
        <v>3</v>
      </c>
      <c r="F832" t="s">
        <v>5</v>
      </c>
      <c r="G832">
        <v>4815.3177400000004</v>
      </c>
      <c r="H832" t="s">
        <v>4</v>
      </c>
      <c r="I832">
        <v>990.16341899999998</v>
      </c>
      <c r="J832">
        <v>3825.154321</v>
      </c>
      <c r="K832" t="s">
        <v>6</v>
      </c>
      <c r="L832" t="s">
        <v>7</v>
      </c>
      <c r="M832" t="s">
        <v>8</v>
      </c>
      <c r="N832" t="s">
        <v>6</v>
      </c>
      <c r="O832" t="s">
        <v>3</v>
      </c>
      <c r="P832" t="s">
        <v>3</v>
      </c>
      <c r="Q832" t="s">
        <v>3</v>
      </c>
      <c r="R832" t="s">
        <v>3</v>
      </c>
      <c r="S832" t="s">
        <v>3</v>
      </c>
      <c r="T832" t="s">
        <v>7</v>
      </c>
      <c r="U832">
        <v>0</v>
      </c>
      <c r="V832">
        <v>2</v>
      </c>
      <c r="W832">
        <v>0</v>
      </c>
      <c r="X832">
        <v>3</v>
      </c>
      <c r="Y832">
        <v>0</v>
      </c>
      <c r="Z832" t="s">
        <v>9</v>
      </c>
      <c r="AA832" t="s">
        <v>4</v>
      </c>
      <c r="AB832" t="s">
        <v>6</v>
      </c>
      <c r="AC832" t="s">
        <v>7</v>
      </c>
      <c r="AD832" t="s">
        <v>8</v>
      </c>
      <c r="AE832" t="s">
        <v>6</v>
      </c>
      <c r="AF832" t="s">
        <v>3</v>
      </c>
      <c r="AG832" t="s">
        <v>3</v>
      </c>
      <c r="AH832" t="s">
        <v>3</v>
      </c>
      <c r="AI832" t="s">
        <v>3</v>
      </c>
      <c r="AJ832" t="s">
        <v>3</v>
      </c>
      <c r="AK832" t="s">
        <v>7</v>
      </c>
      <c r="AL832">
        <v>0</v>
      </c>
      <c r="AM832">
        <v>0</v>
      </c>
      <c r="AN832">
        <v>0</v>
      </c>
      <c r="AO832">
        <v>0</v>
      </c>
      <c r="AP832">
        <v>0</v>
      </c>
      <c r="AQ832" t="s">
        <v>9</v>
      </c>
      <c r="AR832" s="1">
        <v>2.6738994899999999E-4</v>
      </c>
      <c r="AS832" s="1">
        <v>7.3477653300000004E-25</v>
      </c>
      <c r="AT832">
        <v>36</v>
      </c>
      <c r="AU832" t="s">
        <v>10</v>
      </c>
      <c r="AV832">
        <v>0</v>
      </c>
      <c r="AW832">
        <v>2</v>
      </c>
      <c r="AX832">
        <v>0</v>
      </c>
      <c r="AY832">
        <v>3</v>
      </c>
      <c r="AZ832">
        <v>0</v>
      </c>
      <c r="BA832" t="s">
        <v>9</v>
      </c>
      <c r="BB832" t="s">
        <v>4</v>
      </c>
      <c r="BC832" t="s">
        <v>10</v>
      </c>
      <c r="BD832">
        <v>0</v>
      </c>
      <c r="BE832">
        <v>0</v>
      </c>
      <c r="BF832">
        <v>0</v>
      </c>
      <c r="BG832">
        <v>0</v>
      </c>
      <c r="BH832">
        <v>0</v>
      </c>
      <c r="BI832" t="s">
        <v>9</v>
      </c>
      <c r="BJ832">
        <v>1.9295E-4</v>
      </c>
      <c r="BK832">
        <v>0</v>
      </c>
      <c r="BL832">
        <v>-1.8510999999999999E-4</v>
      </c>
      <c r="BM832" s="2">
        <f t="shared" si="12"/>
        <v>4.4249277382618469E-6</v>
      </c>
    </row>
    <row r="833" spans="1:65" x14ac:dyDescent="0.35">
      <c r="A833">
        <v>0</v>
      </c>
      <c r="B833" t="s">
        <v>11</v>
      </c>
      <c r="C833" t="s">
        <v>4</v>
      </c>
      <c r="D833">
        <v>0</v>
      </c>
      <c r="E833" t="s">
        <v>3</v>
      </c>
      <c r="F833" t="s">
        <v>5</v>
      </c>
      <c r="G833">
        <v>3877.904368</v>
      </c>
      <c r="H833" t="s">
        <v>4</v>
      </c>
      <c r="I833">
        <v>990.16341899999998</v>
      </c>
      <c r="J833">
        <v>2887.740949</v>
      </c>
      <c r="K833" t="s">
        <v>6</v>
      </c>
      <c r="L833" t="s">
        <v>7</v>
      </c>
      <c r="M833" t="s">
        <v>8</v>
      </c>
      <c r="N833" t="s">
        <v>6</v>
      </c>
      <c r="O833" t="s">
        <v>3</v>
      </c>
      <c r="P833" t="s">
        <v>3</v>
      </c>
      <c r="Q833" t="s">
        <v>3</v>
      </c>
      <c r="R833" t="s">
        <v>3</v>
      </c>
      <c r="S833" t="s">
        <v>11</v>
      </c>
      <c r="T833" t="s">
        <v>7</v>
      </c>
      <c r="U833">
        <v>1</v>
      </c>
      <c r="V833">
        <v>2</v>
      </c>
      <c r="W833">
        <v>0</v>
      </c>
      <c r="X833">
        <v>0</v>
      </c>
      <c r="Y833">
        <v>0</v>
      </c>
      <c r="Z833" t="s">
        <v>18</v>
      </c>
      <c r="AA833" t="s">
        <v>4</v>
      </c>
      <c r="AB833" t="s">
        <v>6</v>
      </c>
      <c r="AC833" t="s">
        <v>7</v>
      </c>
      <c r="AD833" t="s">
        <v>8</v>
      </c>
      <c r="AE833" t="s">
        <v>6</v>
      </c>
      <c r="AF833" t="s">
        <v>3</v>
      </c>
      <c r="AG833" t="s">
        <v>3</v>
      </c>
      <c r="AH833" t="s">
        <v>3</v>
      </c>
      <c r="AI833" t="s">
        <v>3</v>
      </c>
      <c r="AJ833" t="s">
        <v>3</v>
      </c>
      <c r="AK833" t="s">
        <v>7</v>
      </c>
      <c r="AL833">
        <v>0</v>
      </c>
      <c r="AM833">
        <v>0</v>
      </c>
      <c r="AN833">
        <v>0</v>
      </c>
      <c r="AO833">
        <v>0</v>
      </c>
      <c r="AP833">
        <v>0</v>
      </c>
      <c r="AQ833" t="s">
        <v>9</v>
      </c>
      <c r="AR833" s="1">
        <v>4.24122082E-7</v>
      </c>
      <c r="AS833" s="1">
        <v>1.39558335E-30</v>
      </c>
      <c r="AT833">
        <v>34</v>
      </c>
      <c r="AU833" t="s">
        <v>10</v>
      </c>
      <c r="AV833">
        <v>1</v>
      </c>
      <c r="AW833">
        <v>2</v>
      </c>
      <c r="AX833">
        <v>0</v>
      </c>
      <c r="AY833">
        <v>0</v>
      </c>
      <c r="AZ833">
        <v>0</v>
      </c>
      <c r="BA833" t="s">
        <v>18</v>
      </c>
      <c r="BB833" t="s">
        <v>4</v>
      </c>
      <c r="BC833" t="s">
        <v>10</v>
      </c>
      <c r="BD833">
        <v>0</v>
      </c>
      <c r="BE833">
        <v>0</v>
      </c>
      <c r="BF833">
        <v>0</v>
      </c>
      <c r="BG833">
        <v>0</v>
      </c>
      <c r="BH833">
        <v>0</v>
      </c>
      <c r="BI833" t="s">
        <v>9</v>
      </c>
      <c r="BJ833">
        <v>0</v>
      </c>
      <c r="BK833">
        <v>4.2E-7</v>
      </c>
      <c r="BL833">
        <v>0</v>
      </c>
      <c r="BM833" s="2">
        <f t="shared" si="12"/>
        <v>8.4043994318356789E-12</v>
      </c>
    </row>
    <row r="834" spans="1:65" x14ac:dyDescent="0.35">
      <c r="A834">
        <v>0</v>
      </c>
      <c r="B834" t="s">
        <v>3</v>
      </c>
      <c r="C834" t="s">
        <v>4</v>
      </c>
      <c r="D834">
        <v>0</v>
      </c>
      <c r="E834" t="s">
        <v>3</v>
      </c>
      <c r="F834" t="s">
        <v>5</v>
      </c>
      <c r="G834">
        <v>3097.3314730000002</v>
      </c>
      <c r="H834" t="s">
        <v>4</v>
      </c>
      <c r="I834">
        <v>990.16341899999998</v>
      </c>
      <c r="J834">
        <v>2107.1680540000002</v>
      </c>
      <c r="K834" t="s">
        <v>6</v>
      </c>
      <c r="L834" t="s">
        <v>7</v>
      </c>
      <c r="M834" t="s">
        <v>8</v>
      </c>
      <c r="N834" t="s">
        <v>6</v>
      </c>
      <c r="O834" t="s">
        <v>3</v>
      </c>
      <c r="P834" t="s">
        <v>3</v>
      </c>
      <c r="Q834" t="s">
        <v>3</v>
      </c>
      <c r="R834" t="s">
        <v>3</v>
      </c>
      <c r="S834" t="s">
        <v>3</v>
      </c>
      <c r="T834" t="s">
        <v>7</v>
      </c>
      <c r="U834">
        <v>0</v>
      </c>
      <c r="V834">
        <v>0</v>
      </c>
      <c r="W834">
        <v>0</v>
      </c>
      <c r="X834">
        <v>0</v>
      </c>
      <c r="Y834">
        <v>1</v>
      </c>
      <c r="Z834" t="s">
        <v>24</v>
      </c>
      <c r="AA834" t="s">
        <v>4</v>
      </c>
      <c r="AB834" t="s">
        <v>6</v>
      </c>
      <c r="AC834" t="s">
        <v>7</v>
      </c>
      <c r="AD834" t="s">
        <v>8</v>
      </c>
      <c r="AE834" t="s">
        <v>6</v>
      </c>
      <c r="AF834" t="s">
        <v>3</v>
      </c>
      <c r="AG834" t="s">
        <v>3</v>
      </c>
      <c r="AH834" t="s">
        <v>3</v>
      </c>
      <c r="AI834" t="s">
        <v>3</v>
      </c>
      <c r="AJ834" t="s">
        <v>3</v>
      </c>
      <c r="AK834" t="s">
        <v>7</v>
      </c>
      <c r="AL834">
        <v>0</v>
      </c>
      <c r="AM834">
        <v>0</v>
      </c>
      <c r="AN834">
        <v>0</v>
      </c>
      <c r="AO834">
        <v>0</v>
      </c>
      <c r="AP834">
        <v>0</v>
      </c>
      <c r="AQ834" t="s">
        <v>9</v>
      </c>
      <c r="AR834" s="1">
        <v>2.9892118800000001E-4</v>
      </c>
      <c r="AS834" s="1">
        <v>5.0583882600000001E-25</v>
      </c>
      <c r="AT834">
        <v>36</v>
      </c>
      <c r="AU834" t="s">
        <v>10</v>
      </c>
      <c r="AV834">
        <v>0</v>
      </c>
      <c r="AW834">
        <v>0</v>
      </c>
      <c r="AX834">
        <v>0</v>
      </c>
      <c r="AY834">
        <v>0</v>
      </c>
      <c r="AZ834">
        <v>1</v>
      </c>
      <c r="BA834" t="s">
        <v>24</v>
      </c>
      <c r="BB834" t="s">
        <v>4</v>
      </c>
      <c r="BC834" t="s">
        <v>10</v>
      </c>
      <c r="BD834">
        <v>0</v>
      </c>
      <c r="BE834">
        <v>0</v>
      </c>
      <c r="BF834">
        <v>0</v>
      </c>
      <c r="BG834">
        <v>0</v>
      </c>
      <c r="BH834">
        <v>0</v>
      </c>
      <c r="BI834" t="s">
        <v>9</v>
      </c>
      <c r="BJ834">
        <v>2.9725999999999998E-4</v>
      </c>
      <c r="BK834">
        <v>0</v>
      </c>
      <c r="BL834">
        <v>-3.146E-5</v>
      </c>
      <c r="BM834" s="2">
        <f t="shared" ref="BM834:BM897" si="13">AS834*10^(-5)*6.0221408*10^(23)</f>
        <v>3.0462326322787009E-6</v>
      </c>
    </row>
    <row r="835" spans="1:65" x14ac:dyDescent="0.35">
      <c r="A835">
        <v>0</v>
      </c>
      <c r="B835" t="s">
        <v>3</v>
      </c>
      <c r="C835" t="s">
        <v>4</v>
      </c>
      <c r="D835">
        <v>0</v>
      </c>
      <c r="E835" t="s">
        <v>3</v>
      </c>
      <c r="F835" t="s">
        <v>5</v>
      </c>
      <c r="G835">
        <v>3585.6997740000002</v>
      </c>
      <c r="H835" t="s">
        <v>4</v>
      </c>
      <c r="I835">
        <v>990.16341899999998</v>
      </c>
      <c r="J835">
        <v>2595.5363550000002</v>
      </c>
      <c r="K835" t="s">
        <v>6</v>
      </c>
      <c r="L835" t="s">
        <v>7</v>
      </c>
      <c r="M835" t="s">
        <v>8</v>
      </c>
      <c r="N835" t="s">
        <v>6</v>
      </c>
      <c r="O835" t="s">
        <v>3</v>
      </c>
      <c r="P835" t="s">
        <v>3</v>
      </c>
      <c r="Q835" t="s">
        <v>3</v>
      </c>
      <c r="R835" t="s">
        <v>3</v>
      </c>
      <c r="S835" t="s">
        <v>3</v>
      </c>
      <c r="T835" t="s">
        <v>7</v>
      </c>
      <c r="U835">
        <v>1</v>
      </c>
      <c r="V835">
        <v>1</v>
      </c>
      <c r="W835">
        <v>0</v>
      </c>
      <c r="X835">
        <v>1</v>
      </c>
      <c r="Y835">
        <v>0</v>
      </c>
      <c r="Z835" t="s">
        <v>15</v>
      </c>
      <c r="AA835" t="s">
        <v>4</v>
      </c>
      <c r="AB835" t="s">
        <v>6</v>
      </c>
      <c r="AC835" t="s">
        <v>7</v>
      </c>
      <c r="AD835" t="s">
        <v>8</v>
      </c>
      <c r="AE835" t="s">
        <v>6</v>
      </c>
      <c r="AF835" t="s">
        <v>3</v>
      </c>
      <c r="AG835" t="s">
        <v>3</v>
      </c>
      <c r="AH835" t="s">
        <v>3</v>
      </c>
      <c r="AI835" t="s">
        <v>3</v>
      </c>
      <c r="AJ835" t="s">
        <v>3</v>
      </c>
      <c r="AK835" t="s">
        <v>7</v>
      </c>
      <c r="AL835">
        <v>0</v>
      </c>
      <c r="AM835">
        <v>0</v>
      </c>
      <c r="AN835">
        <v>0</v>
      </c>
      <c r="AO835">
        <v>0</v>
      </c>
      <c r="AP835">
        <v>0</v>
      </c>
      <c r="AQ835" t="s">
        <v>9</v>
      </c>
      <c r="AR835" s="1">
        <v>3.4215741800000001E-4</v>
      </c>
      <c r="AS835" s="1">
        <v>8.1638239400000001E-25</v>
      </c>
      <c r="AT835">
        <v>34</v>
      </c>
      <c r="AU835" t="s">
        <v>10</v>
      </c>
      <c r="AV835">
        <v>1</v>
      </c>
      <c r="AW835">
        <v>1</v>
      </c>
      <c r="AX835">
        <v>0</v>
      </c>
      <c r="AY835">
        <v>1</v>
      </c>
      <c r="AZ835">
        <v>0</v>
      </c>
      <c r="BA835" t="s">
        <v>15</v>
      </c>
      <c r="BB835" t="s">
        <v>4</v>
      </c>
      <c r="BC835" t="s">
        <v>10</v>
      </c>
      <c r="BD835">
        <v>0</v>
      </c>
      <c r="BE835">
        <v>0</v>
      </c>
      <c r="BF835">
        <v>0</v>
      </c>
      <c r="BG835">
        <v>0</v>
      </c>
      <c r="BH835">
        <v>0</v>
      </c>
      <c r="BI835" t="s">
        <v>9</v>
      </c>
      <c r="BJ835">
        <v>-3.4019999999999998E-4</v>
      </c>
      <c r="BK835">
        <v>0</v>
      </c>
      <c r="BL835">
        <v>-3.6550000000000001E-5</v>
      </c>
      <c r="BM835" s="2">
        <f t="shared" si="13"/>
        <v>4.9163697233090751E-6</v>
      </c>
    </row>
    <row r="836" spans="1:65" x14ac:dyDescent="0.35">
      <c r="A836">
        <v>0</v>
      </c>
      <c r="B836" t="s">
        <v>3</v>
      </c>
      <c r="C836" t="s">
        <v>4</v>
      </c>
      <c r="D836">
        <v>0</v>
      </c>
      <c r="E836" t="s">
        <v>3</v>
      </c>
      <c r="F836" t="s">
        <v>5</v>
      </c>
      <c r="G836">
        <v>2534.0465439999998</v>
      </c>
      <c r="H836" t="s">
        <v>4</v>
      </c>
      <c r="I836">
        <v>990.16341899999998</v>
      </c>
      <c r="J836">
        <v>1543.8831250000001</v>
      </c>
      <c r="K836" t="s">
        <v>6</v>
      </c>
      <c r="L836" t="s">
        <v>7</v>
      </c>
      <c r="M836" t="s">
        <v>8</v>
      </c>
      <c r="N836" t="s">
        <v>6</v>
      </c>
      <c r="O836" t="s">
        <v>3</v>
      </c>
      <c r="P836" t="s">
        <v>3</v>
      </c>
      <c r="Q836" t="s">
        <v>3</v>
      </c>
      <c r="R836" t="s">
        <v>3</v>
      </c>
      <c r="S836" t="s">
        <v>3</v>
      </c>
      <c r="T836" t="s">
        <v>7</v>
      </c>
      <c r="U836">
        <v>2</v>
      </c>
      <c r="V836">
        <v>0</v>
      </c>
      <c r="W836">
        <v>0</v>
      </c>
      <c r="X836">
        <v>2</v>
      </c>
      <c r="Y836">
        <v>0</v>
      </c>
      <c r="Z836" t="s">
        <v>8</v>
      </c>
      <c r="AA836" t="s">
        <v>4</v>
      </c>
      <c r="AB836" t="s">
        <v>6</v>
      </c>
      <c r="AC836" t="s">
        <v>7</v>
      </c>
      <c r="AD836" t="s">
        <v>8</v>
      </c>
      <c r="AE836" t="s">
        <v>6</v>
      </c>
      <c r="AF836" t="s">
        <v>3</v>
      </c>
      <c r="AG836" t="s">
        <v>3</v>
      </c>
      <c r="AH836" t="s">
        <v>3</v>
      </c>
      <c r="AI836" t="s">
        <v>3</v>
      </c>
      <c r="AJ836" t="s">
        <v>3</v>
      </c>
      <c r="AK836" t="s">
        <v>7</v>
      </c>
      <c r="AL836">
        <v>0</v>
      </c>
      <c r="AM836">
        <v>0</v>
      </c>
      <c r="AN836">
        <v>0</v>
      </c>
      <c r="AO836">
        <v>0</v>
      </c>
      <c r="AP836">
        <v>0</v>
      </c>
      <c r="AQ836" t="s">
        <v>9</v>
      </c>
      <c r="AR836" s="1">
        <v>8.5789340600000001E-5</v>
      </c>
      <c r="AS836" s="1">
        <v>3.05102424E-26</v>
      </c>
      <c r="AT836">
        <v>34</v>
      </c>
      <c r="AU836" t="s">
        <v>10</v>
      </c>
      <c r="AV836">
        <v>2</v>
      </c>
      <c r="AW836">
        <v>0</v>
      </c>
      <c r="AX836">
        <v>0</v>
      </c>
      <c r="AY836">
        <v>2</v>
      </c>
      <c r="AZ836">
        <v>0</v>
      </c>
      <c r="BA836" t="s">
        <v>8</v>
      </c>
      <c r="BB836" t="s">
        <v>4</v>
      </c>
      <c r="BC836" t="s">
        <v>10</v>
      </c>
      <c r="BD836">
        <v>0</v>
      </c>
      <c r="BE836">
        <v>0</v>
      </c>
      <c r="BF836">
        <v>0</v>
      </c>
      <c r="BG836">
        <v>0</v>
      </c>
      <c r="BH836">
        <v>0</v>
      </c>
      <c r="BI836" t="s">
        <v>9</v>
      </c>
      <c r="BJ836">
        <v>-1.3190000000000001E-5</v>
      </c>
      <c r="BK836">
        <v>0</v>
      </c>
      <c r="BL836">
        <v>8.4770000000000003E-5</v>
      </c>
      <c r="BM836" s="2">
        <f t="shared" si="13"/>
        <v>1.8373697557492993E-7</v>
      </c>
    </row>
    <row r="837" spans="1:65" x14ac:dyDescent="0.35">
      <c r="A837">
        <v>0</v>
      </c>
      <c r="B837" t="s">
        <v>3</v>
      </c>
      <c r="C837" t="s">
        <v>4</v>
      </c>
      <c r="D837">
        <v>0</v>
      </c>
      <c r="E837" t="s">
        <v>3</v>
      </c>
      <c r="F837" t="s">
        <v>5</v>
      </c>
      <c r="G837">
        <v>3322.7649080000001</v>
      </c>
      <c r="H837" t="s">
        <v>4</v>
      </c>
      <c r="I837">
        <v>990.16341899999998</v>
      </c>
      <c r="J837">
        <v>2332.6014890000001</v>
      </c>
      <c r="K837" t="s">
        <v>6</v>
      </c>
      <c r="L837" t="s">
        <v>7</v>
      </c>
      <c r="M837" t="s">
        <v>8</v>
      </c>
      <c r="N837" t="s">
        <v>6</v>
      </c>
      <c r="O837" t="s">
        <v>3</v>
      </c>
      <c r="P837" t="s">
        <v>3</v>
      </c>
      <c r="Q837" t="s">
        <v>3</v>
      </c>
      <c r="R837" t="s">
        <v>3</v>
      </c>
      <c r="S837" t="s">
        <v>3</v>
      </c>
      <c r="T837" t="s">
        <v>7</v>
      </c>
      <c r="U837">
        <v>1</v>
      </c>
      <c r="V837">
        <v>0</v>
      </c>
      <c r="W837">
        <v>0</v>
      </c>
      <c r="X837">
        <v>1</v>
      </c>
      <c r="Y837">
        <v>1</v>
      </c>
      <c r="Z837" t="s">
        <v>15</v>
      </c>
      <c r="AA837" t="s">
        <v>4</v>
      </c>
      <c r="AB837" t="s">
        <v>6</v>
      </c>
      <c r="AC837" t="s">
        <v>7</v>
      </c>
      <c r="AD837" t="s">
        <v>8</v>
      </c>
      <c r="AE837" t="s">
        <v>6</v>
      </c>
      <c r="AF837" t="s">
        <v>3</v>
      </c>
      <c r="AG837" t="s">
        <v>3</v>
      </c>
      <c r="AH837" t="s">
        <v>3</v>
      </c>
      <c r="AI837" t="s">
        <v>3</v>
      </c>
      <c r="AJ837" t="s">
        <v>3</v>
      </c>
      <c r="AK837" t="s">
        <v>7</v>
      </c>
      <c r="AL837">
        <v>0</v>
      </c>
      <c r="AM837">
        <v>0</v>
      </c>
      <c r="AN837">
        <v>0</v>
      </c>
      <c r="AO837">
        <v>0</v>
      </c>
      <c r="AP837">
        <v>0</v>
      </c>
      <c r="AQ837" t="s">
        <v>9</v>
      </c>
      <c r="AR837" s="1">
        <v>1.6365676299999999E-4</v>
      </c>
      <c r="AS837" s="1">
        <v>1.67849111E-25</v>
      </c>
      <c r="AT837">
        <v>39</v>
      </c>
      <c r="AU837" t="s">
        <v>10</v>
      </c>
      <c r="AV837">
        <v>1</v>
      </c>
      <c r="AW837">
        <v>0</v>
      </c>
      <c r="AX837">
        <v>0</v>
      </c>
      <c r="AY837">
        <v>1</v>
      </c>
      <c r="AZ837">
        <v>1</v>
      </c>
      <c r="BA837" t="s">
        <v>15</v>
      </c>
      <c r="BB837" t="s">
        <v>4</v>
      </c>
      <c r="BC837" t="s">
        <v>10</v>
      </c>
      <c r="BD837">
        <v>0</v>
      </c>
      <c r="BE837">
        <v>0</v>
      </c>
      <c r="BF837">
        <v>0</v>
      </c>
      <c r="BG837">
        <v>0</v>
      </c>
      <c r="BH837">
        <v>0</v>
      </c>
      <c r="BI837" t="s">
        <v>9</v>
      </c>
      <c r="BJ837">
        <v>-1.5925999999999999E-4</v>
      </c>
      <c r="BK837">
        <v>0</v>
      </c>
      <c r="BL837">
        <v>3.7700000000000002E-5</v>
      </c>
      <c r="BM837" s="2">
        <f t="shared" si="13"/>
        <v>1.0108109795968288E-6</v>
      </c>
    </row>
    <row r="838" spans="1:65" x14ac:dyDescent="0.35">
      <c r="A838">
        <v>0</v>
      </c>
      <c r="B838" t="s">
        <v>11</v>
      </c>
      <c r="C838" t="s">
        <v>4</v>
      </c>
      <c r="D838">
        <v>0</v>
      </c>
      <c r="E838" t="s">
        <v>3</v>
      </c>
      <c r="F838" t="s">
        <v>5</v>
      </c>
      <c r="G838">
        <v>4932.1416129999998</v>
      </c>
      <c r="H838" t="s">
        <v>4</v>
      </c>
      <c r="I838">
        <v>990.16341899999998</v>
      </c>
      <c r="J838">
        <v>3941.9781939999998</v>
      </c>
      <c r="K838" t="s">
        <v>6</v>
      </c>
      <c r="L838" t="s">
        <v>7</v>
      </c>
      <c r="M838" t="s">
        <v>8</v>
      </c>
      <c r="N838" t="s">
        <v>6</v>
      </c>
      <c r="O838" t="s">
        <v>3</v>
      </c>
      <c r="P838" t="s">
        <v>3</v>
      </c>
      <c r="Q838" t="s">
        <v>3</v>
      </c>
      <c r="R838" t="s">
        <v>3</v>
      </c>
      <c r="S838" t="s">
        <v>11</v>
      </c>
      <c r="T838" t="s">
        <v>7</v>
      </c>
      <c r="U838">
        <v>4</v>
      </c>
      <c r="V838">
        <v>0</v>
      </c>
      <c r="W838">
        <v>0</v>
      </c>
      <c r="X838">
        <v>0</v>
      </c>
      <c r="Y838">
        <v>1</v>
      </c>
      <c r="Z838" t="s">
        <v>18</v>
      </c>
      <c r="AA838" t="s">
        <v>4</v>
      </c>
      <c r="AB838" t="s">
        <v>6</v>
      </c>
      <c r="AC838" t="s">
        <v>7</v>
      </c>
      <c r="AD838" t="s">
        <v>8</v>
      </c>
      <c r="AE838" t="s">
        <v>6</v>
      </c>
      <c r="AF838" t="s">
        <v>3</v>
      </c>
      <c r="AG838" t="s">
        <v>3</v>
      </c>
      <c r="AH838" t="s">
        <v>3</v>
      </c>
      <c r="AI838" t="s">
        <v>3</v>
      </c>
      <c r="AJ838" t="s">
        <v>3</v>
      </c>
      <c r="AK838" t="s">
        <v>7</v>
      </c>
      <c r="AL838">
        <v>0</v>
      </c>
      <c r="AM838">
        <v>0</v>
      </c>
      <c r="AN838">
        <v>0</v>
      </c>
      <c r="AO838">
        <v>0</v>
      </c>
      <c r="AP838">
        <v>0</v>
      </c>
      <c r="AQ838" t="s">
        <v>9</v>
      </c>
      <c r="AR838" s="1">
        <v>4.9236489700000001E-6</v>
      </c>
      <c r="AS838" s="1">
        <v>2.56746507E-28</v>
      </c>
      <c r="AT838">
        <v>36</v>
      </c>
      <c r="AU838" t="s">
        <v>10</v>
      </c>
      <c r="AV838">
        <v>4</v>
      </c>
      <c r="AW838">
        <v>0</v>
      </c>
      <c r="AX838">
        <v>0</v>
      </c>
      <c r="AY838">
        <v>0</v>
      </c>
      <c r="AZ838">
        <v>1</v>
      </c>
      <c r="BA838" t="s">
        <v>18</v>
      </c>
      <c r="BB838" t="s">
        <v>4</v>
      </c>
      <c r="BC838" t="s">
        <v>10</v>
      </c>
      <c r="BD838">
        <v>0</v>
      </c>
      <c r="BE838">
        <v>0</v>
      </c>
      <c r="BF838">
        <v>0</v>
      </c>
      <c r="BG838">
        <v>0</v>
      </c>
      <c r="BH838">
        <v>0</v>
      </c>
      <c r="BI838" t="s">
        <v>9</v>
      </c>
      <c r="BJ838">
        <v>0</v>
      </c>
      <c r="BK838">
        <v>-4.9200000000000003E-6</v>
      </c>
      <c r="BL838">
        <v>0</v>
      </c>
      <c r="BM838" s="2">
        <f t="shared" si="13"/>
        <v>1.5461636150621856E-9</v>
      </c>
    </row>
    <row r="839" spans="1:65" x14ac:dyDescent="0.35">
      <c r="A839">
        <v>0</v>
      </c>
      <c r="B839" t="s">
        <v>11</v>
      </c>
      <c r="C839" t="s">
        <v>4</v>
      </c>
      <c r="D839">
        <v>0</v>
      </c>
      <c r="E839" t="s">
        <v>3</v>
      </c>
      <c r="F839" t="s">
        <v>5</v>
      </c>
      <c r="G839">
        <v>4702.0402640000002</v>
      </c>
      <c r="H839" t="s">
        <v>4</v>
      </c>
      <c r="I839">
        <v>990.16341899999998</v>
      </c>
      <c r="J839">
        <v>3711.8768449999998</v>
      </c>
      <c r="K839" t="s">
        <v>6</v>
      </c>
      <c r="L839" t="s">
        <v>7</v>
      </c>
      <c r="M839" t="s">
        <v>8</v>
      </c>
      <c r="N839" t="s">
        <v>6</v>
      </c>
      <c r="O839" t="s">
        <v>3</v>
      </c>
      <c r="P839" t="s">
        <v>3</v>
      </c>
      <c r="Q839" t="s">
        <v>3</v>
      </c>
      <c r="R839" t="s">
        <v>3</v>
      </c>
      <c r="S839" t="s">
        <v>11</v>
      </c>
      <c r="T839" t="s">
        <v>7</v>
      </c>
      <c r="U839">
        <v>1</v>
      </c>
      <c r="V839">
        <v>1</v>
      </c>
      <c r="W839">
        <v>0</v>
      </c>
      <c r="X839">
        <v>0</v>
      </c>
      <c r="Y839">
        <v>1</v>
      </c>
      <c r="Z839" t="s">
        <v>13</v>
      </c>
      <c r="AA839" t="s">
        <v>4</v>
      </c>
      <c r="AB839" t="s">
        <v>6</v>
      </c>
      <c r="AC839" t="s">
        <v>7</v>
      </c>
      <c r="AD839" t="s">
        <v>8</v>
      </c>
      <c r="AE839" t="s">
        <v>6</v>
      </c>
      <c r="AF839" t="s">
        <v>3</v>
      </c>
      <c r="AG839" t="s">
        <v>3</v>
      </c>
      <c r="AH839" t="s">
        <v>3</v>
      </c>
      <c r="AI839" t="s">
        <v>3</v>
      </c>
      <c r="AJ839" t="s">
        <v>3</v>
      </c>
      <c r="AK839" t="s">
        <v>7</v>
      </c>
      <c r="AL839">
        <v>0</v>
      </c>
      <c r="AM839">
        <v>0</v>
      </c>
      <c r="AN839">
        <v>0</v>
      </c>
      <c r="AO839">
        <v>0</v>
      </c>
      <c r="AP839">
        <v>0</v>
      </c>
      <c r="AQ839" t="s">
        <v>9</v>
      </c>
      <c r="AR839" s="1">
        <v>5.86950571E-6</v>
      </c>
      <c r="AS839" s="1">
        <v>3.4356805199999998E-28</v>
      </c>
      <c r="AT839">
        <v>35</v>
      </c>
      <c r="AU839" t="s">
        <v>10</v>
      </c>
      <c r="AV839">
        <v>1</v>
      </c>
      <c r="AW839">
        <v>1</v>
      </c>
      <c r="AX839">
        <v>0</v>
      </c>
      <c r="AY839">
        <v>0</v>
      </c>
      <c r="AZ839">
        <v>1</v>
      </c>
      <c r="BA839" t="s">
        <v>13</v>
      </c>
      <c r="BB839" t="s">
        <v>4</v>
      </c>
      <c r="BC839" t="s">
        <v>10</v>
      </c>
      <c r="BD839">
        <v>0</v>
      </c>
      <c r="BE839">
        <v>0</v>
      </c>
      <c r="BF839">
        <v>0</v>
      </c>
      <c r="BG839">
        <v>0</v>
      </c>
      <c r="BH839">
        <v>0</v>
      </c>
      <c r="BI839" t="s">
        <v>9</v>
      </c>
      <c r="BJ839">
        <v>0</v>
      </c>
      <c r="BK839">
        <v>-5.8699999999999997E-6</v>
      </c>
      <c r="BL839">
        <v>0</v>
      </c>
      <c r="BM839" s="2">
        <f t="shared" si="13"/>
        <v>2.0690151835257217E-9</v>
      </c>
    </row>
    <row r="840" spans="1:65" x14ac:dyDescent="0.35">
      <c r="A840">
        <v>0</v>
      </c>
      <c r="B840" t="s">
        <v>3</v>
      </c>
      <c r="C840" t="s">
        <v>4</v>
      </c>
      <c r="D840">
        <v>0</v>
      </c>
      <c r="E840" t="s">
        <v>3</v>
      </c>
      <c r="F840" t="s">
        <v>5</v>
      </c>
      <c r="G840">
        <v>3960.0414270000001</v>
      </c>
      <c r="H840" t="s">
        <v>4</v>
      </c>
      <c r="I840">
        <v>990.16341899999998</v>
      </c>
      <c r="J840">
        <v>2969.8780080000001</v>
      </c>
      <c r="K840" t="s">
        <v>6</v>
      </c>
      <c r="L840" t="s">
        <v>7</v>
      </c>
      <c r="M840" t="s">
        <v>8</v>
      </c>
      <c r="N840" t="s">
        <v>6</v>
      </c>
      <c r="O840" t="s">
        <v>3</v>
      </c>
      <c r="P840" t="s">
        <v>3</v>
      </c>
      <c r="Q840" t="s">
        <v>3</v>
      </c>
      <c r="R840" t="s">
        <v>3</v>
      </c>
      <c r="S840" t="s">
        <v>3</v>
      </c>
      <c r="T840" t="s">
        <v>7</v>
      </c>
      <c r="U840">
        <v>3</v>
      </c>
      <c r="V840">
        <v>0</v>
      </c>
      <c r="W840">
        <v>0</v>
      </c>
      <c r="X840">
        <v>1</v>
      </c>
      <c r="Y840">
        <v>0</v>
      </c>
      <c r="Z840" t="s">
        <v>15</v>
      </c>
      <c r="AA840" t="s">
        <v>4</v>
      </c>
      <c r="AB840" t="s">
        <v>6</v>
      </c>
      <c r="AC840" t="s">
        <v>7</v>
      </c>
      <c r="AD840" t="s">
        <v>8</v>
      </c>
      <c r="AE840" t="s">
        <v>6</v>
      </c>
      <c r="AF840" t="s">
        <v>3</v>
      </c>
      <c r="AG840" t="s">
        <v>3</v>
      </c>
      <c r="AH840" t="s">
        <v>3</v>
      </c>
      <c r="AI840" t="s">
        <v>3</v>
      </c>
      <c r="AJ840" t="s">
        <v>3</v>
      </c>
      <c r="AK840" t="s">
        <v>7</v>
      </c>
      <c r="AL840">
        <v>0</v>
      </c>
      <c r="AM840">
        <v>0</v>
      </c>
      <c r="AN840">
        <v>0</v>
      </c>
      <c r="AO840">
        <v>0</v>
      </c>
      <c r="AP840">
        <v>0</v>
      </c>
      <c r="AQ840" t="s">
        <v>9</v>
      </c>
      <c r="AR840" s="1">
        <v>7.4593421899999998E-5</v>
      </c>
      <c r="AS840" s="1">
        <v>4.4397199599999998E-26</v>
      </c>
      <c r="AT840">
        <v>34</v>
      </c>
      <c r="AU840" t="s">
        <v>10</v>
      </c>
      <c r="AV840">
        <v>3</v>
      </c>
      <c r="AW840">
        <v>0</v>
      </c>
      <c r="AX840">
        <v>0</v>
      </c>
      <c r="AY840">
        <v>1</v>
      </c>
      <c r="AZ840">
        <v>0</v>
      </c>
      <c r="BA840" t="s">
        <v>15</v>
      </c>
      <c r="BB840" t="s">
        <v>4</v>
      </c>
      <c r="BC840" t="s">
        <v>10</v>
      </c>
      <c r="BD840">
        <v>0</v>
      </c>
      <c r="BE840">
        <v>0</v>
      </c>
      <c r="BF840">
        <v>0</v>
      </c>
      <c r="BG840">
        <v>0</v>
      </c>
      <c r="BH840">
        <v>0</v>
      </c>
      <c r="BI840" t="s">
        <v>9</v>
      </c>
      <c r="BJ840">
        <v>-6.6320000000000002E-5</v>
      </c>
      <c r="BK840">
        <v>0</v>
      </c>
      <c r="BL840">
        <v>3.4150000000000003E-5</v>
      </c>
      <c r="BM840" s="2">
        <f t="shared" si="13"/>
        <v>2.6736618711690365E-7</v>
      </c>
    </row>
    <row r="841" spans="1:65" x14ac:dyDescent="0.35">
      <c r="A841">
        <v>0</v>
      </c>
      <c r="B841" t="s">
        <v>3</v>
      </c>
      <c r="C841" t="s">
        <v>4</v>
      </c>
      <c r="D841">
        <v>0</v>
      </c>
      <c r="E841" t="s">
        <v>3</v>
      </c>
      <c r="F841" t="s">
        <v>5</v>
      </c>
      <c r="G841">
        <v>2115.100946</v>
      </c>
      <c r="H841" t="s">
        <v>4</v>
      </c>
      <c r="I841">
        <v>990.16341899999998</v>
      </c>
      <c r="J841">
        <v>1124.937527</v>
      </c>
      <c r="K841" t="s">
        <v>6</v>
      </c>
      <c r="L841" t="s">
        <v>7</v>
      </c>
      <c r="M841" t="s">
        <v>8</v>
      </c>
      <c r="N841" t="s">
        <v>6</v>
      </c>
      <c r="O841" t="s">
        <v>3</v>
      </c>
      <c r="P841" t="s">
        <v>3</v>
      </c>
      <c r="Q841" t="s">
        <v>3</v>
      </c>
      <c r="R841" t="s">
        <v>3</v>
      </c>
      <c r="S841" t="s">
        <v>3</v>
      </c>
      <c r="T841" t="s">
        <v>7</v>
      </c>
      <c r="U841">
        <v>1</v>
      </c>
      <c r="V841">
        <v>1</v>
      </c>
      <c r="W841">
        <v>0</v>
      </c>
      <c r="X841">
        <v>0</v>
      </c>
      <c r="Y841">
        <v>0</v>
      </c>
      <c r="Z841" t="s">
        <v>8</v>
      </c>
      <c r="AA841" t="s">
        <v>4</v>
      </c>
      <c r="AB841" t="s">
        <v>6</v>
      </c>
      <c r="AC841" t="s">
        <v>7</v>
      </c>
      <c r="AD841" t="s">
        <v>8</v>
      </c>
      <c r="AE841" t="s">
        <v>6</v>
      </c>
      <c r="AF841" t="s">
        <v>3</v>
      </c>
      <c r="AG841" t="s">
        <v>3</v>
      </c>
      <c r="AH841" t="s">
        <v>3</v>
      </c>
      <c r="AI841" t="s">
        <v>3</v>
      </c>
      <c r="AJ841" t="s">
        <v>3</v>
      </c>
      <c r="AK841" t="s">
        <v>7</v>
      </c>
      <c r="AL841">
        <v>0</v>
      </c>
      <c r="AM841">
        <v>0</v>
      </c>
      <c r="AN841">
        <v>0</v>
      </c>
      <c r="AO841">
        <v>0</v>
      </c>
      <c r="AP841">
        <v>0</v>
      </c>
      <c r="AQ841" t="s">
        <v>9</v>
      </c>
      <c r="AR841" s="1">
        <v>7.7747022000000006E-6</v>
      </c>
      <c r="AS841" s="1">
        <v>1.8188915800000001E-28</v>
      </c>
      <c r="AT841">
        <v>40</v>
      </c>
      <c r="AU841" t="s">
        <v>10</v>
      </c>
      <c r="AV841">
        <v>1</v>
      </c>
      <c r="AW841">
        <v>1</v>
      </c>
      <c r="AX841">
        <v>0</v>
      </c>
      <c r="AY841">
        <v>0</v>
      </c>
      <c r="AZ841">
        <v>0</v>
      </c>
      <c r="BA841" t="s">
        <v>8</v>
      </c>
      <c r="BB841" t="s">
        <v>4</v>
      </c>
      <c r="BC841" t="s">
        <v>10</v>
      </c>
      <c r="BD841">
        <v>0</v>
      </c>
      <c r="BE841">
        <v>0</v>
      </c>
      <c r="BF841">
        <v>0</v>
      </c>
      <c r="BG841">
        <v>0</v>
      </c>
      <c r="BH841">
        <v>0</v>
      </c>
      <c r="BI841" t="s">
        <v>9</v>
      </c>
      <c r="BJ841">
        <v>-3.9899999999999999E-6</v>
      </c>
      <c r="BK841">
        <v>0</v>
      </c>
      <c r="BL841">
        <v>-6.6699999999999997E-6</v>
      </c>
      <c r="BM841" s="2">
        <f t="shared" si="13"/>
        <v>1.0953621194694465E-9</v>
      </c>
    </row>
    <row r="842" spans="1:65" x14ac:dyDescent="0.35">
      <c r="A842">
        <v>0</v>
      </c>
      <c r="B842" t="s">
        <v>11</v>
      </c>
      <c r="C842" t="s">
        <v>4</v>
      </c>
      <c r="D842">
        <v>0</v>
      </c>
      <c r="E842" t="s">
        <v>3</v>
      </c>
      <c r="F842" t="s">
        <v>5</v>
      </c>
      <c r="G842">
        <v>3772.7720060000001</v>
      </c>
      <c r="H842" t="s">
        <v>4</v>
      </c>
      <c r="I842">
        <v>990.16341899999998</v>
      </c>
      <c r="J842">
        <v>2782.6085870000002</v>
      </c>
      <c r="K842" t="s">
        <v>6</v>
      </c>
      <c r="L842" t="s">
        <v>7</v>
      </c>
      <c r="M842" t="s">
        <v>8</v>
      </c>
      <c r="N842" t="s">
        <v>6</v>
      </c>
      <c r="O842" t="s">
        <v>3</v>
      </c>
      <c r="P842" t="s">
        <v>3</v>
      </c>
      <c r="Q842" t="s">
        <v>3</v>
      </c>
      <c r="R842" t="s">
        <v>3</v>
      </c>
      <c r="S842" t="s">
        <v>11</v>
      </c>
      <c r="T842" t="s">
        <v>7</v>
      </c>
      <c r="U842">
        <v>0</v>
      </c>
      <c r="V842">
        <v>0</v>
      </c>
      <c r="W842">
        <v>0</v>
      </c>
      <c r="X842">
        <v>3</v>
      </c>
      <c r="Y842">
        <v>0</v>
      </c>
      <c r="Z842" t="s">
        <v>12</v>
      </c>
      <c r="AA842" t="s">
        <v>4</v>
      </c>
      <c r="AB842" t="s">
        <v>6</v>
      </c>
      <c r="AC842" t="s">
        <v>7</v>
      </c>
      <c r="AD842" t="s">
        <v>8</v>
      </c>
      <c r="AE842" t="s">
        <v>6</v>
      </c>
      <c r="AF842" t="s">
        <v>3</v>
      </c>
      <c r="AG842" t="s">
        <v>3</v>
      </c>
      <c r="AH842" t="s">
        <v>3</v>
      </c>
      <c r="AI842" t="s">
        <v>3</v>
      </c>
      <c r="AJ842" t="s">
        <v>3</v>
      </c>
      <c r="AK842" t="s">
        <v>7</v>
      </c>
      <c r="AL842">
        <v>0</v>
      </c>
      <c r="AM842">
        <v>0</v>
      </c>
      <c r="AN842">
        <v>0</v>
      </c>
      <c r="AO842">
        <v>0</v>
      </c>
      <c r="AP842">
        <v>0</v>
      </c>
      <c r="AQ842" t="s">
        <v>9</v>
      </c>
      <c r="AR842" s="1">
        <v>2.9288543300000002E-5</v>
      </c>
      <c r="AS842" s="1">
        <v>6.4130288400000002E-27</v>
      </c>
      <c r="AT842">
        <v>40</v>
      </c>
      <c r="AU842" t="s">
        <v>10</v>
      </c>
      <c r="AV842">
        <v>0</v>
      </c>
      <c r="AW842">
        <v>0</v>
      </c>
      <c r="AX842">
        <v>0</v>
      </c>
      <c r="AY842">
        <v>3</v>
      </c>
      <c r="AZ842">
        <v>0</v>
      </c>
      <c r="BA842" t="s">
        <v>12</v>
      </c>
      <c r="BB842" t="s">
        <v>4</v>
      </c>
      <c r="BC842" t="s">
        <v>10</v>
      </c>
      <c r="BD842">
        <v>0</v>
      </c>
      <c r="BE842">
        <v>0</v>
      </c>
      <c r="BF842">
        <v>0</v>
      </c>
      <c r="BG842">
        <v>0</v>
      </c>
      <c r="BH842">
        <v>0</v>
      </c>
      <c r="BI842" t="s">
        <v>9</v>
      </c>
      <c r="BJ842">
        <v>0</v>
      </c>
      <c r="BK842">
        <v>2.9289999999999999E-5</v>
      </c>
      <c r="BL842">
        <v>0</v>
      </c>
      <c r="BM842" s="2">
        <f t="shared" si="13"/>
        <v>3.8620162628940674E-8</v>
      </c>
    </row>
    <row r="843" spans="1:65" x14ac:dyDescent="0.35">
      <c r="A843">
        <v>0</v>
      </c>
      <c r="B843" t="s">
        <v>3</v>
      </c>
      <c r="C843" t="s">
        <v>4</v>
      </c>
      <c r="D843">
        <v>0</v>
      </c>
      <c r="E843" t="s">
        <v>3</v>
      </c>
      <c r="F843" t="s">
        <v>5</v>
      </c>
      <c r="G843">
        <v>2833.5875489999999</v>
      </c>
      <c r="H843" t="s">
        <v>4</v>
      </c>
      <c r="I843">
        <v>990.16341899999998</v>
      </c>
      <c r="J843">
        <v>1843.4241300000001</v>
      </c>
      <c r="K843" t="s">
        <v>6</v>
      </c>
      <c r="L843" t="s">
        <v>7</v>
      </c>
      <c r="M843" t="s">
        <v>8</v>
      </c>
      <c r="N843" t="s">
        <v>6</v>
      </c>
      <c r="O843" t="s">
        <v>3</v>
      </c>
      <c r="P843" t="s">
        <v>3</v>
      </c>
      <c r="Q843" t="s">
        <v>3</v>
      </c>
      <c r="R843" t="s">
        <v>3</v>
      </c>
      <c r="S843" t="s">
        <v>3</v>
      </c>
      <c r="T843" t="s">
        <v>7</v>
      </c>
      <c r="U843">
        <v>0</v>
      </c>
      <c r="V843">
        <v>0</v>
      </c>
      <c r="W843">
        <v>0</v>
      </c>
      <c r="X843">
        <v>0</v>
      </c>
      <c r="Y843">
        <v>2</v>
      </c>
      <c r="Z843" t="s">
        <v>15</v>
      </c>
      <c r="AA843" t="s">
        <v>4</v>
      </c>
      <c r="AB843" t="s">
        <v>6</v>
      </c>
      <c r="AC843" t="s">
        <v>7</v>
      </c>
      <c r="AD843" t="s">
        <v>8</v>
      </c>
      <c r="AE843" t="s">
        <v>6</v>
      </c>
      <c r="AF843" t="s">
        <v>3</v>
      </c>
      <c r="AG843" t="s">
        <v>3</v>
      </c>
      <c r="AH843" t="s">
        <v>3</v>
      </c>
      <c r="AI843" t="s">
        <v>3</v>
      </c>
      <c r="AJ843" t="s">
        <v>3</v>
      </c>
      <c r="AK843" t="s">
        <v>7</v>
      </c>
      <c r="AL843">
        <v>0</v>
      </c>
      <c r="AM843">
        <v>0</v>
      </c>
      <c r="AN843">
        <v>0</v>
      </c>
      <c r="AO843">
        <v>0</v>
      </c>
      <c r="AP843">
        <v>0</v>
      </c>
      <c r="AQ843" t="s">
        <v>9</v>
      </c>
      <c r="AR843" s="1">
        <v>2.2911671200000002E-3</v>
      </c>
      <c r="AS843" s="1">
        <v>2.5995354299999999E-23</v>
      </c>
      <c r="AT843">
        <v>34</v>
      </c>
      <c r="AU843" t="s">
        <v>10</v>
      </c>
      <c r="AV843">
        <v>0</v>
      </c>
      <c r="AW843">
        <v>0</v>
      </c>
      <c r="AX843">
        <v>0</v>
      </c>
      <c r="AY843">
        <v>0</v>
      </c>
      <c r="AZ843">
        <v>2</v>
      </c>
      <c r="BA843" t="s">
        <v>15</v>
      </c>
      <c r="BB843" t="s">
        <v>4</v>
      </c>
      <c r="BC843" t="s">
        <v>10</v>
      </c>
      <c r="BD843">
        <v>0</v>
      </c>
      <c r="BE843">
        <v>0</v>
      </c>
      <c r="BF843">
        <v>0</v>
      </c>
      <c r="BG843">
        <v>0</v>
      </c>
      <c r="BH843">
        <v>0</v>
      </c>
      <c r="BI843" t="s">
        <v>9</v>
      </c>
      <c r="BJ843">
        <v>-1.89044E-3</v>
      </c>
      <c r="BK843">
        <v>0</v>
      </c>
      <c r="BL843">
        <v>1.29448E-3</v>
      </c>
      <c r="BM843" s="2">
        <f t="shared" si="13"/>
        <v>1.5654768374048542E-4</v>
      </c>
    </row>
    <row r="844" spans="1:65" x14ac:dyDescent="0.35">
      <c r="A844">
        <v>0</v>
      </c>
      <c r="B844" t="s">
        <v>3</v>
      </c>
      <c r="C844" t="s">
        <v>4</v>
      </c>
      <c r="D844">
        <v>0</v>
      </c>
      <c r="E844" t="s">
        <v>3</v>
      </c>
      <c r="F844" t="s">
        <v>5</v>
      </c>
      <c r="G844">
        <v>4989.9809960000002</v>
      </c>
      <c r="H844" t="s">
        <v>4</v>
      </c>
      <c r="I844">
        <v>990.16341899999998</v>
      </c>
      <c r="J844">
        <v>3999.8175769999998</v>
      </c>
      <c r="K844" t="s">
        <v>6</v>
      </c>
      <c r="L844" t="s">
        <v>7</v>
      </c>
      <c r="M844" t="s">
        <v>8</v>
      </c>
      <c r="N844" t="s">
        <v>6</v>
      </c>
      <c r="O844" t="s">
        <v>3</v>
      </c>
      <c r="P844" t="s">
        <v>3</v>
      </c>
      <c r="Q844" t="s">
        <v>3</v>
      </c>
      <c r="R844" t="s">
        <v>3</v>
      </c>
      <c r="S844" t="s">
        <v>3</v>
      </c>
      <c r="T844" t="s">
        <v>7</v>
      </c>
      <c r="U844">
        <v>0</v>
      </c>
      <c r="V844">
        <v>2</v>
      </c>
      <c r="W844">
        <v>0</v>
      </c>
      <c r="X844">
        <v>1</v>
      </c>
      <c r="Y844">
        <v>1</v>
      </c>
      <c r="Z844" t="s">
        <v>15</v>
      </c>
      <c r="AA844" t="s">
        <v>4</v>
      </c>
      <c r="AB844" t="s">
        <v>6</v>
      </c>
      <c r="AC844" t="s">
        <v>7</v>
      </c>
      <c r="AD844" t="s">
        <v>8</v>
      </c>
      <c r="AE844" t="s">
        <v>6</v>
      </c>
      <c r="AF844" t="s">
        <v>3</v>
      </c>
      <c r="AG844" t="s">
        <v>3</v>
      </c>
      <c r="AH844" t="s">
        <v>3</v>
      </c>
      <c r="AI844" t="s">
        <v>3</v>
      </c>
      <c r="AJ844" t="s">
        <v>3</v>
      </c>
      <c r="AK844" t="s">
        <v>7</v>
      </c>
      <c r="AL844">
        <v>0</v>
      </c>
      <c r="AM844">
        <v>0</v>
      </c>
      <c r="AN844">
        <v>0</v>
      </c>
      <c r="AO844">
        <v>0</v>
      </c>
      <c r="AP844">
        <v>0</v>
      </c>
      <c r="AQ844" t="s">
        <v>9</v>
      </c>
      <c r="AR844" s="1">
        <v>1.28451915E-5</v>
      </c>
      <c r="AS844" s="1">
        <v>1.7731174699999999E-27</v>
      </c>
      <c r="AT844">
        <v>36</v>
      </c>
      <c r="AU844" t="s">
        <v>10</v>
      </c>
      <c r="AV844">
        <v>0</v>
      </c>
      <c r="AW844">
        <v>2</v>
      </c>
      <c r="AX844">
        <v>0</v>
      </c>
      <c r="AY844">
        <v>1</v>
      </c>
      <c r="AZ844">
        <v>1</v>
      </c>
      <c r="BA844" t="s">
        <v>15</v>
      </c>
      <c r="BB844" t="s">
        <v>4</v>
      </c>
      <c r="BC844" t="s">
        <v>10</v>
      </c>
      <c r="BD844">
        <v>0</v>
      </c>
      <c r="BE844">
        <v>0</v>
      </c>
      <c r="BF844">
        <v>0</v>
      </c>
      <c r="BG844">
        <v>0</v>
      </c>
      <c r="BH844">
        <v>0</v>
      </c>
      <c r="BI844" t="s">
        <v>9</v>
      </c>
      <c r="BJ844">
        <v>9.55E-6</v>
      </c>
      <c r="BK844">
        <v>0</v>
      </c>
      <c r="BL844">
        <v>8.5900000000000008E-6</v>
      </c>
      <c r="BM844" s="2">
        <f t="shared" si="13"/>
        <v>1.0677963059279776E-8</v>
      </c>
    </row>
    <row r="845" spans="1:65" x14ac:dyDescent="0.35">
      <c r="A845">
        <v>0</v>
      </c>
      <c r="B845" t="s">
        <v>3</v>
      </c>
      <c r="C845" t="s">
        <v>4</v>
      </c>
      <c r="D845">
        <v>0</v>
      </c>
      <c r="E845" t="s">
        <v>3</v>
      </c>
      <c r="F845" t="s">
        <v>5</v>
      </c>
      <c r="G845">
        <v>4565.4068509999997</v>
      </c>
      <c r="H845" t="s">
        <v>4</v>
      </c>
      <c r="I845">
        <v>990.16341899999998</v>
      </c>
      <c r="J845">
        <v>3575.2434309999999</v>
      </c>
      <c r="K845" t="s">
        <v>6</v>
      </c>
      <c r="L845" t="s">
        <v>7</v>
      </c>
      <c r="M845" t="s">
        <v>8</v>
      </c>
      <c r="N845" t="s">
        <v>6</v>
      </c>
      <c r="O845" t="s">
        <v>3</v>
      </c>
      <c r="P845" t="s">
        <v>3</v>
      </c>
      <c r="Q845" t="s">
        <v>3</v>
      </c>
      <c r="R845" t="s">
        <v>3</v>
      </c>
      <c r="S845" t="s">
        <v>3</v>
      </c>
      <c r="T845" t="s">
        <v>7</v>
      </c>
      <c r="U845">
        <v>0</v>
      </c>
      <c r="V845">
        <v>1</v>
      </c>
      <c r="W845">
        <v>0</v>
      </c>
      <c r="X845">
        <v>1</v>
      </c>
      <c r="Y845">
        <v>1</v>
      </c>
      <c r="Z845" t="s">
        <v>21</v>
      </c>
      <c r="AA845" t="s">
        <v>4</v>
      </c>
      <c r="AB845" t="s">
        <v>6</v>
      </c>
      <c r="AC845" t="s">
        <v>7</v>
      </c>
      <c r="AD845" t="s">
        <v>8</v>
      </c>
      <c r="AE845" t="s">
        <v>6</v>
      </c>
      <c r="AF845" t="s">
        <v>3</v>
      </c>
      <c r="AG845" t="s">
        <v>3</v>
      </c>
      <c r="AH845" t="s">
        <v>3</v>
      </c>
      <c r="AI845" t="s">
        <v>3</v>
      </c>
      <c r="AJ845" t="s">
        <v>3</v>
      </c>
      <c r="AK845" t="s">
        <v>7</v>
      </c>
      <c r="AL845">
        <v>0</v>
      </c>
      <c r="AM845">
        <v>0</v>
      </c>
      <c r="AN845">
        <v>0</v>
      </c>
      <c r="AO845">
        <v>0</v>
      </c>
      <c r="AP845">
        <v>0</v>
      </c>
      <c r="AQ845" t="s">
        <v>9</v>
      </c>
      <c r="AR845" s="1">
        <v>8.9978567700000004E-5</v>
      </c>
      <c r="AS845" s="1">
        <v>7.7767818699999995E-26</v>
      </c>
      <c r="AT845">
        <v>34</v>
      </c>
      <c r="AU845" t="s">
        <v>10</v>
      </c>
      <c r="AV845">
        <v>0</v>
      </c>
      <c r="AW845">
        <v>1</v>
      </c>
      <c r="AX845">
        <v>0</v>
      </c>
      <c r="AY845">
        <v>1</v>
      </c>
      <c r="AZ845">
        <v>1</v>
      </c>
      <c r="BA845" t="s">
        <v>21</v>
      </c>
      <c r="BB845" t="s">
        <v>4</v>
      </c>
      <c r="BC845" t="s">
        <v>10</v>
      </c>
      <c r="BD845">
        <v>0</v>
      </c>
      <c r="BE845">
        <v>0</v>
      </c>
      <c r="BF845">
        <v>0</v>
      </c>
      <c r="BG845">
        <v>0</v>
      </c>
      <c r="BH845">
        <v>0</v>
      </c>
      <c r="BI845" t="s">
        <v>9</v>
      </c>
      <c r="BJ845">
        <v>5.6789999999999997E-5</v>
      </c>
      <c r="BK845">
        <v>0</v>
      </c>
      <c r="BL845">
        <v>-6.9789999999999994E-5</v>
      </c>
      <c r="BM845" s="2">
        <f t="shared" si="13"/>
        <v>4.6832875392027291E-7</v>
      </c>
    </row>
    <row r="846" spans="1:65" x14ac:dyDescent="0.35">
      <c r="A846">
        <v>0</v>
      </c>
      <c r="B846" t="s">
        <v>3</v>
      </c>
      <c r="C846" t="s">
        <v>4</v>
      </c>
      <c r="D846">
        <v>0</v>
      </c>
      <c r="E846" t="s">
        <v>3</v>
      </c>
      <c r="F846" t="s">
        <v>5</v>
      </c>
      <c r="G846">
        <v>4188.7326990000001</v>
      </c>
      <c r="H846" t="s">
        <v>4</v>
      </c>
      <c r="I846">
        <v>990.16341899999998</v>
      </c>
      <c r="J846">
        <v>3198.5692800000002</v>
      </c>
      <c r="K846" t="s">
        <v>6</v>
      </c>
      <c r="L846" t="s">
        <v>7</v>
      </c>
      <c r="M846" t="s">
        <v>8</v>
      </c>
      <c r="N846" t="s">
        <v>6</v>
      </c>
      <c r="O846" t="s">
        <v>3</v>
      </c>
      <c r="P846" t="s">
        <v>3</v>
      </c>
      <c r="Q846" t="s">
        <v>3</v>
      </c>
      <c r="R846" t="s">
        <v>3</v>
      </c>
      <c r="S846" t="s">
        <v>3</v>
      </c>
      <c r="T846" t="s">
        <v>7</v>
      </c>
      <c r="U846">
        <v>0</v>
      </c>
      <c r="V846">
        <v>1</v>
      </c>
      <c r="W846">
        <v>0</v>
      </c>
      <c r="X846">
        <v>6</v>
      </c>
      <c r="Y846">
        <v>0</v>
      </c>
      <c r="Z846" t="s">
        <v>8</v>
      </c>
      <c r="AA846" t="s">
        <v>4</v>
      </c>
      <c r="AB846" t="s">
        <v>6</v>
      </c>
      <c r="AC846" t="s">
        <v>7</v>
      </c>
      <c r="AD846" t="s">
        <v>8</v>
      </c>
      <c r="AE846" t="s">
        <v>6</v>
      </c>
      <c r="AF846" t="s">
        <v>3</v>
      </c>
      <c r="AG846" t="s">
        <v>3</v>
      </c>
      <c r="AH846" t="s">
        <v>3</v>
      </c>
      <c r="AI846" t="s">
        <v>3</v>
      </c>
      <c r="AJ846" t="s">
        <v>3</v>
      </c>
      <c r="AK846" t="s">
        <v>7</v>
      </c>
      <c r="AL846">
        <v>0</v>
      </c>
      <c r="AM846">
        <v>0</v>
      </c>
      <c r="AN846">
        <v>0</v>
      </c>
      <c r="AO846">
        <v>0</v>
      </c>
      <c r="AP846">
        <v>0</v>
      </c>
      <c r="AQ846" t="s">
        <v>9</v>
      </c>
      <c r="AR846" s="1">
        <v>3.4450175000000003E-5</v>
      </c>
      <c r="AS846" s="1">
        <v>1.01989322E-26</v>
      </c>
      <c r="AT846">
        <v>40</v>
      </c>
      <c r="AU846" t="s">
        <v>10</v>
      </c>
      <c r="AV846">
        <v>0</v>
      </c>
      <c r="AW846">
        <v>1</v>
      </c>
      <c r="AX846">
        <v>0</v>
      </c>
      <c r="AY846">
        <v>6</v>
      </c>
      <c r="AZ846">
        <v>0</v>
      </c>
      <c r="BA846" t="s">
        <v>8</v>
      </c>
      <c r="BB846" t="s">
        <v>4</v>
      </c>
      <c r="BC846" t="s">
        <v>10</v>
      </c>
      <c r="BD846">
        <v>0</v>
      </c>
      <c r="BE846">
        <v>0</v>
      </c>
      <c r="BF846">
        <v>0</v>
      </c>
      <c r="BG846">
        <v>0</v>
      </c>
      <c r="BH846">
        <v>0</v>
      </c>
      <c r="BI846" t="s">
        <v>9</v>
      </c>
      <c r="BJ846">
        <v>3.4369999999999998E-5</v>
      </c>
      <c r="BK846">
        <v>0</v>
      </c>
      <c r="BL846">
        <v>2.3499999999999999E-6</v>
      </c>
      <c r="BM846" s="2">
        <f t="shared" si="13"/>
        <v>6.141940571805376E-8</v>
      </c>
    </row>
    <row r="847" spans="1:65" x14ac:dyDescent="0.35">
      <c r="A847">
        <v>0</v>
      </c>
      <c r="B847" t="s">
        <v>3</v>
      </c>
      <c r="C847" t="s">
        <v>4</v>
      </c>
      <c r="D847">
        <v>0</v>
      </c>
      <c r="E847" t="s">
        <v>3</v>
      </c>
      <c r="F847" t="s">
        <v>5</v>
      </c>
      <c r="G847">
        <v>4866.6979730000003</v>
      </c>
      <c r="H847" t="s">
        <v>4</v>
      </c>
      <c r="I847">
        <v>990.16341899999998</v>
      </c>
      <c r="J847">
        <v>3876.5345539999998</v>
      </c>
      <c r="K847" t="s">
        <v>6</v>
      </c>
      <c r="L847" t="s">
        <v>7</v>
      </c>
      <c r="M847" t="s">
        <v>8</v>
      </c>
      <c r="N847" t="s">
        <v>6</v>
      </c>
      <c r="O847" t="s">
        <v>3</v>
      </c>
      <c r="P847" t="s">
        <v>3</v>
      </c>
      <c r="Q847" t="s">
        <v>3</v>
      </c>
      <c r="R847" t="s">
        <v>3</v>
      </c>
      <c r="S847" t="s">
        <v>3</v>
      </c>
      <c r="T847" t="s">
        <v>7</v>
      </c>
      <c r="U847">
        <v>0</v>
      </c>
      <c r="V847">
        <v>1</v>
      </c>
      <c r="W847">
        <v>0</v>
      </c>
      <c r="X847">
        <v>6</v>
      </c>
      <c r="Y847">
        <v>0</v>
      </c>
      <c r="Z847" t="s">
        <v>15</v>
      </c>
      <c r="AA847" t="s">
        <v>4</v>
      </c>
      <c r="AB847" t="s">
        <v>6</v>
      </c>
      <c r="AC847" t="s">
        <v>7</v>
      </c>
      <c r="AD847" t="s">
        <v>8</v>
      </c>
      <c r="AE847" t="s">
        <v>6</v>
      </c>
      <c r="AF847" t="s">
        <v>3</v>
      </c>
      <c r="AG847" t="s">
        <v>3</v>
      </c>
      <c r="AH847" t="s">
        <v>3</v>
      </c>
      <c r="AI847" t="s">
        <v>3</v>
      </c>
      <c r="AJ847" t="s">
        <v>3</v>
      </c>
      <c r="AK847" t="s">
        <v>7</v>
      </c>
      <c r="AL847">
        <v>0</v>
      </c>
      <c r="AM847">
        <v>0</v>
      </c>
      <c r="AN847">
        <v>0</v>
      </c>
      <c r="AO847">
        <v>0</v>
      </c>
      <c r="AP847">
        <v>0</v>
      </c>
      <c r="AQ847" t="s">
        <v>9</v>
      </c>
      <c r="AR847" s="1">
        <v>1.9360741899999999E-5</v>
      </c>
      <c r="AS847" s="1">
        <v>3.9039460900000002E-27</v>
      </c>
      <c r="AT847">
        <v>36</v>
      </c>
      <c r="AU847" t="s">
        <v>10</v>
      </c>
      <c r="AV847">
        <v>0</v>
      </c>
      <c r="AW847">
        <v>1</v>
      </c>
      <c r="AX847">
        <v>0</v>
      </c>
      <c r="AY847">
        <v>6</v>
      </c>
      <c r="AZ847">
        <v>0</v>
      </c>
      <c r="BA847" t="s">
        <v>15</v>
      </c>
      <c r="BB847" t="s">
        <v>4</v>
      </c>
      <c r="BC847" t="s">
        <v>10</v>
      </c>
      <c r="BD847">
        <v>0</v>
      </c>
      <c r="BE847">
        <v>0</v>
      </c>
      <c r="BF847">
        <v>0</v>
      </c>
      <c r="BG847">
        <v>0</v>
      </c>
      <c r="BH847">
        <v>0</v>
      </c>
      <c r="BI847" t="s">
        <v>9</v>
      </c>
      <c r="BJ847">
        <v>-8.1000000000000004E-6</v>
      </c>
      <c r="BK847">
        <v>0</v>
      </c>
      <c r="BL847">
        <v>1.7580000000000001E-5</v>
      </c>
      <c r="BM847" s="2">
        <f t="shared" si="13"/>
        <v>2.3510113029589474E-8</v>
      </c>
    </row>
    <row r="848" spans="1:65" x14ac:dyDescent="0.35">
      <c r="A848">
        <v>0</v>
      </c>
      <c r="B848" t="s">
        <v>3</v>
      </c>
      <c r="C848" t="s">
        <v>4</v>
      </c>
      <c r="D848">
        <v>0</v>
      </c>
      <c r="E848" t="s">
        <v>3</v>
      </c>
      <c r="F848" t="s">
        <v>5</v>
      </c>
      <c r="G848">
        <v>4350.3160589999998</v>
      </c>
      <c r="H848" t="s">
        <v>4</v>
      </c>
      <c r="I848">
        <v>990.16341899999998</v>
      </c>
      <c r="J848">
        <v>3360.1526399999998</v>
      </c>
      <c r="K848" t="s">
        <v>6</v>
      </c>
      <c r="L848" t="s">
        <v>7</v>
      </c>
      <c r="M848" t="s">
        <v>8</v>
      </c>
      <c r="N848" t="s">
        <v>6</v>
      </c>
      <c r="O848" t="s">
        <v>3</v>
      </c>
      <c r="P848" t="s">
        <v>3</v>
      </c>
      <c r="Q848" t="s">
        <v>3</v>
      </c>
      <c r="R848" t="s">
        <v>3</v>
      </c>
      <c r="S848" t="s">
        <v>3</v>
      </c>
      <c r="T848" t="s">
        <v>7</v>
      </c>
      <c r="U848">
        <v>1</v>
      </c>
      <c r="V848">
        <v>1</v>
      </c>
      <c r="W848">
        <v>0</v>
      </c>
      <c r="X848">
        <v>3</v>
      </c>
      <c r="Y848">
        <v>0</v>
      </c>
      <c r="Z848" t="s">
        <v>9</v>
      </c>
      <c r="AA848" t="s">
        <v>4</v>
      </c>
      <c r="AB848" t="s">
        <v>6</v>
      </c>
      <c r="AC848" t="s">
        <v>7</v>
      </c>
      <c r="AD848" t="s">
        <v>8</v>
      </c>
      <c r="AE848" t="s">
        <v>6</v>
      </c>
      <c r="AF848" t="s">
        <v>3</v>
      </c>
      <c r="AG848" t="s">
        <v>3</v>
      </c>
      <c r="AH848" t="s">
        <v>3</v>
      </c>
      <c r="AI848" t="s">
        <v>3</v>
      </c>
      <c r="AJ848" t="s">
        <v>3</v>
      </c>
      <c r="AK848" t="s">
        <v>7</v>
      </c>
      <c r="AL848">
        <v>0</v>
      </c>
      <c r="AM848">
        <v>0</v>
      </c>
      <c r="AN848">
        <v>0</v>
      </c>
      <c r="AO848">
        <v>0</v>
      </c>
      <c r="AP848">
        <v>0</v>
      </c>
      <c r="AQ848" t="s">
        <v>9</v>
      </c>
      <c r="AR848" s="1">
        <v>2.7562422300000001E-5</v>
      </c>
      <c r="AS848" s="1">
        <v>6.8581960599999994E-27</v>
      </c>
      <c r="AT848">
        <v>35</v>
      </c>
      <c r="AU848" t="s">
        <v>10</v>
      </c>
      <c r="AV848">
        <v>1</v>
      </c>
      <c r="AW848">
        <v>1</v>
      </c>
      <c r="AX848">
        <v>0</v>
      </c>
      <c r="AY848">
        <v>3</v>
      </c>
      <c r="AZ848">
        <v>0</v>
      </c>
      <c r="BA848" t="s">
        <v>9</v>
      </c>
      <c r="BB848" t="s">
        <v>4</v>
      </c>
      <c r="BC848" t="s">
        <v>10</v>
      </c>
      <c r="BD848">
        <v>0</v>
      </c>
      <c r="BE848">
        <v>0</v>
      </c>
      <c r="BF848">
        <v>0</v>
      </c>
      <c r="BG848">
        <v>0</v>
      </c>
      <c r="BH848">
        <v>0</v>
      </c>
      <c r="BI848" t="s">
        <v>9</v>
      </c>
      <c r="BJ848">
        <v>-2.7350000000000001E-5</v>
      </c>
      <c r="BK848">
        <v>0</v>
      </c>
      <c r="BL848">
        <v>-3.3799999999999998E-6</v>
      </c>
      <c r="BM848" s="2">
        <f t="shared" si="13"/>
        <v>4.1301022307325246E-8</v>
      </c>
    </row>
    <row r="849" spans="1:65" x14ac:dyDescent="0.35">
      <c r="A849">
        <v>0</v>
      </c>
      <c r="B849" t="s">
        <v>11</v>
      </c>
      <c r="C849" t="s">
        <v>4</v>
      </c>
      <c r="D849">
        <v>0</v>
      </c>
      <c r="E849" t="s">
        <v>3</v>
      </c>
      <c r="F849" t="s">
        <v>5</v>
      </c>
      <c r="G849">
        <v>4642.0301900000004</v>
      </c>
      <c r="H849" t="s">
        <v>4</v>
      </c>
      <c r="I849">
        <v>990.16341899999998</v>
      </c>
      <c r="J849">
        <v>3651.866771</v>
      </c>
      <c r="K849" t="s">
        <v>6</v>
      </c>
      <c r="L849" t="s">
        <v>7</v>
      </c>
      <c r="M849" t="s">
        <v>8</v>
      </c>
      <c r="N849" t="s">
        <v>6</v>
      </c>
      <c r="O849" t="s">
        <v>3</v>
      </c>
      <c r="P849" t="s">
        <v>3</v>
      </c>
      <c r="Q849" t="s">
        <v>3</v>
      </c>
      <c r="R849" t="s">
        <v>3</v>
      </c>
      <c r="S849" t="s">
        <v>11</v>
      </c>
      <c r="T849" t="s">
        <v>7</v>
      </c>
      <c r="U849">
        <v>0</v>
      </c>
      <c r="V849">
        <v>1</v>
      </c>
      <c r="W849">
        <v>0</v>
      </c>
      <c r="X849">
        <v>0</v>
      </c>
      <c r="Y849">
        <v>0</v>
      </c>
      <c r="Z849" t="s">
        <v>25</v>
      </c>
      <c r="AA849" t="s">
        <v>4</v>
      </c>
      <c r="AB849" t="s">
        <v>6</v>
      </c>
      <c r="AC849" t="s">
        <v>7</v>
      </c>
      <c r="AD849" t="s">
        <v>8</v>
      </c>
      <c r="AE849" t="s">
        <v>6</v>
      </c>
      <c r="AF849" t="s">
        <v>3</v>
      </c>
      <c r="AG849" t="s">
        <v>3</v>
      </c>
      <c r="AH849" t="s">
        <v>3</v>
      </c>
      <c r="AI849" t="s">
        <v>3</v>
      </c>
      <c r="AJ849" t="s">
        <v>3</v>
      </c>
      <c r="AK849" t="s">
        <v>7</v>
      </c>
      <c r="AL849">
        <v>0</v>
      </c>
      <c r="AM849">
        <v>0</v>
      </c>
      <c r="AN849">
        <v>0</v>
      </c>
      <c r="AO849">
        <v>0</v>
      </c>
      <c r="AP849">
        <v>0</v>
      </c>
      <c r="AQ849" t="s">
        <v>9</v>
      </c>
      <c r="AR849" s="1">
        <v>5.2221190599999996E-6</v>
      </c>
      <c r="AS849" s="1">
        <v>2.67562113E-28</v>
      </c>
      <c r="AT849">
        <v>40</v>
      </c>
      <c r="AU849" t="s">
        <v>10</v>
      </c>
      <c r="AV849">
        <v>0</v>
      </c>
      <c r="AW849">
        <v>1</v>
      </c>
      <c r="AX849">
        <v>0</v>
      </c>
      <c r="AY849">
        <v>0</v>
      </c>
      <c r="AZ849">
        <v>0</v>
      </c>
      <c r="BA849" t="s">
        <v>25</v>
      </c>
      <c r="BB849" t="s">
        <v>4</v>
      </c>
      <c r="BC849" t="s">
        <v>10</v>
      </c>
      <c r="BD849">
        <v>0</v>
      </c>
      <c r="BE849">
        <v>0</v>
      </c>
      <c r="BF849">
        <v>0</v>
      </c>
      <c r="BG849">
        <v>0</v>
      </c>
      <c r="BH849">
        <v>0</v>
      </c>
      <c r="BI849" t="s">
        <v>9</v>
      </c>
      <c r="BJ849">
        <v>0</v>
      </c>
      <c r="BK849">
        <v>-5.22E-6</v>
      </c>
      <c r="BL849">
        <v>0</v>
      </c>
      <c r="BM849" s="2">
        <f t="shared" si="13"/>
        <v>1.6112967172315105E-9</v>
      </c>
    </row>
    <row r="850" spans="1:65" x14ac:dyDescent="0.35">
      <c r="A850">
        <v>0</v>
      </c>
      <c r="B850" t="s">
        <v>11</v>
      </c>
      <c r="C850" t="s">
        <v>4</v>
      </c>
      <c r="D850">
        <v>0</v>
      </c>
      <c r="E850" t="s">
        <v>3</v>
      </c>
      <c r="F850" t="s">
        <v>5</v>
      </c>
      <c r="G850">
        <v>4074.8461670000002</v>
      </c>
      <c r="H850" t="s">
        <v>4</v>
      </c>
      <c r="I850">
        <v>990.16341899999998</v>
      </c>
      <c r="J850">
        <v>3084.6827480000002</v>
      </c>
      <c r="K850" t="s">
        <v>6</v>
      </c>
      <c r="L850" t="s">
        <v>7</v>
      </c>
      <c r="M850" t="s">
        <v>8</v>
      </c>
      <c r="N850" t="s">
        <v>6</v>
      </c>
      <c r="O850" t="s">
        <v>3</v>
      </c>
      <c r="P850" t="s">
        <v>3</v>
      </c>
      <c r="Q850" t="s">
        <v>3</v>
      </c>
      <c r="R850" t="s">
        <v>3</v>
      </c>
      <c r="S850" t="s">
        <v>11</v>
      </c>
      <c r="T850" t="s">
        <v>7</v>
      </c>
      <c r="U850">
        <v>0</v>
      </c>
      <c r="V850">
        <v>2</v>
      </c>
      <c r="W850">
        <v>0</v>
      </c>
      <c r="X850">
        <v>0</v>
      </c>
      <c r="Y850">
        <v>0</v>
      </c>
      <c r="Z850" t="s">
        <v>13</v>
      </c>
      <c r="AA850" t="s">
        <v>4</v>
      </c>
      <c r="AB850" t="s">
        <v>6</v>
      </c>
      <c r="AC850" t="s">
        <v>7</v>
      </c>
      <c r="AD850" t="s">
        <v>8</v>
      </c>
      <c r="AE850" t="s">
        <v>6</v>
      </c>
      <c r="AF850" t="s">
        <v>3</v>
      </c>
      <c r="AG850" t="s">
        <v>3</v>
      </c>
      <c r="AH850" t="s">
        <v>3</v>
      </c>
      <c r="AI850" t="s">
        <v>3</v>
      </c>
      <c r="AJ850" t="s">
        <v>3</v>
      </c>
      <c r="AK850" t="s">
        <v>7</v>
      </c>
      <c r="AL850">
        <v>0</v>
      </c>
      <c r="AM850">
        <v>0</v>
      </c>
      <c r="AN850">
        <v>0</v>
      </c>
      <c r="AO850">
        <v>0</v>
      </c>
      <c r="AP850">
        <v>0</v>
      </c>
      <c r="AQ850" t="s">
        <v>9</v>
      </c>
      <c r="AR850" s="1">
        <v>3.4077127600000001E-6</v>
      </c>
      <c r="AS850" s="1">
        <v>9.6239305699999996E-29</v>
      </c>
      <c r="AT850">
        <v>36</v>
      </c>
      <c r="AU850" t="s">
        <v>10</v>
      </c>
      <c r="AV850">
        <v>0</v>
      </c>
      <c r="AW850">
        <v>2</v>
      </c>
      <c r="AX850">
        <v>0</v>
      </c>
      <c r="AY850">
        <v>0</v>
      </c>
      <c r="AZ850">
        <v>0</v>
      </c>
      <c r="BA850" t="s">
        <v>13</v>
      </c>
      <c r="BB850" t="s">
        <v>4</v>
      </c>
      <c r="BC850" t="s">
        <v>10</v>
      </c>
      <c r="BD850">
        <v>0</v>
      </c>
      <c r="BE850">
        <v>0</v>
      </c>
      <c r="BF850">
        <v>0</v>
      </c>
      <c r="BG850">
        <v>0</v>
      </c>
      <c r="BH850">
        <v>0</v>
      </c>
      <c r="BI850" t="s">
        <v>9</v>
      </c>
      <c r="BJ850">
        <v>0</v>
      </c>
      <c r="BK850">
        <v>-3.41E-6</v>
      </c>
      <c r="BL850">
        <v>0</v>
      </c>
      <c r="BM850" s="2">
        <f t="shared" si="13"/>
        <v>5.795666494196425E-10</v>
      </c>
    </row>
    <row r="851" spans="1:65" x14ac:dyDescent="0.35">
      <c r="A851">
        <v>0</v>
      </c>
      <c r="B851" t="s">
        <v>11</v>
      </c>
      <c r="C851" t="s">
        <v>4</v>
      </c>
      <c r="D851">
        <v>0</v>
      </c>
      <c r="E851" t="s">
        <v>3</v>
      </c>
      <c r="F851" t="s">
        <v>5</v>
      </c>
      <c r="G851">
        <v>3485.3156199999999</v>
      </c>
      <c r="H851" t="s">
        <v>4</v>
      </c>
      <c r="I851">
        <v>990.16341899999998</v>
      </c>
      <c r="J851">
        <v>2495.1522009999999</v>
      </c>
      <c r="K851" t="s">
        <v>6</v>
      </c>
      <c r="L851" t="s">
        <v>7</v>
      </c>
      <c r="M851" t="s">
        <v>8</v>
      </c>
      <c r="N851" t="s">
        <v>6</v>
      </c>
      <c r="O851" t="s">
        <v>3</v>
      </c>
      <c r="P851" t="s">
        <v>3</v>
      </c>
      <c r="Q851" t="s">
        <v>3</v>
      </c>
      <c r="R851" t="s">
        <v>3</v>
      </c>
      <c r="S851" t="s">
        <v>11</v>
      </c>
      <c r="T851" t="s">
        <v>7</v>
      </c>
      <c r="U851">
        <v>2</v>
      </c>
      <c r="V851">
        <v>1</v>
      </c>
      <c r="W851">
        <v>0</v>
      </c>
      <c r="X851">
        <v>0</v>
      </c>
      <c r="Y851">
        <v>0</v>
      </c>
      <c r="Z851" t="s">
        <v>18</v>
      </c>
      <c r="AA851" t="s">
        <v>4</v>
      </c>
      <c r="AB851" t="s">
        <v>6</v>
      </c>
      <c r="AC851" t="s">
        <v>7</v>
      </c>
      <c r="AD851" t="s">
        <v>8</v>
      </c>
      <c r="AE851" t="s">
        <v>6</v>
      </c>
      <c r="AF851" t="s">
        <v>3</v>
      </c>
      <c r="AG851" t="s">
        <v>3</v>
      </c>
      <c r="AH851" t="s">
        <v>3</v>
      </c>
      <c r="AI851" t="s">
        <v>3</v>
      </c>
      <c r="AJ851" t="s">
        <v>3</v>
      </c>
      <c r="AK851" t="s">
        <v>7</v>
      </c>
      <c r="AL851">
        <v>0</v>
      </c>
      <c r="AM851">
        <v>0</v>
      </c>
      <c r="AN851">
        <v>0</v>
      </c>
      <c r="AO851">
        <v>0</v>
      </c>
      <c r="AP851">
        <v>0</v>
      </c>
      <c r="AQ851" t="s">
        <v>9</v>
      </c>
      <c r="AR851" s="1">
        <v>2.5547510199999999E-5</v>
      </c>
      <c r="AS851" s="1">
        <v>4.3752998599999998E-27</v>
      </c>
      <c r="AT851">
        <v>40</v>
      </c>
      <c r="AU851" t="s">
        <v>10</v>
      </c>
      <c r="AV851">
        <v>2</v>
      </c>
      <c r="AW851">
        <v>1</v>
      </c>
      <c r="AX851">
        <v>0</v>
      </c>
      <c r="AY851">
        <v>0</v>
      </c>
      <c r="AZ851">
        <v>0</v>
      </c>
      <c r="BA851" t="s">
        <v>18</v>
      </c>
      <c r="BB851" t="s">
        <v>4</v>
      </c>
      <c r="BC851" t="s">
        <v>10</v>
      </c>
      <c r="BD851">
        <v>0</v>
      </c>
      <c r="BE851">
        <v>0</v>
      </c>
      <c r="BF851">
        <v>0</v>
      </c>
      <c r="BG851">
        <v>0</v>
      </c>
      <c r="BH851">
        <v>0</v>
      </c>
      <c r="BI851" t="s">
        <v>9</v>
      </c>
      <c r="BJ851">
        <v>0</v>
      </c>
      <c r="BK851">
        <v>-2.5550000000000001E-5</v>
      </c>
      <c r="BL851">
        <v>0</v>
      </c>
      <c r="BM851" s="2">
        <f t="shared" si="13"/>
        <v>2.6348671799140286E-8</v>
      </c>
    </row>
    <row r="852" spans="1:65" x14ac:dyDescent="0.35">
      <c r="A852">
        <v>0</v>
      </c>
      <c r="B852" t="s">
        <v>3</v>
      </c>
      <c r="C852" t="s">
        <v>4</v>
      </c>
      <c r="D852">
        <v>0</v>
      </c>
      <c r="E852" t="s">
        <v>3</v>
      </c>
      <c r="F852" t="s">
        <v>5</v>
      </c>
      <c r="G852">
        <v>4449.3173729999999</v>
      </c>
      <c r="H852" t="s">
        <v>4</v>
      </c>
      <c r="I852">
        <v>990.16341899999998</v>
      </c>
      <c r="J852">
        <v>3459.1539539999999</v>
      </c>
      <c r="K852" t="s">
        <v>6</v>
      </c>
      <c r="L852" t="s">
        <v>7</v>
      </c>
      <c r="M852" t="s">
        <v>8</v>
      </c>
      <c r="N852" t="s">
        <v>6</v>
      </c>
      <c r="O852" t="s">
        <v>3</v>
      </c>
      <c r="P852" t="s">
        <v>3</v>
      </c>
      <c r="Q852" t="s">
        <v>3</v>
      </c>
      <c r="R852" t="s">
        <v>3</v>
      </c>
      <c r="S852" t="s">
        <v>3</v>
      </c>
      <c r="T852" t="s">
        <v>7</v>
      </c>
      <c r="U852">
        <v>1</v>
      </c>
      <c r="V852">
        <v>2</v>
      </c>
      <c r="W852">
        <v>0</v>
      </c>
      <c r="X852">
        <v>0</v>
      </c>
      <c r="Y852">
        <v>0</v>
      </c>
      <c r="Z852" t="s">
        <v>15</v>
      </c>
      <c r="AA852" t="s">
        <v>4</v>
      </c>
      <c r="AB852" t="s">
        <v>6</v>
      </c>
      <c r="AC852" t="s">
        <v>7</v>
      </c>
      <c r="AD852" t="s">
        <v>8</v>
      </c>
      <c r="AE852" t="s">
        <v>6</v>
      </c>
      <c r="AF852" t="s">
        <v>3</v>
      </c>
      <c r="AG852" t="s">
        <v>3</v>
      </c>
      <c r="AH852" t="s">
        <v>3</v>
      </c>
      <c r="AI852" t="s">
        <v>3</v>
      </c>
      <c r="AJ852" t="s">
        <v>3</v>
      </c>
      <c r="AK852" t="s">
        <v>7</v>
      </c>
      <c r="AL852">
        <v>0</v>
      </c>
      <c r="AM852">
        <v>0</v>
      </c>
      <c r="AN852">
        <v>0</v>
      </c>
      <c r="AO852">
        <v>0</v>
      </c>
      <c r="AP852">
        <v>0</v>
      </c>
      <c r="AQ852" t="s">
        <v>9</v>
      </c>
      <c r="AR852" s="1">
        <v>5.35862571E-5</v>
      </c>
      <c r="AS852" s="1">
        <v>2.6686577300000002E-26</v>
      </c>
      <c r="AT852">
        <v>21</v>
      </c>
      <c r="AU852" t="s">
        <v>10</v>
      </c>
      <c r="AV852">
        <v>1</v>
      </c>
      <c r="AW852">
        <v>2</v>
      </c>
      <c r="AX852">
        <v>0</v>
      </c>
      <c r="AY852">
        <v>0</v>
      </c>
      <c r="AZ852">
        <v>0</v>
      </c>
      <c r="BA852" t="s">
        <v>15</v>
      </c>
      <c r="BB852" t="s">
        <v>4</v>
      </c>
      <c r="BC852" t="s">
        <v>10</v>
      </c>
      <c r="BD852">
        <v>0</v>
      </c>
      <c r="BE852">
        <v>0</v>
      </c>
      <c r="BF852">
        <v>0</v>
      </c>
      <c r="BG852">
        <v>0</v>
      </c>
      <c r="BH852">
        <v>0</v>
      </c>
      <c r="BI852" t="s">
        <v>9</v>
      </c>
      <c r="BJ852">
        <v>3.7379999999999998E-5</v>
      </c>
      <c r="BK852">
        <v>0</v>
      </c>
      <c r="BL852">
        <v>3.8389999999999997E-5</v>
      </c>
      <c r="BM852" s="2">
        <f t="shared" si="13"/>
        <v>1.6071032597068385E-7</v>
      </c>
    </row>
    <row r="853" spans="1:65" x14ac:dyDescent="0.35">
      <c r="A853">
        <v>0</v>
      </c>
      <c r="B853" t="s">
        <v>11</v>
      </c>
      <c r="C853" t="s">
        <v>4</v>
      </c>
      <c r="D853">
        <v>0</v>
      </c>
      <c r="E853" t="s">
        <v>3</v>
      </c>
      <c r="F853" t="s">
        <v>5</v>
      </c>
      <c r="G853">
        <v>4763.7675859999999</v>
      </c>
      <c r="H853" t="s">
        <v>4</v>
      </c>
      <c r="I853">
        <v>990.16341899999998</v>
      </c>
      <c r="J853">
        <v>3773.604167</v>
      </c>
      <c r="K853" t="s">
        <v>6</v>
      </c>
      <c r="L853" t="s">
        <v>7</v>
      </c>
      <c r="M853" t="s">
        <v>8</v>
      </c>
      <c r="N853" t="s">
        <v>6</v>
      </c>
      <c r="O853" t="s">
        <v>3</v>
      </c>
      <c r="P853" t="s">
        <v>3</v>
      </c>
      <c r="Q853" t="s">
        <v>3</v>
      </c>
      <c r="R853" t="s">
        <v>3</v>
      </c>
      <c r="S853" t="s">
        <v>11</v>
      </c>
      <c r="T853" t="s">
        <v>7</v>
      </c>
      <c r="U853">
        <v>0</v>
      </c>
      <c r="V853">
        <v>2</v>
      </c>
      <c r="W853">
        <v>0</v>
      </c>
      <c r="X853">
        <v>0</v>
      </c>
      <c r="Y853">
        <v>0</v>
      </c>
      <c r="Z853" t="s">
        <v>19</v>
      </c>
      <c r="AA853" t="s">
        <v>4</v>
      </c>
      <c r="AB853" t="s">
        <v>6</v>
      </c>
      <c r="AC853" t="s">
        <v>7</v>
      </c>
      <c r="AD853" t="s">
        <v>8</v>
      </c>
      <c r="AE853" t="s">
        <v>6</v>
      </c>
      <c r="AF853" t="s">
        <v>3</v>
      </c>
      <c r="AG853" t="s">
        <v>3</v>
      </c>
      <c r="AH853" t="s">
        <v>3</v>
      </c>
      <c r="AI853" t="s">
        <v>3</v>
      </c>
      <c r="AJ853" t="s">
        <v>3</v>
      </c>
      <c r="AK853" t="s">
        <v>7</v>
      </c>
      <c r="AL853">
        <v>0</v>
      </c>
      <c r="AM853">
        <v>0</v>
      </c>
      <c r="AN853">
        <v>0</v>
      </c>
      <c r="AO853">
        <v>0</v>
      </c>
      <c r="AP853">
        <v>0</v>
      </c>
      <c r="AQ853" t="s">
        <v>9</v>
      </c>
      <c r="AR853" s="1">
        <v>1.7585609799999999E-6</v>
      </c>
      <c r="AS853" s="1">
        <v>3.1353596499999998E-29</v>
      </c>
      <c r="AT853">
        <v>35</v>
      </c>
      <c r="AU853" t="s">
        <v>10</v>
      </c>
      <c r="AV853">
        <v>0</v>
      </c>
      <c r="AW853">
        <v>2</v>
      </c>
      <c r="AX853">
        <v>0</v>
      </c>
      <c r="AY853">
        <v>0</v>
      </c>
      <c r="AZ853">
        <v>0</v>
      </c>
      <c r="BA853" t="s">
        <v>19</v>
      </c>
      <c r="BB853" t="s">
        <v>4</v>
      </c>
      <c r="BC853" t="s">
        <v>10</v>
      </c>
      <c r="BD853">
        <v>0</v>
      </c>
      <c r="BE853">
        <v>0</v>
      </c>
      <c r="BF853">
        <v>0</v>
      </c>
      <c r="BG853">
        <v>0</v>
      </c>
      <c r="BH853">
        <v>0</v>
      </c>
      <c r="BI853" t="s">
        <v>9</v>
      </c>
      <c r="BJ853">
        <v>0</v>
      </c>
      <c r="BK853">
        <v>1.7600000000000001E-6</v>
      </c>
      <c r="BL853">
        <v>0</v>
      </c>
      <c r="BM853" s="2">
        <f t="shared" si="13"/>
        <v>1.8881577270938719E-10</v>
      </c>
    </row>
    <row r="854" spans="1:65" x14ac:dyDescent="0.35">
      <c r="A854">
        <v>0</v>
      </c>
      <c r="B854" t="s">
        <v>11</v>
      </c>
      <c r="C854" t="s">
        <v>4</v>
      </c>
      <c r="D854">
        <v>0</v>
      </c>
      <c r="E854" t="s">
        <v>3</v>
      </c>
      <c r="F854" t="s">
        <v>5</v>
      </c>
      <c r="G854">
        <v>4267.6532090000001</v>
      </c>
      <c r="H854" t="s">
        <v>4</v>
      </c>
      <c r="I854">
        <v>990.16341899999998</v>
      </c>
      <c r="J854">
        <v>3277.4897900000001</v>
      </c>
      <c r="K854" t="s">
        <v>6</v>
      </c>
      <c r="L854" t="s">
        <v>7</v>
      </c>
      <c r="M854" t="s">
        <v>8</v>
      </c>
      <c r="N854" t="s">
        <v>6</v>
      </c>
      <c r="O854" t="s">
        <v>3</v>
      </c>
      <c r="P854" t="s">
        <v>3</v>
      </c>
      <c r="Q854" t="s">
        <v>3</v>
      </c>
      <c r="R854" t="s">
        <v>3</v>
      </c>
      <c r="S854" t="s">
        <v>11</v>
      </c>
      <c r="T854" t="s">
        <v>7</v>
      </c>
      <c r="U854">
        <v>0</v>
      </c>
      <c r="V854">
        <v>2</v>
      </c>
      <c r="W854">
        <v>0</v>
      </c>
      <c r="X854">
        <v>3</v>
      </c>
      <c r="Y854">
        <v>0</v>
      </c>
      <c r="Z854" t="s">
        <v>18</v>
      </c>
      <c r="AA854" t="s">
        <v>4</v>
      </c>
      <c r="AB854" t="s">
        <v>6</v>
      </c>
      <c r="AC854" t="s">
        <v>7</v>
      </c>
      <c r="AD854" t="s">
        <v>8</v>
      </c>
      <c r="AE854" t="s">
        <v>6</v>
      </c>
      <c r="AF854" t="s">
        <v>3</v>
      </c>
      <c r="AG854" t="s">
        <v>3</v>
      </c>
      <c r="AH854" t="s">
        <v>3</v>
      </c>
      <c r="AI854" t="s">
        <v>3</v>
      </c>
      <c r="AJ854" t="s">
        <v>3</v>
      </c>
      <c r="AK854" t="s">
        <v>7</v>
      </c>
      <c r="AL854">
        <v>0</v>
      </c>
      <c r="AM854">
        <v>0</v>
      </c>
      <c r="AN854">
        <v>0</v>
      </c>
      <c r="AO854">
        <v>0</v>
      </c>
      <c r="AP854">
        <v>0</v>
      </c>
      <c r="AQ854" t="s">
        <v>9</v>
      </c>
      <c r="AR854" s="1">
        <v>3.19375498E-6</v>
      </c>
      <c r="AS854" s="1">
        <v>8.9817433599999997E-29</v>
      </c>
      <c r="AT854">
        <v>35</v>
      </c>
      <c r="AU854" t="s">
        <v>10</v>
      </c>
      <c r="AV854">
        <v>0</v>
      </c>
      <c r="AW854">
        <v>2</v>
      </c>
      <c r="AX854">
        <v>0</v>
      </c>
      <c r="AY854">
        <v>3</v>
      </c>
      <c r="AZ854">
        <v>0</v>
      </c>
      <c r="BA854" t="s">
        <v>18</v>
      </c>
      <c r="BB854" t="s">
        <v>4</v>
      </c>
      <c r="BC854" t="s">
        <v>10</v>
      </c>
      <c r="BD854">
        <v>0</v>
      </c>
      <c r="BE854">
        <v>0</v>
      </c>
      <c r="BF854">
        <v>0</v>
      </c>
      <c r="BG854">
        <v>0</v>
      </c>
      <c r="BH854">
        <v>0</v>
      </c>
      <c r="BI854" t="s">
        <v>9</v>
      </c>
      <c r="BJ854">
        <v>0</v>
      </c>
      <c r="BK854">
        <v>3.19E-6</v>
      </c>
      <c r="BL854">
        <v>0</v>
      </c>
      <c r="BM854" s="2">
        <f t="shared" si="13"/>
        <v>5.4089323143385079E-10</v>
      </c>
    </row>
    <row r="855" spans="1:65" x14ac:dyDescent="0.35">
      <c r="A855">
        <v>0</v>
      </c>
      <c r="B855" t="s">
        <v>11</v>
      </c>
      <c r="C855" t="s">
        <v>4</v>
      </c>
      <c r="D855">
        <v>0</v>
      </c>
      <c r="E855" t="s">
        <v>3</v>
      </c>
      <c r="F855" t="s">
        <v>5</v>
      </c>
      <c r="G855">
        <v>4410.5384979999999</v>
      </c>
      <c r="H855" t="s">
        <v>4</v>
      </c>
      <c r="I855">
        <v>990.16341899999998</v>
      </c>
      <c r="J855">
        <v>3420.3750789999999</v>
      </c>
      <c r="K855" t="s">
        <v>6</v>
      </c>
      <c r="L855" t="s">
        <v>7</v>
      </c>
      <c r="M855" t="s">
        <v>8</v>
      </c>
      <c r="N855" t="s">
        <v>6</v>
      </c>
      <c r="O855" t="s">
        <v>3</v>
      </c>
      <c r="P855" t="s">
        <v>3</v>
      </c>
      <c r="Q855" t="s">
        <v>3</v>
      </c>
      <c r="R855" t="s">
        <v>3</v>
      </c>
      <c r="S855" t="s">
        <v>11</v>
      </c>
      <c r="T855" t="s">
        <v>7</v>
      </c>
      <c r="U855">
        <v>0</v>
      </c>
      <c r="V855">
        <v>2</v>
      </c>
      <c r="W855">
        <v>0</v>
      </c>
      <c r="X855">
        <v>1</v>
      </c>
      <c r="Y855">
        <v>0</v>
      </c>
      <c r="Z855" t="s">
        <v>14</v>
      </c>
      <c r="AA855" t="s">
        <v>4</v>
      </c>
      <c r="AB855" t="s">
        <v>6</v>
      </c>
      <c r="AC855" t="s">
        <v>7</v>
      </c>
      <c r="AD855" t="s">
        <v>8</v>
      </c>
      <c r="AE855" t="s">
        <v>6</v>
      </c>
      <c r="AF855" t="s">
        <v>3</v>
      </c>
      <c r="AG855" t="s">
        <v>3</v>
      </c>
      <c r="AH855" t="s">
        <v>3</v>
      </c>
      <c r="AI855" t="s">
        <v>3</v>
      </c>
      <c r="AJ855" t="s">
        <v>3</v>
      </c>
      <c r="AK855" t="s">
        <v>7</v>
      </c>
      <c r="AL855">
        <v>0</v>
      </c>
      <c r="AM855">
        <v>0</v>
      </c>
      <c r="AN855">
        <v>0</v>
      </c>
      <c r="AO855">
        <v>0</v>
      </c>
      <c r="AP855">
        <v>0</v>
      </c>
      <c r="AQ855" t="s">
        <v>9</v>
      </c>
      <c r="AR855" s="1">
        <v>2.1777859600000001E-5</v>
      </c>
      <c r="AS855" s="1">
        <v>4.3583314299999998E-27</v>
      </c>
      <c r="AT855">
        <v>35</v>
      </c>
      <c r="AU855" t="s">
        <v>10</v>
      </c>
      <c r="AV855">
        <v>0</v>
      </c>
      <c r="AW855">
        <v>2</v>
      </c>
      <c r="AX855">
        <v>0</v>
      </c>
      <c r="AY855">
        <v>1</v>
      </c>
      <c r="AZ855">
        <v>0</v>
      </c>
      <c r="BA855" t="s">
        <v>14</v>
      </c>
      <c r="BB855" t="s">
        <v>4</v>
      </c>
      <c r="BC855" t="s">
        <v>10</v>
      </c>
      <c r="BD855">
        <v>0</v>
      </c>
      <c r="BE855">
        <v>0</v>
      </c>
      <c r="BF855">
        <v>0</v>
      </c>
      <c r="BG855">
        <v>0</v>
      </c>
      <c r="BH855">
        <v>0</v>
      </c>
      <c r="BI855" t="s">
        <v>9</v>
      </c>
      <c r="BJ855">
        <v>0</v>
      </c>
      <c r="BK855">
        <v>2.1780000000000002E-5</v>
      </c>
      <c r="BL855">
        <v>0</v>
      </c>
      <c r="BM855" s="2">
        <f t="shared" si="13"/>
        <v>2.6246485524525342E-8</v>
      </c>
    </row>
    <row r="856" spans="1:65" x14ac:dyDescent="0.35">
      <c r="A856">
        <v>0</v>
      </c>
      <c r="B856" t="s">
        <v>11</v>
      </c>
      <c r="C856" t="s">
        <v>4</v>
      </c>
      <c r="D856">
        <v>0</v>
      </c>
      <c r="E856" t="s">
        <v>3</v>
      </c>
      <c r="F856" t="s">
        <v>5</v>
      </c>
      <c r="G856">
        <v>4815.8914599999998</v>
      </c>
      <c r="H856" t="s">
        <v>4</v>
      </c>
      <c r="I856">
        <v>990.16341899999998</v>
      </c>
      <c r="J856">
        <v>3825.7280409999998</v>
      </c>
      <c r="K856" t="s">
        <v>6</v>
      </c>
      <c r="L856" t="s">
        <v>7</v>
      </c>
      <c r="M856" t="s">
        <v>8</v>
      </c>
      <c r="N856" t="s">
        <v>6</v>
      </c>
      <c r="O856" t="s">
        <v>3</v>
      </c>
      <c r="P856" t="s">
        <v>3</v>
      </c>
      <c r="Q856" t="s">
        <v>3</v>
      </c>
      <c r="R856" t="s">
        <v>3</v>
      </c>
      <c r="S856" t="s">
        <v>11</v>
      </c>
      <c r="T856" t="s">
        <v>7</v>
      </c>
      <c r="U856">
        <v>1</v>
      </c>
      <c r="V856">
        <v>0</v>
      </c>
      <c r="W856">
        <v>0</v>
      </c>
      <c r="X856">
        <v>1</v>
      </c>
      <c r="Y856">
        <v>2</v>
      </c>
      <c r="Z856" t="s">
        <v>13</v>
      </c>
      <c r="AA856" t="s">
        <v>4</v>
      </c>
      <c r="AB856" t="s">
        <v>6</v>
      </c>
      <c r="AC856" t="s">
        <v>7</v>
      </c>
      <c r="AD856" t="s">
        <v>8</v>
      </c>
      <c r="AE856" t="s">
        <v>6</v>
      </c>
      <c r="AF856" t="s">
        <v>3</v>
      </c>
      <c r="AG856" t="s">
        <v>3</v>
      </c>
      <c r="AH856" t="s">
        <v>3</v>
      </c>
      <c r="AI856" t="s">
        <v>3</v>
      </c>
      <c r="AJ856" t="s">
        <v>3</v>
      </c>
      <c r="AK856" t="s">
        <v>7</v>
      </c>
      <c r="AL856">
        <v>0</v>
      </c>
      <c r="AM856">
        <v>0</v>
      </c>
      <c r="AN856">
        <v>0</v>
      </c>
      <c r="AO856">
        <v>0</v>
      </c>
      <c r="AP856">
        <v>0</v>
      </c>
      <c r="AQ856" t="s">
        <v>9</v>
      </c>
      <c r="AR856" s="1">
        <v>1.8085926099999998E-5</v>
      </c>
      <c r="AS856" s="1">
        <v>3.3621087599999999E-27</v>
      </c>
      <c r="AT856">
        <v>37</v>
      </c>
      <c r="AU856" t="s">
        <v>10</v>
      </c>
      <c r="AV856">
        <v>1</v>
      </c>
      <c r="AW856">
        <v>0</v>
      </c>
      <c r="AX856">
        <v>0</v>
      </c>
      <c r="AY856">
        <v>1</v>
      </c>
      <c r="AZ856">
        <v>2</v>
      </c>
      <c r="BA856" t="s">
        <v>13</v>
      </c>
      <c r="BB856" t="s">
        <v>4</v>
      </c>
      <c r="BC856" t="s">
        <v>10</v>
      </c>
      <c r="BD856">
        <v>0</v>
      </c>
      <c r="BE856">
        <v>0</v>
      </c>
      <c r="BF856">
        <v>0</v>
      </c>
      <c r="BG856">
        <v>0</v>
      </c>
      <c r="BH856">
        <v>0</v>
      </c>
      <c r="BI856" t="s">
        <v>9</v>
      </c>
      <c r="BJ856">
        <v>0</v>
      </c>
      <c r="BK856">
        <v>1.8090000000000001E-5</v>
      </c>
      <c r="BL856">
        <v>0</v>
      </c>
      <c r="BM856" s="2">
        <f t="shared" si="13"/>
        <v>2.0247092337633406E-8</v>
      </c>
    </row>
    <row r="857" spans="1:65" x14ac:dyDescent="0.35">
      <c r="A857">
        <v>0</v>
      </c>
      <c r="B857" t="s">
        <v>3</v>
      </c>
      <c r="C857" t="s">
        <v>4</v>
      </c>
      <c r="D857">
        <v>0</v>
      </c>
      <c r="E857" t="s">
        <v>3</v>
      </c>
      <c r="F857" t="s">
        <v>5</v>
      </c>
      <c r="G857">
        <v>3098.3907349999999</v>
      </c>
      <c r="H857" t="s">
        <v>4</v>
      </c>
      <c r="I857">
        <v>990.16341899999998</v>
      </c>
      <c r="J857">
        <v>2108.227316</v>
      </c>
      <c r="K857" t="s">
        <v>6</v>
      </c>
      <c r="L857" t="s">
        <v>7</v>
      </c>
      <c r="M857" t="s">
        <v>8</v>
      </c>
      <c r="N857" t="s">
        <v>6</v>
      </c>
      <c r="O857" t="s">
        <v>3</v>
      </c>
      <c r="P857" t="s">
        <v>3</v>
      </c>
      <c r="Q857" t="s">
        <v>3</v>
      </c>
      <c r="R857" t="s">
        <v>3</v>
      </c>
      <c r="S857" t="s">
        <v>3</v>
      </c>
      <c r="T857" t="s">
        <v>7</v>
      </c>
      <c r="U857">
        <v>0</v>
      </c>
      <c r="V857">
        <v>0</v>
      </c>
      <c r="W857">
        <v>0</v>
      </c>
      <c r="X857">
        <v>3</v>
      </c>
      <c r="Y857">
        <v>0</v>
      </c>
      <c r="Z857" t="s">
        <v>21</v>
      </c>
      <c r="AA857" t="s">
        <v>4</v>
      </c>
      <c r="AB857" t="s">
        <v>6</v>
      </c>
      <c r="AC857" t="s">
        <v>7</v>
      </c>
      <c r="AD857" t="s">
        <v>8</v>
      </c>
      <c r="AE857" t="s">
        <v>6</v>
      </c>
      <c r="AF857" t="s">
        <v>3</v>
      </c>
      <c r="AG857" t="s">
        <v>3</v>
      </c>
      <c r="AH857" t="s">
        <v>3</v>
      </c>
      <c r="AI857" t="s">
        <v>3</v>
      </c>
      <c r="AJ857" t="s">
        <v>3</v>
      </c>
      <c r="AK857" t="s">
        <v>7</v>
      </c>
      <c r="AL857">
        <v>0</v>
      </c>
      <c r="AM857">
        <v>0</v>
      </c>
      <c r="AN857">
        <v>0</v>
      </c>
      <c r="AO857">
        <v>0</v>
      </c>
      <c r="AP857">
        <v>0</v>
      </c>
      <c r="AQ857" t="s">
        <v>9</v>
      </c>
      <c r="AR857" s="1">
        <v>3.98277624E-4</v>
      </c>
      <c r="AS857" s="1">
        <v>8.9843967599999998E-25</v>
      </c>
      <c r="AT857">
        <v>37</v>
      </c>
      <c r="AU857" t="s">
        <v>10</v>
      </c>
      <c r="AV857">
        <v>0</v>
      </c>
      <c r="AW857">
        <v>0</v>
      </c>
      <c r="AX857">
        <v>0</v>
      </c>
      <c r="AY857">
        <v>3</v>
      </c>
      <c r="AZ857">
        <v>0</v>
      </c>
      <c r="BA857" t="s">
        <v>21</v>
      </c>
      <c r="BB857" t="s">
        <v>4</v>
      </c>
      <c r="BC857" t="s">
        <v>10</v>
      </c>
      <c r="BD857">
        <v>0</v>
      </c>
      <c r="BE857">
        <v>0</v>
      </c>
      <c r="BF857">
        <v>0</v>
      </c>
      <c r="BG857">
        <v>0</v>
      </c>
      <c r="BH857">
        <v>0</v>
      </c>
      <c r="BI857" t="s">
        <v>9</v>
      </c>
      <c r="BJ857">
        <v>-3.5851999999999998E-4</v>
      </c>
      <c r="BK857">
        <v>0</v>
      </c>
      <c r="BL857">
        <v>-1.7344999999999999E-4</v>
      </c>
      <c r="BM857" s="2">
        <f t="shared" si="13"/>
        <v>5.4105302291783805E-6</v>
      </c>
    </row>
    <row r="858" spans="1:65" x14ac:dyDescent="0.35">
      <c r="A858">
        <v>0</v>
      </c>
      <c r="B858" t="s">
        <v>11</v>
      </c>
      <c r="C858" t="s">
        <v>4</v>
      </c>
      <c r="D858">
        <v>0</v>
      </c>
      <c r="E858" t="s">
        <v>3</v>
      </c>
      <c r="F858" t="s">
        <v>5</v>
      </c>
      <c r="G858">
        <v>3323.9740670000001</v>
      </c>
      <c r="H858" t="s">
        <v>4</v>
      </c>
      <c r="I858">
        <v>990.16341899999998</v>
      </c>
      <c r="J858">
        <v>2333.8106480000001</v>
      </c>
      <c r="K858" t="s">
        <v>6</v>
      </c>
      <c r="L858" t="s">
        <v>7</v>
      </c>
      <c r="M858" t="s">
        <v>8</v>
      </c>
      <c r="N858" t="s">
        <v>6</v>
      </c>
      <c r="O858" t="s">
        <v>3</v>
      </c>
      <c r="P858" t="s">
        <v>3</v>
      </c>
      <c r="Q858" t="s">
        <v>3</v>
      </c>
      <c r="R858" t="s">
        <v>3</v>
      </c>
      <c r="S858" t="s">
        <v>11</v>
      </c>
      <c r="T858" t="s">
        <v>7</v>
      </c>
      <c r="U858">
        <v>0</v>
      </c>
      <c r="V858">
        <v>0</v>
      </c>
      <c r="W858">
        <v>0</v>
      </c>
      <c r="X858">
        <v>0</v>
      </c>
      <c r="Y858">
        <v>2</v>
      </c>
      <c r="Z858" t="s">
        <v>14</v>
      </c>
      <c r="AA858" t="s">
        <v>4</v>
      </c>
      <c r="AB858" t="s">
        <v>6</v>
      </c>
      <c r="AC858" t="s">
        <v>7</v>
      </c>
      <c r="AD858" t="s">
        <v>8</v>
      </c>
      <c r="AE858" t="s">
        <v>6</v>
      </c>
      <c r="AF858" t="s">
        <v>3</v>
      </c>
      <c r="AG858" t="s">
        <v>3</v>
      </c>
      <c r="AH858" t="s">
        <v>3</v>
      </c>
      <c r="AI858" t="s">
        <v>3</v>
      </c>
      <c r="AJ858" t="s">
        <v>3</v>
      </c>
      <c r="AK858" t="s">
        <v>7</v>
      </c>
      <c r="AL858">
        <v>0</v>
      </c>
      <c r="AM858">
        <v>0</v>
      </c>
      <c r="AN858">
        <v>0</v>
      </c>
      <c r="AO858">
        <v>0</v>
      </c>
      <c r="AP858">
        <v>0</v>
      </c>
      <c r="AQ858" t="s">
        <v>9</v>
      </c>
      <c r="AR858" s="1">
        <v>2.66330628E-3</v>
      </c>
      <c r="AS858" s="1">
        <v>4.4475256E-23</v>
      </c>
      <c r="AT858">
        <v>40</v>
      </c>
      <c r="AU858" t="s">
        <v>10</v>
      </c>
      <c r="AV858">
        <v>0</v>
      </c>
      <c r="AW858">
        <v>0</v>
      </c>
      <c r="AX858">
        <v>0</v>
      </c>
      <c r="AY858">
        <v>0</v>
      </c>
      <c r="AZ858">
        <v>2</v>
      </c>
      <c r="BA858" t="s">
        <v>14</v>
      </c>
      <c r="BB858" t="s">
        <v>4</v>
      </c>
      <c r="BC858" t="s">
        <v>10</v>
      </c>
      <c r="BD858">
        <v>0</v>
      </c>
      <c r="BE858">
        <v>0</v>
      </c>
      <c r="BF858">
        <v>0</v>
      </c>
      <c r="BG858">
        <v>0</v>
      </c>
      <c r="BH858">
        <v>0</v>
      </c>
      <c r="BI858" t="s">
        <v>9</v>
      </c>
      <c r="BJ858">
        <v>0</v>
      </c>
      <c r="BK858">
        <v>2.6633099999999999E-3</v>
      </c>
      <c r="BL858">
        <v>0</v>
      </c>
      <c r="BM858" s="2">
        <f t="shared" si="13"/>
        <v>2.6783625374804479E-4</v>
      </c>
    </row>
    <row r="859" spans="1:65" x14ac:dyDescent="0.35">
      <c r="A859">
        <v>0</v>
      </c>
      <c r="B859" t="s">
        <v>3</v>
      </c>
      <c r="C859" t="s">
        <v>4</v>
      </c>
      <c r="D859">
        <v>0</v>
      </c>
      <c r="E859" t="s">
        <v>3</v>
      </c>
      <c r="F859" t="s">
        <v>5</v>
      </c>
      <c r="G859">
        <v>3881.7299910000002</v>
      </c>
      <c r="H859" t="s">
        <v>4</v>
      </c>
      <c r="I859">
        <v>990.16341899999998</v>
      </c>
      <c r="J859">
        <v>2891.5665720000002</v>
      </c>
      <c r="K859" t="s">
        <v>6</v>
      </c>
      <c r="L859" t="s">
        <v>7</v>
      </c>
      <c r="M859" t="s">
        <v>8</v>
      </c>
      <c r="N859" t="s">
        <v>6</v>
      </c>
      <c r="O859" t="s">
        <v>3</v>
      </c>
      <c r="P859" t="s">
        <v>3</v>
      </c>
      <c r="Q859" t="s">
        <v>3</v>
      </c>
      <c r="R859" t="s">
        <v>3</v>
      </c>
      <c r="S859" t="s">
        <v>3</v>
      </c>
      <c r="T859" t="s">
        <v>7</v>
      </c>
      <c r="U859">
        <v>1</v>
      </c>
      <c r="V859">
        <v>1</v>
      </c>
      <c r="W859">
        <v>0</v>
      </c>
      <c r="X859">
        <v>3</v>
      </c>
      <c r="Y859">
        <v>0</v>
      </c>
      <c r="Z859" t="s">
        <v>8</v>
      </c>
      <c r="AA859" t="s">
        <v>4</v>
      </c>
      <c r="AB859" t="s">
        <v>6</v>
      </c>
      <c r="AC859" t="s">
        <v>7</v>
      </c>
      <c r="AD859" t="s">
        <v>8</v>
      </c>
      <c r="AE859" t="s">
        <v>6</v>
      </c>
      <c r="AF859" t="s">
        <v>3</v>
      </c>
      <c r="AG859" t="s">
        <v>3</v>
      </c>
      <c r="AH859" t="s">
        <v>3</v>
      </c>
      <c r="AI859" t="s">
        <v>3</v>
      </c>
      <c r="AJ859" t="s">
        <v>3</v>
      </c>
      <c r="AK859" t="s">
        <v>7</v>
      </c>
      <c r="AL859">
        <v>0</v>
      </c>
      <c r="AM859">
        <v>0</v>
      </c>
      <c r="AN859">
        <v>0</v>
      </c>
      <c r="AO859">
        <v>0</v>
      </c>
      <c r="AP859">
        <v>0</v>
      </c>
      <c r="AQ859" t="s">
        <v>9</v>
      </c>
      <c r="AR859" s="1">
        <v>5.17924409E-6</v>
      </c>
      <c r="AS859" s="1">
        <v>2.0839233599999999E-28</v>
      </c>
      <c r="AT859">
        <v>35</v>
      </c>
      <c r="AU859" t="s">
        <v>10</v>
      </c>
      <c r="AV859">
        <v>1</v>
      </c>
      <c r="AW859">
        <v>1</v>
      </c>
      <c r="AX859">
        <v>0</v>
      </c>
      <c r="AY859">
        <v>3</v>
      </c>
      <c r="AZ859">
        <v>0</v>
      </c>
      <c r="BA859" t="s">
        <v>8</v>
      </c>
      <c r="BB859" t="s">
        <v>4</v>
      </c>
      <c r="BC859" t="s">
        <v>10</v>
      </c>
      <c r="BD859">
        <v>0</v>
      </c>
      <c r="BE859">
        <v>0</v>
      </c>
      <c r="BF859">
        <v>0</v>
      </c>
      <c r="BG859">
        <v>0</v>
      </c>
      <c r="BH859">
        <v>0</v>
      </c>
      <c r="BI859" t="s">
        <v>9</v>
      </c>
      <c r="BJ859">
        <v>3.1999999999999999E-6</v>
      </c>
      <c r="BK859">
        <v>0</v>
      </c>
      <c r="BL859">
        <v>-4.0799999999999999E-6</v>
      </c>
      <c r="BM859" s="2">
        <f t="shared" si="13"/>
        <v>1.2549679890329086E-9</v>
      </c>
    </row>
    <row r="860" spans="1:65" x14ac:dyDescent="0.35">
      <c r="A860">
        <v>0</v>
      </c>
      <c r="B860" t="s">
        <v>3</v>
      </c>
      <c r="C860" t="s">
        <v>4</v>
      </c>
      <c r="D860">
        <v>0</v>
      </c>
      <c r="E860" t="s">
        <v>3</v>
      </c>
      <c r="F860" t="s">
        <v>5</v>
      </c>
      <c r="G860">
        <v>3589.5822050000002</v>
      </c>
      <c r="H860" t="s">
        <v>4</v>
      </c>
      <c r="I860">
        <v>990.16341899999998</v>
      </c>
      <c r="J860">
        <v>2599.4187860000002</v>
      </c>
      <c r="K860" t="s">
        <v>6</v>
      </c>
      <c r="L860" t="s">
        <v>7</v>
      </c>
      <c r="M860" t="s">
        <v>8</v>
      </c>
      <c r="N860" t="s">
        <v>6</v>
      </c>
      <c r="O860" t="s">
        <v>3</v>
      </c>
      <c r="P860" t="s">
        <v>3</v>
      </c>
      <c r="Q860" t="s">
        <v>3</v>
      </c>
      <c r="R860" t="s">
        <v>3</v>
      </c>
      <c r="S860" t="s">
        <v>3</v>
      </c>
      <c r="T860" t="s">
        <v>7</v>
      </c>
      <c r="U860">
        <v>0</v>
      </c>
      <c r="V860">
        <v>0</v>
      </c>
      <c r="W860">
        <v>0</v>
      </c>
      <c r="X860">
        <v>5</v>
      </c>
      <c r="Y860">
        <v>0</v>
      </c>
      <c r="Z860" t="s">
        <v>9</v>
      </c>
      <c r="AA860" t="s">
        <v>4</v>
      </c>
      <c r="AB860" t="s">
        <v>6</v>
      </c>
      <c r="AC860" t="s">
        <v>7</v>
      </c>
      <c r="AD860" t="s">
        <v>8</v>
      </c>
      <c r="AE860" t="s">
        <v>6</v>
      </c>
      <c r="AF860" t="s">
        <v>3</v>
      </c>
      <c r="AG860" t="s">
        <v>3</v>
      </c>
      <c r="AH860" t="s">
        <v>3</v>
      </c>
      <c r="AI860" t="s">
        <v>3</v>
      </c>
      <c r="AJ860" t="s">
        <v>3</v>
      </c>
      <c r="AK860" t="s">
        <v>7</v>
      </c>
      <c r="AL860">
        <v>0</v>
      </c>
      <c r="AM860">
        <v>0</v>
      </c>
      <c r="AN860">
        <v>0</v>
      </c>
      <c r="AO860">
        <v>0</v>
      </c>
      <c r="AP860">
        <v>0</v>
      </c>
      <c r="AQ860" t="s">
        <v>9</v>
      </c>
      <c r="AR860" s="1">
        <v>5.1977566999999998E-5</v>
      </c>
      <c r="AS860" s="1">
        <v>1.88678655E-26</v>
      </c>
      <c r="AT860">
        <v>35</v>
      </c>
      <c r="AU860" t="s">
        <v>10</v>
      </c>
      <c r="AV860">
        <v>0</v>
      </c>
      <c r="AW860">
        <v>0</v>
      </c>
      <c r="AX860">
        <v>0</v>
      </c>
      <c r="AY860">
        <v>5</v>
      </c>
      <c r="AZ860">
        <v>0</v>
      </c>
      <c r="BA860" t="s">
        <v>9</v>
      </c>
      <c r="BB860" t="s">
        <v>4</v>
      </c>
      <c r="BC860" t="s">
        <v>10</v>
      </c>
      <c r="BD860">
        <v>0</v>
      </c>
      <c r="BE860">
        <v>0</v>
      </c>
      <c r="BF860">
        <v>0</v>
      </c>
      <c r="BG860">
        <v>0</v>
      </c>
      <c r="BH860">
        <v>0</v>
      </c>
      <c r="BI860" t="s">
        <v>9</v>
      </c>
      <c r="BJ860">
        <v>5.1839999999999998E-5</v>
      </c>
      <c r="BK860">
        <v>0</v>
      </c>
      <c r="BL860">
        <v>3.7299999999999999E-6</v>
      </c>
      <c r="BM860" s="2">
        <f t="shared" si="13"/>
        <v>1.136249426364624E-7</v>
      </c>
    </row>
    <row r="861" spans="1:65" x14ac:dyDescent="0.35">
      <c r="A861">
        <v>0</v>
      </c>
      <c r="B861" t="s">
        <v>11</v>
      </c>
      <c r="C861" t="s">
        <v>4</v>
      </c>
      <c r="D861">
        <v>0</v>
      </c>
      <c r="E861" t="s">
        <v>3</v>
      </c>
      <c r="F861" t="s">
        <v>5</v>
      </c>
      <c r="G861">
        <v>4932.4337139999998</v>
      </c>
      <c r="H861" t="s">
        <v>4</v>
      </c>
      <c r="I861">
        <v>990.16341899999998</v>
      </c>
      <c r="J861">
        <v>3942.2702949999998</v>
      </c>
      <c r="K861" t="s">
        <v>6</v>
      </c>
      <c r="L861" t="s">
        <v>7</v>
      </c>
      <c r="M861" t="s">
        <v>8</v>
      </c>
      <c r="N861" t="s">
        <v>6</v>
      </c>
      <c r="O861" t="s">
        <v>3</v>
      </c>
      <c r="P861" t="s">
        <v>3</v>
      </c>
      <c r="Q861" t="s">
        <v>3</v>
      </c>
      <c r="R861" t="s">
        <v>3</v>
      </c>
      <c r="S861" t="s">
        <v>11</v>
      </c>
      <c r="T861" t="s">
        <v>7</v>
      </c>
      <c r="U861">
        <v>0</v>
      </c>
      <c r="V861">
        <v>0</v>
      </c>
      <c r="W861">
        <v>0</v>
      </c>
      <c r="X861">
        <v>0</v>
      </c>
      <c r="Y861">
        <v>1</v>
      </c>
      <c r="Z861" t="s">
        <v>28</v>
      </c>
      <c r="AA861" t="s">
        <v>4</v>
      </c>
      <c r="AB861" t="s">
        <v>6</v>
      </c>
      <c r="AC861" t="s">
        <v>7</v>
      </c>
      <c r="AD861" t="s">
        <v>8</v>
      </c>
      <c r="AE861" t="s">
        <v>6</v>
      </c>
      <c r="AF861" t="s">
        <v>3</v>
      </c>
      <c r="AG861" t="s">
        <v>3</v>
      </c>
      <c r="AH861" t="s">
        <v>3</v>
      </c>
      <c r="AI861" t="s">
        <v>3</v>
      </c>
      <c r="AJ861" t="s">
        <v>3</v>
      </c>
      <c r="AK861" t="s">
        <v>7</v>
      </c>
      <c r="AL861">
        <v>0</v>
      </c>
      <c r="AM861">
        <v>0</v>
      </c>
      <c r="AN861">
        <v>0</v>
      </c>
      <c r="AO861">
        <v>0</v>
      </c>
      <c r="AP861">
        <v>0</v>
      </c>
      <c r="AQ861" t="s">
        <v>9</v>
      </c>
      <c r="AR861" s="1">
        <v>2.3417399899999999E-5</v>
      </c>
      <c r="AS861" s="1">
        <v>5.8081778299999999E-27</v>
      </c>
      <c r="AT861">
        <v>37</v>
      </c>
      <c r="AU861" t="s">
        <v>10</v>
      </c>
      <c r="AV861">
        <v>0</v>
      </c>
      <c r="AW861">
        <v>0</v>
      </c>
      <c r="AX861">
        <v>0</v>
      </c>
      <c r="AY861">
        <v>0</v>
      </c>
      <c r="AZ861">
        <v>1</v>
      </c>
      <c r="BA861" t="s">
        <v>28</v>
      </c>
      <c r="BB861" t="s">
        <v>4</v>
      </c>
      <c r="BC861" t="s">
        <v>10</v>
      </c>
      <c r="BD861">
        <v>0</v>
      </c>
      <c r="BE861">
        <v>0</v>
      </c>
      <c r="BF861">
        <v>0</v>
      </c>
      <c r="BG861">
        <v>0</v>
      </c>
      <c r="BH861">
        <v>0</v>
      </c>
      <c r="BI861" t="s">
        <v>9</v>
      </c>
      <c r="BJ861">
        <v>0</v>
      </c>
      <c r="BK861">
        <v>2.3419999999999999E-5</v>
      </c>
      <c r="BL861">
        <v>0</v>
      </c>
      <c r="BM861" s="2">
        <f t="shared" si="13"/>
        <v>3.4977664683698462E-8</v>
      </c>
    </row>
    <row r="862" spans="1:65" x14ac:dyDescent="0.35">
      <c r="A862">
        <v>0</v>
      </c>
      <c r="B862" t="s">
        <v>3</v>
      </c>
      <c r="C862" t="s">
        <v>4</v>
      </c>
      <c r="D862">
        <v>0</v>
      </c>
      <c r="E862" t="s">
        <v>3</v>
      </c>
      <c r="F862" t="s">
        <v>5</v>
      </c>
      <c r="G862">
        <v>2546.6720350000001</v>
      </c>
      <c r="H862" t="s">
        <v>4</v>
      </c>
      <c r="I862">
        <v>990.16341899999998</v>
      </c>
      <c r="J862">
        <v>1556.5086160000001</v>
      </c>
      <c r="K862" t="s">
        <v>6</v>
      </c>
      <c r="L862" t="s">
        <v>7</v>
      </c>
      <c r="M862" t="s">
        <v>8</v>
      </c>
      <c r="N862" t="s">
        <v>6</v>
      </c>
      <c r="O862" t="s">
        <v>3</v>
      </c>
      <c r="P862" t="s">
        <v>3</v>
      </c>
      <c r="Q862" t="s">
        <v>3</v>
      </c>
      <c r="R862" t="s">
        <v>3</v>
      </c>
      <c r="S862" t="s">
        <v>3</v>
      </c>
      <c r="T862" t="s">
        <v>7</v>
      </c>
      <c r="U862">
        <v>3</v>
      </c>
      <c r="V862">
        <v>0</v>
      </c>
      <c r="W862">
        <v>0</v>
      </c>
      <c r="X862">
        <v>0</v>
      </c>
      <c r="Y862">
        <v>0</v>
      </c>
      <c r="Z862" t="s">
        <v>8</v>
      </c>
      <c r="AA862" t="s">
        <v>4</v>
      </c>
      <c r="AB862" t="s">
        <v>6</v>
      </c>
      <c r="AC862" t="s">
        <v>7</v>
      </c>
      <c r="AD862" t="s">
        <v>8</v>
      </c>
      <c r="AE862" t="s">
        <v>6</v>
      </c>
      <c r="AF862" t="s">
        <v>3</v>
      </c>
      <c r="AG862" t="s">
        <v>3</v>
      </c>
      <c r="AH862" t="s">
        <v>3</v>
      </c>
      <c r="AI862" t="s">
        <v>3</v>
      </c>
      <c r="AJ862" t="s">
        <v>3</v>
      </c>
      <c r="AK862" t="s">
        <v>7</v>
      </c>
      <c r="AL862">
        <v>0</v>
      </c>
      <c r="AM862">
        <v>0</v>
      </c>
      <c r="AN862">
        <v>0</v>
      </c>
      <c r="AO862">
        <v>0</v>
      </c>
      <c r="AP862">
        <v>0</v>
      </c>
      <c r="AQ862" t="s">
        <v>9</v>
      </c>
      <c r="AR862" s="1">
        <v>3.3131244500000001E-3</v>
      </c>
      <c r="AS862" s="1">
        <v>4.58782123E-23</v>
      </c>
      <c r="AT862">
        <v>35</v>
      </c>
      <c r="AU862" t="s">
        <v>10</v>
      </c>
      <c r="AV862">
        <v>3</v>
      </c>
      <c r="AW862">
        <v>0</v>
      </c>
      <c r="AX862">
        <v>0</v>
      </c>
      <c r="AY862">
        <v>0</v>
      </c>
      <c r="AZ862">
        <v>0</v>
      </c>
      <c r="BA862" t="s">
        <v>8</v>
      </c>
      <c r="BB862" t="s">
        <v>4</v>
      </c>
      <c r="BC862" t="s">
        <v>10</v>
      </c>
      <c r="BD862">
        <v>0</v>
      </c>
      <c r="BE862">
        <v>0</v>
      </c>
      <c r="BF862">
        <v>0</v>
      </c>
      <c r="BG862">
        <v>0</v>
      </c>
      <c r="BH862">
        <v>0</v>
      </c>
      <c r="BI862" t="s">
        <v>9</v>
      </c>
      <c r="BJ862">
        <v>4.4378000000000001E-4</v>
      </c>
      <c r="BK862">
        <v>0</v>
      </c>
      <c r="BL862">
        <v>-3.28327E-3</v>
      </c>
      <c r="BM862" s="2">
        <f t="shared" si="13"/>
        <v>2.762850541228918E-4</v>
      </c>
    </row>
    <row r="863" spans="1:65" x14ac:dyDescent="0.35">
      <c r="A863">
        <v>0</v>
      </c>
      <c r="B863" t="s">
        <v>11</v>
      </c>
      <c r="C863" t="s">
        <v>4</v>
      </c>
      <c r="D863">
        <v>0</v>
      </c>
      <c r="E863" t="s">
        <v>3</v>
      </c>
      <c r="F863" t="s">
        <v>5</v>
      </c>
      <c r="G863">
        <v>2119.6842299999998</v>
      </c>
      <c r="H863" t="s">
        <v>4</v>
      </c>
      <c r="I863">
        <v>990.16341899999998</v>
      </c>
      <c r="J863">
        <v>1129.5208110000001</v>
      </c>
      <c r="K863" t="s">
        <v>6</v>
      </c>
      <c r="L863" t="s">
        <v>7</v>
      </c>
      <c r="M863" t="s">
        <v>8</v>
      </c>
      <c r="N863" t="s">
        <v>6</v>
      </c>
      <c r="O863" t="s">
        <v>3</v>
      </c>
      <c r="P863" t="s">
        <v>3</v>
      </c>
      <c r="Q863" t="s">
        <v>3</v>
      </c>
      <c r="R863" t="s">
        <v>3</v>
      </c>
      <c r="S863" t="s">
        <v>11</v>
      </c>
      <c r="T863" t="s">
        <v>7</v>
      </c>
      <c r="U863">
        <v>0</v>
      </c>
      <c r="V863">
        <v>0</v>
      </c>
      <c r="W863">
        <v>0</v>
      </c>
      <c r="X863">
        <v>4</v>
      </c>
      <c r="Y863">
        <v>0</v>
      </c>
      <c r="Z863" t="s">
        <v>18</v>
      </c>
      <c r="AA863" t="s">
        <v>4</v>
      </c>
      <c r="AB863" t="s">
        <v>6</v>
      </c>
      <c r="AC863" t="s">
        <v>7</v>
      </c>
      <c r="AD863" t="s">
        <v>8</v>
      </c>
      <c r="AE863" t="s">
        <v>6</v>
      </c>
      <c r="AF863" t="s">
        <v>3</v>
      </c>
      <c r="AG863" t="s">
        <v>3</v>
      </c>
      <c r="AH863" t="s">
        <v>3</v>
      </c>
      <c r="AI863" t="s">
        <v>3</v>
      </c>
      <c r="AJ863" t="s">
        <v>3</v>
      </c>
      <c r="AK863" t="s">
        <v>7</v>
      </c>
      <c r="AL863">
        <v>0</v>
      </c>
      <c r="AM863">
        <v>0</v>
      </c>
      <c r="AN863">
        <v>0</v>
      </c>
      <c r="AO863">
        <v>0</v>
      </c>
      <c r="AP863">
        <v>0</v>
      </c>
      <c r="AQ863" t="s">
        <v>9</v>
      </c>
      <c r="AR863" s="1">
        <v>1.3588909299999999E-6</v>
      </c>
      <c r="AS863" s="1">
        <v>5.5797675400000002E-30</v>
      </c>
      <c r="AT863">
        <v>41</v>
      </c>
      <c r="AU863" t="s">
        <v>10</v>
      </c>
      <c r="AV863">
        <v>0</v>
      </c>
      <c r="AW863">
        <v>0</v>
      </c>
      <c r="AX863">
        <v>0</v>
      </c>
      <c r="AY863">
        <v>4</v>
      </c>
      <c r="AZ863">
        <v>0</v>
      </c>
      <c r="BA863" t="s">
        <v>18</v>
      </c>
      <c r="BB863" t="s">
        <v>4</v>
      </c>
      <c r="BC863" t="s">
        <v>10</v>
      </c>
      <c r="BD863">
        <v>0</v>
      </c>
      <c r="BE863">
        <v>0</v>
      </c>
      <c r="BF863">
        <v>0</v>
      </c>
      <c r="BG863">
        <v>0</v>
      </c>
      <c r="BH863">
        <v>0</v>
      </c>
      <c r="BI863" t="s">
        <v>9</v>
      </c>
      <c r="BJ863">
        <v>0</v>
      </c>
      <c r="BK863">
        <v>-1.3599999999999999E-6</v>
      </c>
      <c r="BL863">
        <v>0</v>
      </c>
      <c r="BM863" s="2">
        <f t="shared" si="13"/>
        <v>3.3602145757149631E-11</v>
      </c>
    </row>
    <row r="864" spans="1:65" x14ac:dyDescent="0.35">
      <c r="A864">
        <v>0</v>
      </c>
      <c r="B864" t="s">
        <v>11</v>
      </c>
      <c r="C864" t="s">
        <v>4</v>
      </c>
      <c r="D864">
        <v>0</v>
      </c>
      <c r="E864" t="s">
        <v>3</v>
      </c>
      <c r="F864" t="s">
        <v>5</v>
      </c>
      <c r="G864">
        <v>4704.5428519999996</v>
      </c>
      <c r="H864" t="s">
        <v>4</v>
      </c>
      <c r="I864">
        <v>990.16341899999998</v>
      </c>
      <c r="J864">
        <v>3714.3794320000002</v>
      </c>
      <c r="K864" t="s">
        <v>6</v>
      </c>
      <c r="L864" t="s">
        <v>7</v>
      </c>
      <c r="M864" t="s">
        <v>8</v>
      </c>
      <c r="N864" t="s">
        <v>6</v>
      </c>
      <c r="O864" t="s">
        <v>3</v>
      </c>
      <c r="P864" t="s">
        <v>3</v>
      </c>
      <c r="Q864" t="s">
        <v>3</v>
      </c>
      <c r="R864" t="s">
        <v>3</v>
      </c>
      <c r="S864" t="s">
        <v>11</v>
      </c>
      <c r="T864" t="s">
        <v>7</v>
      </c>
      <c r="U864">
        <v>1</v>
      </c>
      <c r="V864">
        <v>1</v>
      </c>
      <c r="W864">
        <v>0</v>
      </c>
      <c r="X864">
        <v>0</v>
      </c>
      <c r="Y864">
        <v>1</v>
      </c>
      <c r="Z864" t="s">
        <v>13</v>
      </c>
      <c r="AA864" t="s">
        <v>4</v>
      </c>
      <c r="AB864" t="s">
        <v>6</v>
      </c>
      <c r="AC864" t="s">
        <v>7</v>
      </c>
      <c r="AD864" t="s">
        <v>8</v>
      </c>
      <c r="AE864" t="s">
        <v>6</v>
      </c>
      <c r="AF864" t="s">
        <v>3</v>
      </c>
      <c r="AG864" t="s">
        <v>3</v>
      </c>
      <c r="AH864" t="s">
        <v>3</v>
      </c>
      <c r="AI864" t="s">
        <v>3</v>
      </c>
      <c r="AJ864" t="s">
        <v>3</v>
      </c>
      <c r="AK864" t="s">
        <v>7</v>
      </c>
      <c r="AL864">
        <v>0</v>
      </c>
      <c r="AM864">
        <v>0</v>
      </c>
      <c r="AN864">
        <v>0</v>
      </c>
      <c r="AO864">
        <v>0</v>
      </c>
      <c r="AP864">
        <v>0</v>
      </c>
      <c r="AQ864" t="s">
        <v>9</v>
      </c>
      <c r="AR864" s="1">
        <v>2.0006076600000001E-7</v>
      </c>
      <c r="AS864" s="1">
        <v>3.9941675200000003E-31</v>
      </c>
      <c r="AT864">
        <v>36</v>
      </c>
      <c r="AU864" t="s">
        <v>10</v>
      </c>
      <c r="AV864">
        <v>1</v>
      </c>
      <c r="AW864">
        <v>1</v>
      </c>
      <c r="AX864">
        <v>0</v>
      </c>
      <c r="AY864">
        <v>0</v>
      </c>
      <c r="AZ864">
        <v>1</v>
      </c>
      <c r="BA864" t="s">
        <v>13</v>
      </c>
      <c r="BB864" t="s">
        <v>4</v>
      </c>
      <c r="BC864" t="s">
        <v>10</v>
      </c>
      <c r="BD864">
        <v>0</v>
      </c>
      <c r="BE864">
        <v>0</v>
      </c>
      <c r="BF864">
        <v>0</v>
      </c>
      <c r="BG864">
        <v>0</v>
      </c>
      <c r="BH864">
        <v>0</v>
      </c>
      <c r="BI864" t="s">
        <v>9</v>
      </c>
      <c r="BJ864">
        <v>0</v>
      </c>
      <c r="BK864">
        <v>1.9999999999999999E-7</v>
      </c>
      <c r="BL864">
        <v>0</v>
      </c>
      <c r="BM864" s="2">
        <f t="shared" si="13"/>
        <v>2.405343918422682E-12</v>
      </c>
    </row>
    <row r="865" spans="1:65" x14ac:dyDescent="0.35">
      <c r="A865">
        <v>0</v>
      </c>
      <c r="B865" t="s">
        <v>3</v>
      </c>
      <c r="C865" t="s">
        <v>4</v>
      </c>
      <c r="D865">
        <v>0</v>
      </c>
      <c r="E865" t="s">
        <v>3</v>
      </c>
      <c r="F865" t="s">
        <v>5</v>
      </c>
      <c r="G865">
        <v>3773.2402539999998</v>
      </c>
      <c r="H865" t="s">
        <v>4</v>
      </c>
      <c r="I865">
        <v>990.16341899999998</v>
      </c>
      <c r="J865">
        <v>2783.0768349999998</v>
      </c>
      <c r="K865" t="s">
        <v>6</v>
      </c>
      <c r="L865" t="s">
        <v>7</v>
      </c>
      <c r="M865" t="s">
        <v>8</v>
      </c>
      <c r="N865" t="s">
        <v>6</v>
      </c>
      <c r="O865" t="s">
        <v>3</v>
      </c>
      <c r="P865" t="s">
        <v>3</v>
      </c>
      <c r="Q865" t="s">
        <v>3</v>
      </c>
      <c r="R865" t="s">
        <v>3</v>
      </c>
      <c r="S865" t="s">
        <v>3</v>
      </c>
      <c r="T865" t="s">
        <v>7</v>
      </c>
      <c r="U865">
        <v>2</v>
      </c>
      <c r="V865">
        <v>0</v>
      </c>
      <c r="W865">
        <v>0</v>
      </c>
      <c r="X865">
        <v>0</v>
      </c>
      <c r="Y865">
        <v>1</v>
      </c>
      <c r="Z865" t="s">
        <v>15</v>
      </c>
      <c r="AA865" t="s">
        <v>4</v>
      </c>
      <c r="AB865" t="s">
        <v>6</v>
      </c>
      <c r="AC865" t="s">
        <v>7</v>
      </c>
      <c r="AD865" t="s">
        <v>8</v>
      </c>
      <c r="AE865" t="s">
        <v>6</v>
      </c>
      <c r="AF865" t="s">
        <v>3</v>
      </c>
      <c r="AG865" t="s">
        <v>3</v>
      </c>
      <c r="AH865" t="s">
        <v>3</v>
      </c>
      <c r="AI865" t="s">
        <v>3</v>
      </c>
      <c r="AJ865" t="s">
        <v>3</v>
      </c>
      <c r="AK865" t="s">
        <v>7</v>
      </c>
      <c r="AL865">
        <v>0</v>
      </c>
      <c r="AM865">
        <v>0</v>
      </c>
      <c r="AN865">
        <v>0</v>
      </c>
      <c r="AO865">
        <v>0</v>
      </c>
      <c r="AP865">
        <v>0</v>
      </c>
      <c r="AQ865" t="s">
        <v>9</v>
      </c>
      <c r="AR865" s="1">
        <v>1.5214786400000001E-4</v>
      </c>
      <c r="AS865" s="1">
        <v>1.7309018499999999E-25</v>
      </c>
      <c r="AT865">
        <v>41</v>
      </c>
      <c r="AU865" t="s">
        <v>10</v>
      </c>
      <c r="AV865">
        <v>2</v>
      </c>
      <c r="AW865">
        <v>0</v>
      </c>
      <c r="AX865">
        <v>0</v>
      </c>
      <c r="AY865">
        <v>0</v>
      </c>
      <c r="AZ865">
        <v>1</v>
      </c>
      <c r="BA865" t="s">
        <v>15</v>
      </c>
      <c r="BB865" t="s">
        <v>4</v>
      </c>
      <c r="BC865" t="s">
        <v>10</v>
      </c>
      <c r="BD865">
        <v>0</v>
      </c>
      <c r="BE865">
        <v>0</v>
      </c>
      <c r="BF865">
        <v>0</v>
      </c>
      <c r="BG865">
        <v>0</v>
      </c>
      <c r="BH865">
        <v>0</v>
      </c>
      <c r="BI865" t="s">
        <v>9</v>
      </c>
      <c r="BJ865">
        <v>1.3263000000000001E-4</v>
      </c>
      <c r="BK865">
        <v>0</v>
      </c>
      <c r="BL865">
        <v>7.4560000000000004E-5</v>
      </c>
      <c r="BM865" s="2">
        <f t="shared" si="13"/>
        <v>1.0423734651680479E-6</v>
      </c>
    </row>
    <row r="866" spans="1:65" x14ac:dyDescent="0.35">
      <c r="A866">
        <v>0</v>
      </c>
      <c r="B866" t="s">
        <v>11</v>
      </c>
      <c r="C866" t="s">
        <v>4</v>
      </c>
      <c r="D866">
        <v>0</v>
      </c>
      <c r="E866" t="s">
        <v>3</v>
      </c>
      <c r="F866" t="s">
        <v>5</v>
      </c>
      <c r="G866">
        <v>3962.1436039999999</v>
      </c>
      <c r="H866" t="s">
        <v>4</v>
      </c>
      <c r="I866">
        <v>990.16341899999998</v>
      </c>
      <c r="J866">
        <v>2971.9801849999999</v>
      </c>
      <c r="K866" t="s">
        <v>6</v>
      </c>
      <c r="L866" t="s">
        <v>7</v>
      </c>
      <c r="M866" t="s">
        <v>8</v>
      </c>
      <c r="N866" t="s">
        <v>6</v>
      </c>
      <c r="O866" t="s">
        <v>3</v>
      </c>
      <c r="P866" t="s">
        <v>3</v>
      </c>
      <c r="Q866" t="s">
        <v>3</v>
      </c>
      <c r="R866" t="s">
        <v>3</v>
      </c>
      <c r="S866" t="s">
        <v>11</v>
      </c>
      <c r="T866" t="s">
        <v>7</v>
      </c>
      <c r="U866">
        <v>0</v>
      </c>
      <c r="V866">
        <v>0</v>
      </c>
      <c r="W866">
        <v>0</v>
      </c>
      <c r="X866">
        <v>4</v>
      </c>
      <c r="Y866">
        <v>0</v>
      </c>
      <c r="Z866" t="s">
        <v>12</v>
      </c>
      <c r="AA866" t="s">
        <v>4</v>
      </c>
      <c r="AB866" t="s">
        <v>6</v>
      </c>
      <c r="AC866" t="s">
        <v>7</v>
      </c>
      <c r="AD866" t="s">
        <v>8</v>
      </c>
      <c r="AE866" t="s">
        <v>6</v>
      </c>
      <c r="AF866" t="s">
        <v>3</v>
      </c>
      <c r="AG866" t="s">
        <v>3</v>
      </c>
      <c r="AH866" t="s">
        <v>3</v>
      </c>
      <c r="AI866" t="s">
        <v>3</v>
      </c>
      <c r="AJ866" t="s">
        <v>3</v>
      </c>
      <c r="AK866" t="s">
        <v>7</v>
      </c>
      <c r="AL866">
        <v>0</v>
      </c>
      <c r="AM866">
        <v>0</v>
      </c>
      <c r="AN866">
        <v>0</v>
      </c>
      <c r="AO866">
        <v>0</v>
      </c>
      <c r="AP866">
        <v>0</v>
      </c>
      <c r="AQ866" t="s">
        <v>9</v>
      </c>
      <c r="AR866" s="1">
        <v>1.2012086899999999E-5</v>
      </c>
      <c r="AS866" s="1">
        <v>1.1521227399999999E-27</v>
      </c>
      <c r="AT866">
        <v>35</v>
      </c>
      <c r="AU866" t="s">
        <v>10</v>
      </c>
      <c r="AV866">
        <v>0</v>
      </c>
      <c r="AW866">
        <v>0</v>
      </c>
      <c r="AX866">
        <v>0</v>
      </c>
      <c r="AY866">
        <v>4</v>
      </c>
      <c r="AZ866">
        <v>0</v>
      </c>
      <c r="BA866" t="s">
        <v>12</v>
      </c>
      <c r="BB866" t="s">
        <v>4</v>
      </c>
      <c r="BC866" t="s">
        <v>10</v>
      </c>
      <c r="BD866">
        <v>0</v>
      </c>
      <c r="BE866">
        <v>0</v>
      </c>
      <c r="BF866">
        <v>0</v>
      </c>
      <c r="BG866">
        <v>0</v>
      </c>
      <c r="BH866">
        <v>0</v>
      </c>
      <c r="BI866" t="s">
        <v>9</v>
      </c>
      <c r="BJ866">
        <v>0</v>
      </c>
      <c r="BK866">
        <v>-1.201E-5</v>
      </c>
      <c r="BL866">
        <v>0</v>
      </c>
      <c r="BM866" s="2">
        <f t="shared" si="13"/>
        <v>6.9382453591617915E-9</v>
      </c>
    </row>
    <row r="867" spans="1:65" x14ac:dyDescent="0.35">
      <c r="A867">
        <v>0</v>
      </c>
      <c r="B867" t="s">
        <v>11</v>
      </c>
      <c r="C867" t="s">
        <v>4</v>
      </c>
      <c r="D867">
        <v>0</v>
      </c>
      <c r="E867" t="s">
        <v>3</v>
      </c>
      <c r="F867" t="s">
        <v>5</v>
      </c>
      <c r="G867">
        <v>4990.1388939999997</v>
      </c>
      <c r="H867" t="s">
        <v>4</v>
      </c>
      <c r="I867">
        <v>990.16341899999998</v>
      </c>
      <c r="J867">
        <v>3999.9754750000002</v>
      </c>
      <c r="K867" t="s">
        <v>6</v>
      </c>
      <c r="L867" t="s">
        <v>7</v>
      </c>
      <c r="M867" t="s">
        <v>8</v>
      </c>
      <c r="N867" t="s">
        <v>6</v>
      </c>
      <c r="O867" t="s">
        <v>3</v>
      </c>
      <c r="P867" t="s">
        <v>3</v>
      </c>
      <c r="Q867" t="s">
        <v>3</v>
      </c>
      <c r="R867" t="s">
        <v>3</v>
      </c>
      <c r="S867" t="s">
        <v>11</v>
      </c>
      <c r="T867" t="s">
        <v>7</v>
      </c>
      <c r="U867">
        <v>1</v>
      </c>
      <c r="V867">
        <v>0</v>
      </c>
      <c r="W867">
        <v>0</v>
      </c>
      <c r="X867">
        <v>8</v>
      </c>
      <c r="Y867">
        <v>0</v>
      </c>
      <c r="Z867" t="s">
        <v>18</v>
      </c>
      <c r="AA867" t="s">
        <v>4</v>
      </c>
      <c r="AB867" t="s">
        <v>6</v>
      </c>
      <c r="AC867" t="s">
        <v>7</v>
      </c>
      <c r="AD867" t="s">
        <v>8</v>
      </c>
      <c r="AE867" t="s">
        <v>6</v>
      </c>
      <c r="AF867" t="s">
        <v>3</v>
      </c>
      <c r="AG867" t="s">
        <v>3</v>
      </c>
      <c r="AH867" t="s">
        <v>3</v>
      </c>
      <c r="AI867" t="s">
        <v>3</v>
      </c>
      <c r="AJ867" t="s">
        <v>3</v>
      </c>
      <c r="AK867" t="s">
        <v>7</v>
      </c>
      <c r="AL867">
        <v>0</v>
      </c>
      <c r="AM867">
        <v>0</v>
      </c>
      <c r="AN867">
        <v>0</v>
      </c>
      <c r="AO867">
        <v>0</v>
      </c>
      <c r="AP867">
        <v>0</v>
      </c>
      <c r="AQ867" t="s">
        <v>9</v>
      </c>
      <c r="AR867" s="1">
        <v>8.6102666200000002E-5</v>
      </c>
      <c r="AS867" s="1">
        <v>7.9672177900000004E-26</v>
      </c>
      <c r="AT867">
        <v>37</v>
      </c>
      <c r="AU867" t="s">
        <v>10</v>
      </c>
      <c r="AV867">
        <v>1</v>
      </c>
      <c r="AW867">
        <v>0</v>
      </c>
      <c r="AX867">
        <v>0</v>
      </c>
      <c r="AY867">
        <v>8</v>
      </c>
      <c r="AZ867">
        <v>0</v>
      </c>
      <c r="BA867" t="s">
        <v>18</v>
      </c>
      <c r="BB867" t="s">
        <v>4</v>
      </c>
      <c r="BC867" t="s">
        <v>10</v>
      </c>
      <c r="BD867">
        <v>0</v>
      </c>
      <c r="BE867">
        <v>0</v>
      </c>
      <c r="BF867">
        <v>0</v>
      </c>
      <c r="BG867">
        <v>0</v>
      </c>
      <c r="BH867">
        <v>0</v>
      </c>
      <c r="BI867" t="s">
        <v>9</v>
      </c>
      <c r="BJ867">
        <v>0</v>
      </c>
      <c r="BK867">
        <v>8.6100000000000006E-5</v>
      </c>
      <c r="BL867">
        <v>0</v>
      </c>
      <c r="BM867" s="2">
        <f t="shared" si="13"/>
        <v>4.7979707315644827E-7</v>
      </c>
    </row>
    <row r="868" spans="1:65" x14ac:dyDescent="0.35">
      <c r="A868">
        <v>0</v>
      </c>
      <c r="B868" t="s">
        <v>11</v>
      </c>
      <c r="C868" t="s">
        <v>4</v>
      </c>
      <c r="D868">
        <v>0</v>
      </c>
      <c r="E868" t="s">
        <v>3</v>
      </c>
      <c r="F868" t="s">
        <v>5</v>
      </c>
      <c r="G868">
        <v>2835.8961869999998</v>
      </c>
      <c r="H868" t="s">
        <v>4</v>
      </c>
      <c r="I868">
        <v>990.16341899999998</v>
      </c>
      <c r="J868">
        <v>1845.7327680000001</v>
      </c>
      <c r="K868" t="s">
        <v>6</v>
      </c>
      <c r="L868" t="s">
        <v>7</v>
      </c>
      <c r="M868" t="s">
        <v>8</v>
      </c>
      <c r="N868" t="s">
        <v>6</v>
      </c>
      <c r="O868" t="s">
        <v>3</v>
      </c>
      <c r="P868" t="s">
        <v>3</v>
      </c>
      <c r="Q868" t="s">
        <v>3</v>
      </c>
      <c r="R868" t="s">
        <v>3</v>
      </c>
      <c r="S868" t="s">
        <v>11</v>
      </c>
      <c r="T868" t="s">
        <v>7</v>
      </c>
      <c r="U868">
        <v>0</v>
      </c>
      <c r="V868">
        <v>1</v>
      </c>
      <c r="W868">
        <v>0</v>
      </c>
      <c r="X868">
        <v>0</v>
      </c>
      <c r="Y868">
        <v>0</v>
      </c>
      <c r="Z868" t="s">
        <v>13</v>
      </c>
      <c r="AA868" t="s">
        <v>4</v>
      </c>
      <c r="AB868" t="s">
        <v>6</v>
      </c>
      <c r="AC868" t="s">
        <v>7</v>
      </c>
      <c r="AD868" t="s">
        <v>8</v>
      </c>
      <c r="AE868" t="s">
        <v>6</v>
      </c>
      <c r="AF868" t="s">
        <v>3</v>
      </c>
      <c r="AG868" t="s">
        <v>3</v>
      </c>
      <c r="AH868" t="s">
        <v>3</v>
      </c>
      <c r="AI868" t="s">
        <v>3</v>
      </c>
      <c r="AJ868" t="s">
        <v>3</v>
      </c>
      <c r="AK868" t="s">
        <v>7</v>
      </c>
      <c r="AL868">
        <v>0</v>
      </c>
      <c r="AM868">
        <v>0</v>
      </c>
      <c r="AN868">
        <v>0</v>
      </c>
      <c r="AO868">
        <v>0</v>
      </c>
      <c r="AP868">
        <v>0</v>
      </c>
      <c r="AQ868" t="s">
        <v>9</v>
      </c>
      <c r="AR868" s="1">
        <v>5.73270503E-5</v>
      </c>
      <c r="AS868" s="1">
        <v>1.6294671500000001E-26</v>
      </c>
      <c r="AT868">
        <v>35</v>
      </c>
      <c r="AU868" t="s">
        <v>10</v>
      </c>
      <c r="AV868">
        <v>0</v>
      </c>
      <c r="AW868">
        <v>1</v>
      </c>
      <c r="AX868">
        <v>0</v>
      </c>
      <c r="AY868">
        <v>0</v>
      </c>
      <c r="AZ868">
        <v>0</v>
      </c>
      <c r="BA868" t="s">
        <v>13</v>
      </c>
      <c r="BB868" t="s">
        <v>4</v>
      </c>
      <c r="BC868" t="s">
        <v>10</v>
      </c>
      <c r="BD868">
        <v>0</v>
      </c>
      <c r="BE868">
        <v>0</v>
      </c>
      <c r="BF868">
        <v>0</v>
      </c>
      <c r="BG868">
        <v>0</v>
      </c>
      <c r="BH868">
        <v>0</v>
      </c>
      <c r="BI868" t="s">
        <v>9</v>
      </c>
      <c r="BJ868">
        <v>0</v>
      </c>
      <c r="BK868">
        <v>5.7330000000000002E-5</v>
      </c>
      <c r="BL868">
        <v>0</v>
      </c>
      <c r="BM868" s="2">
        <f t="shared" si="13"/>
        <v>9.8128806062747211E-8</v>
      </c>
    </row>
    <row r="869" spans="1:65" x14ac:dyDescent="0.35">
      <c r="A869">
        <v>0</v>
      </c>
      <c r="B869" t="s">
        <v>3</v>
      </c>
      <c r="C869" t="s">
        <v>4</v>
      </c>
      <c r="D869">
        <v>0</v>
      </c>
      <c r="E869" t="s">
        <v>3</v>
      </c>
      <c r="F869" t="s">
        <v>5</v>
      </c>
      <c r="G869">
        <v>4192.2066210000003</v>
      </c>
      <c r="H869" t="s">
        <v>4</v>
      </c>
      <c r="I869">
        <v>990.16341899999998</v>
      </c>
      <c r="J869">
        <v>3202.0432019999998</v>
      </c>
      <c r="K869" t="s">
        <v>6</v>
      </c>
      <c r="L869" t="s">
        <v>7</v>
      </c>
      <c r="M869" t="s">
        <v>8</v>
      </c>
      <c r="N869" t="s">
        <v>6</v>
      </c>
      <c r="O869" t="s">
        <v>3</v>
      </c>
      <c r="P869" t="s">
        <v>3</v>
      </c>
      <c r="Q869" t="s">
        <v>3</v>
      </c>
      <c r="R869" t="s">
        <v>3</v>
      </c>
      <c r="S869" t="s">
        <v>3</v>
      </c>
      <c r="T869" t="s">
        <v>7</v>
      </c>
      <c r="U869">
        <v>0</v>
      </c>
      <c r="V869">
        <v>2</v>
      </c>
      <c r="W869">
        <v>0</v>
      </c>
      <c r="X869">
        <v>2</v>
      </c>
      <c r="Y869">
        <v>1</v>
      </c>
      <c r="Z869" t="s">
        <v>8</v>
      </c>
      <c r="AA869" t="s">
        <v>4</v>
      </c>
      <c r="AB869" t="s">
        <v>6</v>
      </c>
      <c r="AC869" t="s">
        <v>7</v>
      </c>
      <c r="AD869" t="s">
        <v>8</v>
      </c>
      <c r="AE869" t="s">
        <v>6</v>
      </c>
      <c r="AF869" t="s">
        <v>3</v>
      </c>
      <c r="AG869" t="s">
        <v>3</v>
      </c>
      <c r="AH869" t="s">
        <v>3</v>
      </c>
      <c r="AI869" t="s">
        <v>3</v>
      </c>
      <c r="AJ869" t="s">
        <v>3</v>
      </c>
      <c r="AK869" t="s">
        <v>7</v>
      </c>
      <c r="AL869">
        <v>0</v>
      </c>
      <c r="AM869">
        <v>0</v>
      </c>
      <c r="AN869">
        <v>0</v>
      </c>
      <c r="AO869">
        <v>0</v>
      </c>
      <c r="AP869">
        <v>0</v>
      </c>
      <c r="AQ869" t="s">
        <v>9</v>
      </c>
      <c r="AR869" s="1">
        <v>9.33629695E-6</v>
      </c>
      <c r="AS869" s="1">
        <v>7.4988139599999996E-28</v>
      </c>
      <c r="AT869">
        <v>41</v>
      </c>
      <c r="AU869" t="s">
        <v>10</v>
      </c>
      <c r="AV869">
        <v>0</v>
      </c>
      <c r="AW869">
        <v>2</v>
      </c>
      <c r="AX869">
        <v>0</v>
      </c>
      <c r="AY869">
        <v>2</v>
      </c>
      <c r="AZ869">
        <v>1</v>
      </c>
      <c r="BA869" t="s">
        <v>8</v>
      </c>
      <c r="BB869" t="s">
        <v>4</v>
      </c>
      <c r="BC869" t="s">
        <v>10</v>
      </c>
      <c r="BD869">
        <v>0</v>
      </c>
      <c r="BE869">
        <v>0</v>
      </c>
      <c r="BF869">
        <v>0</v>
      </c>
      <c r="BG869">
        <v>0</v>
      </c>
      <c r="BH869">
        <v>0</v>
      </c>
      <c r="BI869" t="s">
        <v>9</v>
      </c>
      <c r="BJ869">
        <v>8.7900000000000005E-6</v>
      </c>
      <c r="BK869">
        <v>0</v>
      </c>
      <c r="BL869">
        <v>-3.14E-6</v>
      </c>
      <c r="BM869" s="2">
        <f t="shared" si="13"/>
        <v>4.5158913500125564E-9</v>
      </c>
    </row>
    <row r="870" spans="1:65" x14ac:dyDescent="0.35">
      <c r="A870">
        <v>0</v>
      </c>
      <c r="B870" t="s">
        <v>11</v>
      </c>
      <c r="C870" t="s">
        <v>4</v>
      </c>
      <c r="D870">
        <v>0</v>
      </c>
      <c r="E870" t="s">
        <v>3</v>
      </c>
      <c r="F870" t="s">
        <v>5</v>
      </c>
      <c r="G870">
        <v>4569.4109369999996</v>
      </c>
      <c r="H870" t="s">
        <v>4</v>
      </c>
      <c r="I870">
        <v>990.16341899999998</v>
      </c>
      <c r="J870">
        <v>3579.2475180000001</v>
      </c>
      <c r="K870" t="s">
        <v>6</v>
      </c>
      <c r="L870" t="s">
        <v>7</v>
      </c>
      <c r="M870" t="s">
        <v>8</v>
      </c>
      <c r="N870" t="s">
        <v>6</v>
      </c>
      <c r="O870" t="s">
        <v>3</v>
      </c>
      <c r="P870" t="s">
        <v>3</v>
      </c>
      <c r="Q870" t="s">
        <v>3</v>
      </c>
      <c r="R870" t="s">
        <v>3</v>
      </c>
      <c r="S870" t="s">
        <v>11</v>
      </c>
      <c r="T870" t="s">
        <v>7</v>
      </c>
      <c r="U870">
        <v>0</v>
      </c>
      <c r="V870">
        <v>1</v>
      </c>
      <c r="W870">
        <v>0</v>
      </c>
      <c r="X870">
        <v>0</v>
      </c>
      <c r="Y870">
        <v>3</v>
      </c>
      <c r="Z870" t="s">
        <v>18</v>
      </c>
      <c r="AA870" t="s">
        <v>4</v>
      </c>
      <c r="AB870" t="s">
        <v>6</v>
      </c>
      <c r="AC870" t="s">
        <v>7</v>
      </c>
      <c r="AD870" t="s">
        <v>8</v>
      </c>
      <c r="AE870" t="s">
        <v>6</v>
      </c>
      <c r="AF870" t="s">
        <v>3</v>
      </c>
      <c r="AG870" t="s">
        <v>3</v>
      </c>
      <c r="AH870" t="s">
        <v>3</v>
      </c>
      <c r="AI870" t="s">
        <v>3</v>
      </c>
      <c r="AJ870" t="s">
        <v>3</v>
      </c>
      <c r="AK870" t="s">
        <v>7</v>
      </c>
      <c r="AL870">
        <v>0</v>
      </c>
      <c r="AM870">
        <v>0</v>
      </c>
      <c r="AN870">
        <v>0</v>
      </c>
      <c r="AO870">
        <v>0</v>
      </c>
      <c r="AP870">
        <v>0</v>
      </c>
      <c r="AQ870" t="s">
        <v>9</v>
      </c>
      <c r="AR870" s="1">
        <v>3.8988333100000003E-5</v>
      </c>
      <c r="AS870" s="1">
        <v>1.4617638500000001E-26</v>
      </c>
      <c r="AT870">
        <v>35</v>
      </c>
      <c r="AU870" t="s">
        <v>10</v>
      </c>
      <c r="AV870">
        <v>0</v>
      </c>
      <c r="AW870">
        <v>1</v>
      </c>
      <c r="AX870">
        <v>0</v>
      </c>
      <c r="AY870">
        <v>0</v>
      </c>
      <c r="AZ870">
        <v>3</v>
      </c>
      <c r="BA870" t="s">
        <v>18</v>
      </c>
      <c r="BB870" t="s">
        <v>4</v>
      </c>
      <c r="BC870" t="s">
        <v>10</v>
      </c>
      <c r="BD870">
        <v>0</v>
      </c>
      <c r="BE870">
        <v>0</v>
      </c>
      <c r="BF870">
        <v>0</v>
      </c>
      <c r="BG870">
        <v>0</v>
      </c>
      <c r="BH870">
        <v>0</v>
      </c>
      <c r="BI870" t="s">
        <v>9</v>
      </c>
      <c r="BJ870">
        <v>0</v>
      </c>
      <c r="BK870">
        <v>3.8989999999999998E-5</v>
      </c>
      <c r="BL870">
        <v>0</v>
      </c>
      <c r="BM870" s="2">
        <f t="shared" si="13"/>
        <v>8.80294772105008E-8</v>
      </c>
    </row>
    <row r="871" spans="1:65" x14ac:dyDescent="0.35">
      <c r="A871">
        <v>0</v>
      </c>
      <c r="B871" t="s">
        <v>11</v>
      </c>
      <c r="C871" t="s">
        <v>4</v>
      </c>
      <c r="D871">
        <v>0</v>
      </c>
      <c r="E871" t="s">
        <v>3</v>
      </c>
      <c r="F871" t="s">
        <v>5</v>
      </c>
      <c r="G871">
        <v>4869.4169279999996</v>
      </c>
      <c r="H871" t="s">
        <v>4</v>
      </c>
      <c r="I871">
        <v>990.16341899999998</v>
      </c>
      <c r="J871">
        <v>3879.2535090000001</v>
      </c>
      <c r="K871" t="s">
        <v>6</v>
      </c>
      <c r="L871" t="s">
        <v>7</v>
      </c>
      <c r="M871" t="s">
        <v>8</v>
      </c>
      <c r="N871" t="s">
        <v>6</v>
      </c>
      <c r="O871" t="s">
        <v>3</v>
      </c>
      <c r="P871" t="s">
        <v>3</v>
      </c>
      <c r="Q871" t="s">
        <v>3</v>
      </c>
      <c r="R871" t="s">
        <v>3</v>
      </c>
      <c r="S871" t="s">
        <v>11</v>
      </c>
      <c r="T871" t="s">
        <v>7</v>
      </c>
      <c r="U871">
        <v>2</v>
      </c>
      <c r="V871">
        <v>0</v>
      </c>
      <c r="W871">
        <v>0</v>
      </c>
      <c r="X871">
        <v>6</v>
      </c>
      <c r="Y871">
        <v>0</v>
      </c>
      <c r="Z871" t="s">
        <v>18</v>
      </c>
      <c r="AA871" t="s">
        <v>4</v>
      </c>
      <c r="AB871" t="s">
        <v>6</v>
      </c>
      <c r="AC871" t="s">
        <v>7</v>
      </c>
      <c r="AD871" t="s">
        <v>8</v>
      </c>
      <c r="AE871" t="s">
        <v>6</v>
      </c>
      <c r="AF871" t="s">
        <v>3</v>
      </c>
      <c r="AG871" t="s">
        <v>3</v>
      </c>
      <c r="AH871" t="s">
        <v>3</v>
      </c>
      <c r="AI871" t="s">
        <v>3</v>
      </c>
      <c r="AJ871" t="s">
        <v>3</v>
      </c>
      <c r="AK871" t="s">
        <v>7</v>
      </c>
      <c r="AL871">
        <v>0</v>
      </c>
      <c r="AM871">
        <v>0</v>
      </c>
      <c r="AN871">
        <v>0</v>
      </c>
      <c r="AO871">
        <v>0</v>
      </c>
      <c r="AP871">
        <v>0</v>
      </c>
      <c r="AQ871" t="s">
        <v>9</v>
      </c>
      <c r="AR871" s="1">
        <v>5.9633594299999995E-7</v>
      </c>
      <c r="AS871" s="1">
        <v>3.7063488600000002E-30</v>
      </c>
      <c r="AT871">
        <v>37</v>
      </c>
      <c r="AU871" t="s">
        <v>10</v>
      </c>
      <c r="AV871">
        <v>2</v>
      </c>
      <c r="AW871">
        <v>0</v>
      </c>
      <c r="AX871">
        <v>0</v>
      </c>
      <c r="AY871">
        <v>6</v>
      </c>
      <c r="AZ871">
        <v>0</v>
      </c>
      <c r="BA871" t="s">
        <v>18</v>
      </c>
      <c r="BB871" t="s">
        <v>4</v>
      </c>
      <c r="BC871" t="s">
        <v>10</v>
      </c>
      <c r="BD871">
        <v>0</v>
      </c>
      <c r="BE871">
        <v>0</v>
      </c>
      <c r="BF871">
        <v>0</v>
      </c>
      <c r="BG871">
        <v>0</v>
      </c>
      <c r="BH871">
        <v>0</v>
      </c>
      <c r="BI871" t="s">
        <v>9</v>
      </c>
      <c r="BJ871">
        <v>0</v>
      </c>
      <c r="BK871">
        <v>5.9999999999999997E-7</v>
      </c>
      <c r="BL871">
        <v>0</v>
      </c>
      <c r="BM871" s="2">
        <f t="shared" si="13"/>
        <v>2.2320154688839491E-11</v>
      </c>
    </row>
    <row r="872" spans="1:65" x14ac:dyDescent="0.35">
      <c r="A872">
        <v>0</v>
      </c>
      <c r="B872" t="s">
        <v>3</v>
      </c>
      <c r="C872" t="s">
        <v>4</v>
      </c>
      <c r="D872">
        <v>0</v>
      </c>
      <c r="E872" t="s">
        <v>3</v>
      </c>
      <c r="F872" t="s">
        <v>5</v>
      </c>
      <c r="G872">
        <v>4642.1284189999997</v>
      </c>
      <c r="H872" t="s">
        <v>4</v>
      </c>
      <c r="I872">
        <v>990.16341899999998</v>
      </c>
      <c r="J872">
        <v>3651.9650000000001</v>
      </c>
      <c r="K872" t="s">
        <v>6</v>
      </c>
      <c r="L872" t="s">
        <v>7</v>
      </c>
      <c r="M872" t="s">
        <v>8</v>
      </c>
      <c r="N872" t="s">
        <v>6</v>
      </c>
      <c r="O872" t="s">
        <v>3</v>
      </c>
      <c r="P872" t="s">
        <v>3</v>
      </c>
      <c r="Q872" t="s">
        <v>3</v>
      </c>
      <c r="R872" t="s">
        <v>3</v>
      </c>
      <c r="S872" t="s">
        <v>3</v>
      </c>
      <c r="T872" t="s">
        <v>7</v>
      </c>
      <c r="U872">
        <v>2</v>
      </c>
      <c r="V872">
        <v>0</v>
      </c>
      <c r="W872">
        <v>0</v>
      </c>
      <c r="X872">
        <v>1</v>
      </c>
      <c r="Y872">
        <v>0</v>
      </c>
      <c r="Z872" t="s">
        <v>29</v>
      </c>
      <c r="AA872" t="s">
        <v>4</v>
      </c>
      <c r="AB872" t="s">
        <v>6</v>
      </c>
      <c r="AC872" t="s">
        <v>7</v>
      </c>
      <c r="AD872" t="s">
        <v>8</v>
      </c>
      <c r="AE872" t="s">
        <v>6</v>
      </c>
      <c r="AF872" t="s">
        <v>3</v>
      </c>
      <c r="AG872" t="s">
        <v>3</v>
      </c>
      <c r="AH872" t="s">
        <v>3</v>
      </c>
      <c r="AI872" t="s">
        <v>3</v>
      </c>
      <c r="AJ872" t="s">
        <v>3</v>
      </c>
      <c r="AK872" t="s">
        <v>7</v>
      </c>
      <c r="AL872">
        <v>0</v>
      </c>
      <c r="AM872">
        <v>0</v>
      </c>
      <c r="AN872">
        <v>0</v>
      </c>
      <c r="AO872">
        <v>0</v>
      </c>
      <c r="AP872">
        <v>0</v>
      </c>
      <c r="AQ872" t="s">
        <v>9</v>
      </c>
      <c r="AR872" s="1">
        <v>2.10771667E-4</v>
      </c>
      <c r="AS872" s="1">
        <v>4.3588028099999996E-25</v>
      </c>
      <c r="AT872">
        <v>41</v>
      </c>
      <c r="AU872" t="s">
        <v>10</v>
      </c>
      <c r="AV872">
        <v>2</v>
      </c>
      <c r="AW872">
        <v>0</v>
      </c>
      <c r="AX872">
        <v>0</v>
      </c>
      <c r="AY872">
        <v>1</v>
      </c>
      <c r="AZ872">
        <v>0</v>
      </c>
      <c r="BA872" t="s">
        <v>29</v>
      </c>
      <c r="BB872" t="s">
        <v>4</v>
      </c>
      <c r="BC872" t="s">
        <v>10</v>
      </c>
      <c r="BD872">
        <v>0</v>
      </c>
      <c r="BE872">
        <v>0</v>
      </c>
      <c r="BF872">
        <v>0</v>
      </c>
      <c r="BG872">
        <v>0</v>
      </c>
      <c r="BH872">
        <v>0</v>
      </c>
      <c r="BI872" t="s">
        <v>9</v>
      </c>
      <c r="BJ872">
        <v>-1.6176E-4</v>
      </c>
      <c r="BK872">
        <v>0</v>
      </c>
      <c r="BL872">
        <v>1.3511999999999999E-4</v>
      </c>
      <c r="BM872" s="2">
        <f t="shared" si="13"/>
        <v>2.6249324241255645E-6</v>
      </c>
    </row>
    <row r="873" spans="1:65" x14ac:dyDescent="0.35">
      <c r="A873">
        <v>0</v>
      </c>
      <c r="B873" t="s">
        <v>3</v>
      </c>
      <c r="C873" t="s">
        <v>4</v>
      </c>
      <c r="D873">
        <v>0</v>
      </c>
      <c r="E873" t="s">
        <v>3</v>
      </c>
      <c r="F873" t="s">
        <v>5</v>
      </c>
      <c r="G873">
        <v>3489.0276800000001</v>
      </c>
      <c r="H873" t="s">
        <v>4</v>
      </c>
      <c r="I873">
        <v>990.16341899999998</v>
      </c>
      <c r="J873">
        <v>2498.8642610000002</v>
      </c>
      <c r="K873" t="s">
        <v>6</v>
      </c>
      <c r="L873" t="s">
        <v>7</v>
      </c>
      <c r="M873" t="s">
        <v>8</v>
      </c>
      <c r="N873" t="s">
        <v>6</v>
      </c>
      <c r="O873" t="s">
        <v>3</v>
      </c>
      <c r="P873" t="s">
        <v>3</v>
      </c>
      <c r="Q873" t="s">
        <v>3</v>
      </c>
      <c r="R873" t="s">
        <v>3</v>
      </c>
      <c r="S873" t="s">
        <v>3</v>
      </c>
      <c r="T873" t="s">
        <v>7</v>
      </c>
      <c r="U873">
        <v>0</v>
      </c>
      <c r="V873">
        <v>1</v>
      </c>
      <c r="W873">
        <v>0</v>
      </c>
      <c r="X873">
        <v>3</v>
      </c>
      <c r="Y873">
        <v>0</v>
      </c>
      <c r="Z873" t="s">
        <v>15</v>
      </c>
      <c r="AA873" t="s">
        <v>4</v>
      </c>
      <c r="AB873" t="s">
        <v>6</v>
      </c>
      <c r="AC873" t="s">
        <v>7</v>
      </c>
      <c r="AD873" t="s">
        <v>8</v>
      </c>
      <c r="AE873" t="s">
        <v>6</v>
      </c>
      <c r="AF873" t="s">
        <v>3</v>
      </c>
      <c r="AG873" t="s">
        <v>3</v>
      </c>
      <c r="AH873" t="s">
        <v>3</v>
      </c>
      <c r="AI873" t="s">
        <v>3</v>
      </c>
      <c r="AJ873" t="s">
        <v>3</v>
      </c>
      <c r="AK873" t="s">
        <v>7</v>
      </c>
      <c r="AL873">
        <v>0</v>
      </c>
      <c r="AM873">
        <v>0</v>
      </c>
      <c r="AN873">
        <v>0</v>
      </c>
      <c r="AO873">
        <v>0</v>
      </c>
      <c r="AP873">
        <v>0</v>
      </c>
      <c r="AQ873" t="s">
        <v>9</v>
      </c>
      <c r="AR873" s="1">
        <v>5.2227025399999999E-4</v>
      </c>
      <c r="AS873" s="1">
        <v>1.83124693E-24</v>
      </c>
      <c r="AT873">
        <v>41</v>
      </c>
      <c r="AU873" t="s">
        <v>10</v>
      </c>
      <c r="AV873">
        <v>0</v>
      </c>
      <c r="AW873">
        <v>1</v>
      </c>
      <c r="AX873">
        <v>0</v>
      </c>
      <c r="AY873">
        <v>3</v>
      </c>
      <c r="AZ873">
        <v>0</v>
      </c>
      <c r="BA873" t="s">
        <v>15</v>
      </c>
      <c r="BB873" t="s">
        <v>4</v>
      </c>
      <c r="BC873" t="s">
        <v>10</v>
      </c>
      <c r="BD873">
        <v>0</v>
      </c>
      <c r="BE873">
        <v>0</v>
      </c>
      <c r="BF873">
        <v>0</v>
      </c>
      <c r="BG873">
        <v>0</v>
      </c>
      <c r="BH873">
        <v>0</v>
      </c>
      <c r="BI873" t="s">
        <v>9</v>
      </c>
      <c r="BJ873">
        <v>-2.7478000000000002E-4</v>
      </c>
      <c r="BK873">
        <v>0</v>
      </c>
      <c r="BL873">
        <v>4.4413999999999999E-4</v>
      </c>
      <c r="BM873" s="2">
        <f t="shared" si="13"/>
        <v>1.1028026852027743E-5</v>
      </c>
    </row>
    <row r="874" spans="1:65" x14ac:dyDescent="0.35">
      <c r="A874">
        <v>0</v>
      </c>
      <c r="B874" t="s">
        <v>3</v>
      </c>
      <c r="C874" t="s">
        <v>4</v>
      </c>
      <c r="D874">
        <v>0</v>
      </c>
      <c r="E874" t="s">
        <v>3</v>
      </c>
      <c r="F874" t="s">
        <v>5</v>
      </c>
      <c r="G874">
        <v>4351.1306100000002</v>
      </c>
      <c r="H874" t="s">
        <v>4</v>
      </c>
      <c r="I874">
        <v>990.16341899999998</v>
      </c>
      <c r="J874">
        <v>3360.9671910000002</v>
      </c>
      <c r="K874" t="s">
        <v>6</v>
      </c>
      <c r="L874" t="s">
        <v>7</v>
      </c>
      <c r="M874" t="s">
        <v>8</v>
      </c>
      <c r="N874" t="s">
        <v>6</v>
      </c>
      <c r="O874" t="s">
        <v>3</v>
      </c>
      <c r="P874" t="s">
        <v>3</v>
      </c>
      <c r="Q874" t="s">
        <v>3</v>
      </c>
      <c r="R874" t="s">
        <v>3</v>
      </c>
      <c r="S874" t="s">
        <v>3</v>
      </c>
      <c r="T874" t="s">
        <v>7</v>
      </c>
      <c r="U874">
        <v>1</v>
      </c>
      <c r="V874">
        <v>1</v>
      </c>
      <c r="W874">
        <v>0</v>
      </c>
      <c r="X874">
        <v>3</v>
      </c>
      <c r="Y874">
        <v>0</v>
      </c>
      <c r="Z874" t="s">
        <v>15</v>
      </c>
      <c r="AA874" t="s">
        <v>4</v>
      </c>
      <c r="AB874" t="s">
        <v>6</v>
      </c>
      <c r="AC874" t="s">
        <v>7</v>
      </c>
      <c r="AD874" t="s">
        <v>8</v>
      </c>
      <c r="AE874" t="s">
        <v>6</v>
      </c>
      <c r="AF874" t="s">
        <v>3</v>
      </c>
      <c r="AG874" t="s">
        <v>3</v>
      </c>
      <c r="AH874" t="s">
        <v>3</v>
      </c>
      <c r="AI874" t="s">
        <v>3</v>
      </c>
      <c r="AJ874" t="s">
        <v>3</v>
      </c>
      <c r="AK874" t="s">
        <v>7</v>
      </c>
      <c r="AL874">
        <v>0</v>
      </c>
      <c r="AM874">
        <v>0</v>
      </c>
      <c r="AN874">
        <v>0</v>
      </c>
      <c r="AO874">
        <v>0</v>
      </c>
      <c r="AP874">
        <v>0</v>
      </c>
      <c r="AQ874" t="s">
        <v>9</v>
      </c>
      <c r="AR874" s="1">
        <v>1.13464339E-4</v>
      </c>
      <c r="AS874" s="1">
        <v>1.1625166200000001E-25</v>
      </c>
      <c r="AT874">
        <v>36</v>
      </c>
      <c r="AU874" t="s">
        <v>10</v>
      </c>
      <c r="AV874">
        <v>1</v>
      </c>
      <c r="AW874">
        <v>1</v>
      </c>
      <c r="AX874">
        <v>0</v>
      </c>
      <c r="AY874">
        <v>3</v>
      </c>
      <c r="AZ874">
        <v>0</v>
      </c>
      <c r="BA874" t="s">
        <v>15</v>
      </c>
      <c r="BB874" t="s">
        <v>4</v>
      </c>
      <c r="BC874" t="s">
        <v>10</v>
      </c>
      <c r="BD874">
        <v>0</v>
      </c>
      <c r="BE874">
        <v>0</v>
      </c>
      <c r="BF874">
        <v>0</v>
      </c>
      <c r="BG874">
        <v>0</v>
      </c>
      <c r="BH874">
        <v>0</v>
      </c>
      <c r="BI874" t="s">
        <v>9</v>
      </c>
      <c r="BJ874">
        <v>-1.0978E-4</v>
      </c>
      <c r="BK874">
        <v>0</v>
      </c>
      <c r="BL874">
        <v>2.868E-5</v>
      </c>
      <c r="BM874" s="2">
        <f t="shared" si="13"/>
        <v>7.0008387679800958E-7</v>
      </c>
    </row>
    <row r="875" spans="1:65" x14ac:dyDescent="0.35">
      <c r="A875">
        <v>0</v>
      </c>
      <c r="B875" t="s">
        <v>3</v>
      </c>
      <c r="C875" t="s">
        <v>4</v>
      </c>
      <c r="D875">
        <v>0</v>
      </c>
      <c r="E875" t="s">
        <v>3</v>
      </c>
      <c r="F875" t="s">
        <v>5</v>
      </c>
      <c r="G875">
        <v>4076.923781</v>
      </c>
      <c r="H875" t="s">
        <v>4</v>
      </c>
      <c r="I875">
        <v>990.16341899999998</v>
      </c>
      <c r="J875">
        <v>3086.760362</v>
      </c>
      <c r="K875" t="s">
        <v>6</v>
      </c>
      <c r="L875" t="s">
        <v>7</v>
      </c>
      <c r="M875" t="s">
        <v>8</v>
      </c>
      <c r="N875" t="s">
        <v>6</v>
      </c>
      <c r="O875" t="s">
        <v>3</v>
      </c>
      <c r="P875" t="s">
        <v>3</v>
      </c>
      <c r="Q875" t="s">
        <v>3</v>
      </c>
      <c r="R875" t="s">
        <v>3</v>
      </c>
      <c r="S875" t="s">
        <v>3</v>
      </c>
      <c r="T875" t="s">
        <v>7</v>
      </c>
      <c r="U875">
        <v>1</v>
      </c>
      <c r="V875">
        <v>0</v>
      </c>
      <c r="W875">
        <v>0</v>
      </c>
      <c r="X875">
        <v>1</v>
      </c>
      <c r="Y875">
        <v>0</v>
      </c>
      <c r="Z875" t="s">
        <v>22</v>
      </c>
      <c r="AA875" t="s">
        <v>4</v>
      </c>
      <c r="AB875" t="s">
        <v>6</v>
      </c>
      <c r="AC875" t="s">
        <v>7</v>
      </c>
      <c r="AD875" t="s">
        <v>8</v>
      </c>
      <c r="AE875" t="s">
        <v>6</v>
      </c>
      <c r="AF875" t="s">
        <v>3</v>
      </c>
      <c r="AG875" t="s">
        <v>3</v>
      </c>
      <c r="AH875" t="s">
        <v>3</v>
      </c>
      <c r="AI875" t="s">
        <v>3</v>
      </c>
      <c r="AJ875" t="s">
        <v>3</v>
      </c>
      <c r="AK875" t="s">
        <v>7</v>
      </c>
      <c r="AL875">
        <v>0</v>
      </c>
      <c r="AM875">
        <v>0</v>
      </c>
      <c r="AN875">
        <v>0</v>
      </c>
      <c r="AO875">
        <v>0</v>
      </c>
      <c r="AP875">
        <v>0</v>
      </c>
      <c r="AQ875" t="s">
        <v>9</v>
      </c>
      <c r="AR875" s="1">
        <v>1.4462675000000001E-4</v>
      </c>
      <c r="AS875" s="1">
        <v>1.7346672700000001E-25</v>
      </c>
      <c r="AT875">
        <v>37</v>
      </c>
      <c r="AU875" t="s">
        <v>10</v>
      </c>
      <c r="AV875">
        <v>1</v>
      </c>
      <c r="AW875">
        <v>0</v>
      </c>
      <c r="AX875">
        <v>0</v>
      </c>
      <c r="AY875">
        <v>1</v>
      </c>
      <c r="AZ875">
        <v>0</v>
      </c>
      <c r="BA875" t="s">
        <v>22</v>
      </c>
      <c r="BB875" t="s">
        <v>4</v>
      </c>
      <c r="BC875" t="s">
        <v>10</v>
      </c>
      <c r="BD875">
        <v>0</v>
      </c>
      <c r="BE875">
        <v>0</v>
      </c>
      <c r="BF875">
        <v>0</v>
      </c>
      <c r="BG875">
        <v>0</v>
      </c>
      <c r="BH875">
        <v>0</v>
      </c>
      <c r="BI875" t="s">
        <v>9</v>
      </c>
      <c r="BJ875">
        <v>1.4322E-4</v>
      </c>
      <c r="BK875">
        <v>0</v>
      </c>
      <c r="BL875">
        <v>2.0109999999999999E-5</v>
      </c>
      <c r="BM875" s="2">
        <f t="shared" si="13"/>
        <v>1.0446410541091616E-6</v>
      </c>
    </row>
    <row r="876" spans="1:65" x14ac:dyDescent="0.35">
      <c r="A876">
        <v>0</v>
      </c>
      <c r="B876" t="s">
        <v>11</v>
      </c>
      <c r="C876" t="s">
        <v>4</v>
      </c>
      <c r="D876">
        <v>0</v>
      </c>
      <c r="E876" t="s">
        <v>3</v>
      </c>
      <c r="F876" t="s">
        <v>5</v>
      </c>
      <c r="G876">
        <v>4454.0935330000002</v>
      </c>
      <c r="H876" t="s">
        <v>4</v>
      </c>
      <c r="I876">
        <v>990.16341899999998</v>
      </c>
      <c r="J876">
        <v>3463.9301139999998</v>
      </c>
      <c r="K876" t="s">
        <v>6</v>
      </c>
      <c r="L876" t="s">
        <v>7</v>
      </c>
      <c r="M876" t="s">
        <v>8</v>
      </c>
      <c r="N876" t="s">
        <v>6</v>
      </c>
      <c r="O876" t="s">
        <v>3</v>
      </c>
      <c r="P876" t="s">
        <v>3</v>
      </c>
      <c r="Q876" t="s">
        <v>3</v>
      </c>
      <c r="R876" t="s">
        <v>3</v>
      </c>
      <c r="S876" t="s">
        <v>11</v>
      </c>
      <c r="T876" t="s">
        <v>7</v>
      </c>
      <c r="U876">
        <v>0</v>
      </c>
      <c r="V876">
        <v>1</v>
      </c>
      <c r="W876">
        <v>0</v>
      </c>
      <c r="X876">
        <v>4</v>
      </c>
      <c r="Y876">
        <v>0</v>
      </c>
      <c r="Z876" t="s">
        <v>14</v>
      </c>
      <c r="AA876" t="s">
        <v>4</v>
      </c>
      <c r="AB876" t="s">
        <v>6</v>
      </c>
      <c r="AC876" t="s">
        <v>7</v>
      </c>
      <c r="AD876" t="s">
        <v>8</v>
      </c>
      <c r="AE876" t="s">
        <v>6</v>
      </c>
      <c r="AF876" t="s">
        <v>3</v>
      </c>
      <c r="AG876" t="s">
        <v>3</v>
      </c>
      <c r="AH876" t="s">
        <v>3</v>
      </c>
      <c r="AI876" t="s">
        <v>3</v>
      </c>
      <c r="AJ876" t="s">
        <v>3</v>
      </c>
      <c r="AK876" t="s">
        <v>7</v>
      </c>
      <c r="AL876">
        <v>0</v>
      </c>
      <c r="AM876">
        <v>0</v>
      </c>
      <c r="AN876">
        <v>0</v>
      </c>
      <c r="AO876">
        <v>0</v>
      </c>
      <c r="AP876">
        <v>0</v>
      </c>
      <c r="AQ876" t="s">
        <v>9</v>
      </c>
      <c r="AR876" s="1">
        <v>3.4913816999999997E-5</v>
      </c>
      <c r="AS876" s="1">
        <v>1.1344357999999999E-26</v>
      </c>
      <c r="AT876">
        <v>22</v>
      </c>
      <c r="AU876" t="s">
        <v>10</v>
      </c>
      <c r="AV876">
        <v>0</v>
      </c>
      <c r="AW876">
        <v>1</v>
      </c>
      <c r="AX876">
        <v>0</v>
      </c>
      <c r="AY876">
        <v>4</v>
      </c>
      <c r="AZ876">
        <v>0</v>
      </c>
      <c r="BA876" t="s">
        <v>14</v>
      </c>
      <c r="BB876" t="s">
        <v>4</v>
      </c>
      <c r="BC876" t="s">
        <v>10</v>
      </c>
      <c r="BD876">
        <v>0</v>
      </c>
      <c r="BE876">
        <v>0</v>
      </c>
      <c r="BF876">
        <v>0</v>
      </c>
      <c r="BG876">
        <v>0</v>
      </c>
      <c r="BH876">
        <v>0</v>
      </c>
      <c r="BI876" t="s">
        <v>9</v>
      </c>
      <c r="BJ876">
        <v>0</v>
      </c>
      <c r="BK876">
        <v>3.4910000000000003E-5</v>
      </c>
      <c r="BL876">
        <v>0</v>
      </c>
      <c r="BM876" s="2">
        <f t="shared" si="13"/>
        <v>6.8317321161606384E-8</v>
      </c>
    </row>
    <row r="877" spans="1:65" x14ac:dyDescent="0.35">
      <c r="A877">
        <v>0</v>
      </c>
      <c r="B877" t="s">
        <v>11</v>
      </c>
      <c r="C877" t="s">
        <v>4</v>
      </c>
      <c r="D877">
        <v>0</v>
      </c>
      <c r="E877" t="s">
        <v>3</v>
      </c>
      <c r="F877" t="s">
        <v>5</v>
      </c>
      <c r="G877">
        <v>4766.2079409999997</v>
      </c>
      <c r="H877" t="s">
        <v>4</v>
      </c>
      <c r="I877">
        <v>990.16341899999998</v>
      </c>
      <c r="J877">
        <v>3776.0445220000001</v>
      </c>
      <c r="K877" t="s">
        <v>6</v>
      </c>
      <c r="L877" t="s">
        <v>7</v>
      </c>
      <c r="M877" t="s">
        <v>8</v>
      </c>
      <c r="N877" t="s">
        <v>6</v>
      </c>
      <c r="O877" t="s">
        <v>3</v>
      </c>
      <c r="P877" t="s">
        <v>3</v>
      </c>
      <c r="Q877" t="s">
        <v>3</v>
      </c>
      <c r="R877" t="s">
        <v>3</v>
      </c>
      <c r="S877" t="s">
        <v>11</v>
      </c>
      <c r="T877" t="s">
        <v>7</v>
      </c>
      <c r="U877">
        <v>0</v>
      </c>
      <c r="V877">
        <v>0</v>
      </c>
      <c r="W877">
        <v>0</v>
      </c>
      <c r="X877">
        <v>3</v>
      </c>
      <c r="Y877">
        <v>1</v>
      </c>
      <c r="Z877" t="s">
        <v>12</v>
      </c>
      <c r="AA877" t="s">
        <v>4</v>
      </c>
      <c r="AB877" t="s">
        <v>6</v>
      </c>
      <c r="AC877" t="s">
        <v>7</v>
      </c>
      <c r="AD877" t="s">
        <v>8</v>
      </c>
      <c r="AE877" t="s">
        <v>6</v>
      </c>
      <c r="AF877" t="s">
        <v>3</v>
      </c>
      <c r="AG877" t="s">
        <v>3</v>
      </c>
      <c r="AH877" t="s">
        <v>3</v>
      </c>
      <c r="AI877" t="s">
        <v>3</v>
      </c>
      <c r="AJ877" t="s">
        <v>3</v>
      </c>
      <c r="AK877" t="s">
        <v>7</v>
      </c>
      <c r="AL877">
        <v>0</v>
      </c>
      <c r="AM877">
        <v>0</v>
      </c>
      <c r="AN877">
        <v>0</v>
      </c>
      <c r="AO877">
        <v>0</v>
      </c>
      <c r="AP877">
        <v>0</v>
      </c>
      <c r="AQ877" t="s">
        <v>9</v>
      </c>
      <c r="AR877" s="1">
        <v>8.54876362E-6</v>
      </c>
      <c r="AS877" s="1">
        <v>7.4141246099999996E-28</v>
      </c>
      <c r="AT877">
        <v>36</v>
      </c>
      <c r="AU877" t="s">
        <v>10</v>
      </c>
      <c r="AV877">
        <v>0</v>
      </c>
      <c r="AW877">
        <v>0</v>
      </c>
      <c r="AX877">
        <v>0</v>
      </c>
      <c r="AY877">
        <v>3</v>
      </c>
      <c r="AZ877">
        <v>1</v>
      </c>
      <c r="BA877" t="s">
        <v>12</v>
      </c>
      <c r="BB877" t="s">
        <v>4</v>
      </c>
      <c r="BC877" t="s">
        <v>10</v>
      </c>
      <c r="BD877">
        <v>0</v>
      </c>
      <c r="BE877">
        <v>0</v>
      </c>
      <c r="BF877">
        <v>0</v>
      </c>
      <c r="BG877">
        <v>0</v>
      </c>
      <c r="BH877">
        <v>0</v>
      </c>
      <c r="BI877" t="s">
        <v>9</v>
      </c>
      <c r="BJ877">
        <v>0</v>
      </c>
      <c r="BK877">
        <v>8.5499999999999995E-6</v>
      </c>
      <c r="BL877">
        <v>0</v>
      </c>
      <c r="BM877" s="2">
        <f t="shared" si="13"/>
        <v>4.4648902310165081E-9</v>
      </c>
    </row>
    <row r="878" spans="1:65" x14ac:dyDescent="0.35">
      <c r="A878">
        <v>0</v>
      </c>
      <c r="B878" t="s">
        <v>3</v>
      </c>
      <c r="C878" t="s">
        <v>4</v>
      </c>
      <c r="D878">
        <v>0</v>
      </c>
      <c r="E878" t="s">
        <v>3</v>
      </c>
      <c r="F878" t="s">
        <v>5</v>
      </c>
      <c r="G878">
        <v>4268.5775560000002</v>
      </c>
      <c r="H878" t="s">
        <v>4</v>
      </c>
      <c r="I878">
        <v>990.16341899999998</v>
      </c>
      <c r="J878">
        <v>3278.4141370000002</v>
      </c>
      <c r="K878" t="s">
        <v>6</v>
      </c>
      <c r="L878" t="s">
        <v>7</v>
      </c>
      <c r="M878" t="s">
        <v>8</v>
      </c>
      <c r="N878" t="s">
        <v>6</v>
      </c>
      <c r="O878" t="s">
        <v>3</v>
      </c>
      <c r="P878" t="s">
        <v>3</v>
      </c>
      <c r="Q878" t="s">
        <v>3</v>
      </c>
      <c r="R878" t="s">
        <v>3</v>
      </c>
      <c r="S878" t="s">
        <v>3</v>
      </c>
      <c r="T878" t="s">
        <v>7</v>
      </c>
      <c r="U878">
        <v>2</v>
      </c>
      <c r="V878">
        <v>0</v>
      </c>
      <c r="W878">
        <v>0</v>
      </c>
      <c r="X878">
        <v>0</v>
      </c>
      <c r="Y878">
        <v>0</v>
      </c>
      <c r="Z878" t="s">
        <v>22</v>
      </c>
      <c r="AA878" t="s">
        <v>4</v>
      </c>
      <c r="AB878" t="s">
        <v>6</v>
      </c>
      <c r="AC878" t="s">
        <v>7</v>
      </c>
      <c r="AD878" t="s">
        <v>8</v>
      </c>
      <c r="AE878" t="s">
        <v>6</v>
      </c>
      <c r="AF878" t="s">
        <v>3</v>
      </c>
      <c r="AG878" t="s">
        <v>3</v>
      </c>
      <c r="AH878" t="s">
        <v>3</v>
      </c>
      <c r="AI878" t="s">
        <v>3</v>
      </c>
      <c r="AJ878" t="s">
        <v>3</v>
      </c>
      <c r="AK878" t="s">
        <v>7</v>
      </c>
      <c r="AL878">
        <v>0</v>
      </c>
      <c r="AM878">
        <v>0</v>
      </c>
      <c r="AN878">
        <v>0</v>
      </c>
      <c r="AO878">
        <v>0</v>
      </c>
      <c r="AP878">
        <v>0</v>
      </c>
      <c r="AQ878" t="s">
        <v>9</v>
      </c>
      <c r="AR878" s="1">
        <v>1.1437075600000001E-4</v>
      </c>
      <c r="AS878" s="1">
        <v>1.1521523299999999E-25</v>
      </c>
      <c r="AT878">
        <v>36</v>
      </c>
      <c r="AU878" t="s">
        <v>10</v>
      </c>
      <c r="AV878">
        <v>2</v>
      </c>
      <c r="AW878">
        <v>0</v>
      </c>
      <c r="AX878">
        <v>0</v>
      </c>
      <c r="AY878">
        <v>0</v>
      </c>
      <c r="AZ878">
        <v>0</v>
      </c>
      <c r="BA878" t="s">
        <v>22</v>
      </c>
      <c r="BB878" t="s">
        <v>4</v>
      </c>
      <c r="BC878" t="s">
        <v>10</v>
      </c>
      <c r="BD878">
        <v>0</v>
      </c>
      <c r="BE878">
        <v>0</v>
      </c>
      <c r="BF878">
        <v>0</v>
      </c>
      <c r="BG878">
        <v>0</v>
      </c>
      <c r="BH878">
        <v>0</v>
      </c>
      <c r="BI878" t="s">
        <v>9</v>
      </c>
      <c r="BJ878">
        <v>-6.0770000000000003E-5</v>
      </c>
      <c r="BK878">
        <v>0</v>
      </c>
      <c r="BL878">
        <v>-9.6890000000000002E-5</v>
      </c>
      <c r="BM878" s="2">
        <f t="shared" si="13"/>
        <v>6.938423554308064E-7</v>
      </c>
    </row>
    <row r="879" spans="1:65" x14ac:dyDescent="0.35">
      <c r="A879">
        <v>0</v>
      </c>
      <c r="B879" t="s">
        <v>3</v>
      </c>
      <c r="C879" t="s">
        <v>4</v>
      </c>
      <c r="D879">
        <v>0</v>
      </c>
      <c r="E879" t="s">
        <v>3</v>
      </c>
      <c r="F879" t="s">
        <v>5</v>
      </c>
      <c r="G879">
        <v>3329.095264</v>
      </c>
      <c r="H879" t="s">
        <v>4</v>
      </c>
      <c r="I879">
        <v>990.16341899999998</v>
      </c>
      <c r="J879">
        <v>2338.9318450000001</v>
      </c>
      <c r="K879" t="s">
        <v>6</v>
      </c>
      <c r="L879" t="s">
        <v>7</v>
      </c>
      <c r="M879" t="s">
        <v>8</v>
      </c>
      <c r="N879" t="s">
        <v>6</v>
      </c>
      <c r="O879" t="s">
        <v>3</v>
      </c>
      <c r="P879" t="s">
        <v>3</v>
      </c>
      <c r="Q879" t="s">
        <v>3</v>
      </c>
      <c r="R879" t="s">
        <v>3</v>
      </c>
      <c r="S879" t="s">
        <v>3</v>
      </c>
      <c r="T879" t="s">
        <v>7</v>
      </c>
      <c r="U879">
        <v>2</v>
      </c>
      <c r="V879">
        <v>1</v>
      </c>
      <c r="W879">
        <v>0</v>
      </c>
      <c r="X879">
        <v>1</v>
      </c>
      <c r="Y879">
        <v>0</v>
      </c>
      <c r="Z879" t="s">
        <v>8</v>
      </c>
      <c r="AA879" t="s">
        <v>4</v>
      </c>
      <c r="AB879" t="s">
        <v>6</v>
      </c>
      <c r="AC879" t="s">
        <v>7</v>
      </c>
      <c r="AD879" t="s">
        <v>8</v>
      </c>
      <c r="AE879" t="s">
        <v>6</v>
      </c>
      <c r="AF879" t="s">
        <v>3</v>
      </c>
      <c r="AG879" t="s">
        <v>3</v>
      </c>
      <c r="AH879" t="s">
        <v>3</v>
      </c>
      <c r="AI879" t="s">
        <v>3</v>
      </c>
      <c r="AJ879" t="s">
        <v>3</v>
      </c>
      <c r="AK879" t="s">
        <v>7</v>
      </c>
      <c r="AL879">
        <v>0</v>
      </c>
      <c r="AM879">
        <v>0</v>
      </c>
      <c r="AN879">
        <v>0</v>
      </c>
      <c r="AO879">
        <v>0</v>
      </c>
      <c r="AP879">
        <v>0</v>
      </c>
      <c r="AQ879" t="s">
        <v>9</v>
      </c>
      <c r="AR879" s="1">
        <v>3.7340110200000001E-4</v>
      </c>
      <c r="AS879" s="1">
        <v>8.7615210099999997E-25</v>
      </c>
      <c r="AT879">
        <v>41</v>
      </c>
      <c r="AU879" t="s">
        <v>10</v>
      </c>
      <c r="AV879">
        <v>2</v>
      </c>
      <c r="AW879">
        <v>1</v>
      </c>
      <c r="AX879">
        <v>0</v>
      </c>
      <c r="AY879">
        <v>1</v>
      </c>
      <c r="AZ879">
        <v>0</v>
      </c>
      <c r="BA879" t="s">
        <v>8</v>
      </c>
      <c r="BB879" t="s">
        <v>4</v>
      </c>
      <c r="BC879" t="s">
        <v>10</v>
      </c>
      <c r="BD879">
        <v>0</v>
      </c>
      <c r="BE879">
        <v>0</v>
      </c>
      <c r="BF879">
        <v>0</v>
      </c>
      <c r="BG879">
        <v>0</v>
      </c>
      <c r="BH879">
        <v>0</v>
      </c>
      <c r="BI879" t="s">
        <v>9</v>
      </c>
      <c r="BJ879">
        <v>-3.5875000000000002E-4</v>
      </c>
      <c r="BK879">
        <v>0</v>
      </c>
      <c r="BL879">
        <v>1.0357E-4</v>
      </c>
      <c r="BM879" s="2">
        <f t="shared" si="13"/>
        <v>5.2763113144378203E-6</v>
      </c>
    </row>
    <row r="880" spans="1:65" x14ac:dyDescent="0.35">
      <c r="A880">
        <v>0</v>
      </c>
      <c r="B880" t="s">
        <v>3</v>
      </c>
      <c r="C880" t="s">
        <v>4</v>
      </c>
      <c r="D880">
        <v>0</v>
      </c>
      <c r="E880" t="s">
        <v>3</v>
      </c>
      <c r="F880" t="s">
        <v>5</v>
      </c>
      <c r="G880">
        <v>4817.0301200000004</v>
      </c>
      <c r="H880" t="s">
        <v>4</v>
      </c>
      <c r="I880">
        <v>990.16341899999998</v>
      </c>
      <c r="J880">
        <v>3826.8667009999999</v>
      </c>
      <c r="K880" t="s">
        <v>6</v>
      </c>
      <c r="L880" t="s">
        <v>7</v>
      </c>
      <c r="M880" t="s">
        <v>8</v>
      </c>
      <c r="N880" t="s">
        <v>6</v>
      </c>
      <c r="O880" t="s">
        <v>3</v>
      </c>
      <c r="P880" t="s">
        <v>3</v>
      </c>
      <c r="Q880" t="s">
        <v>3</v>
      </c>
      <c r="R880" t="s">
        <v>3</v>
      </c>
      <c r="S880" t="s">
        <v>3</v>
      </c>
      <c r="T880" t="s">
        <v>7</v>
      </c>
      <c r="U880">
        <v>2</v>
      </c>
      <c r="V880">
        <v>1</v>
      </c>
      <c r="W880">
        <v>0</v>
      </c>
      <c r="X880">
        <v>0</v>
      </c>
      <c r="Y880">
        <v>0</v>
      </c>
      <c r="Z880" t="s">
        <v>24</v>
      </c>
      <c r="AA880" t="s">
        <v>4</v>
      </c>
      <c r="AB880" t="s">
        <v>6</v>
      </c>
      <c r="AC880" t="s">
        <v>7</v>
      </c>
      <c r="AD880" t="s">
        <v>8</v>
      </c>
      <c r="AE880" t="s">
        <v>6</v>
      </c>
      <c r="AF880" t="s">
        <v>3</v>
      </c>
      <c r="AG880" t="s">
        <v>3</v>
      </c>
      <c r="AH880" t="s">
        <v>3</v>
      </c>
      <c r="AI880" t="s">
        <v>3</v>
      </c>
      <c r="AJ880" t="s">
        <v>3</v>
      </c>
      <c r="AK880" t="s">
        <v>7</v>
      </c>
      <c r="AL880">
        <v>0</v>
      </c>
      <c r="AM880">
        <v>0</v>
      </c>
      <c r="AN880">
        <v>0</v>
      </c>
      <c r="AO880">
        <v>0</v>
      </c>
      <c r="AP880">
        <v>0</v>
      </c>
      <c r="AQ880" t="s">
        <v>9</v>
      </c>
      <c r="AR880" s="1">
        <v>2.9766150200000001E-4</v>
      </c>
      <c r="AS880" s="1">
        <v>9.1097158800000005E-25</v>
      </c>
      <c r="AT880">
        <v>38</v>
      </c>
      <c r="AU880" t="s">
        <v>10</v>
      </c>
      <c r="AV880">
        <v>2</v>
      </c>
      <c r="AW880">
        <v>1</v>
      </c>
      <c r="AX880">
        <v>0</v>
      </c>
      <c r="AY880">
        <v>0</v>
      </c>
      <c r="AZ880">
        <v>0</v>
      </c>
      <c r="BA880" t="s">
        <v>24</v>
      </c>
      <c r="BB880" t="s">
        <v>4</v>
      </c>
      <c r="BC880" t="s">
        <v>10</v>
      </c>
      <c r="BD880">
        <v>0</v>
      </c>
      <c r="BE880">
        <v>0</v>
      </c>
      <c r="BF880">
        <v>0</v>
      </c>
      <c r="BG880">
        <v>0</v>
      </c>
      <c r="BH880">
        <v>0</v>
      </c>
      <c r="BI880" t="s">
        <v>9</v>
      </c>
      <c r="BJ880">
        <v>1.8296999999999999E-4</v>
      </c>
      <c r="BK880">
        <v>0</v>
      </c>
      <c r="BL880">
        <v>-2.3478999999999999E-4</v>
      </c>
      <c r="BM880" s="2">
        <f t="shared" si="13"/>
        <v>5.4859991677355902E-6</v>
      </c>
    </row>
    <row r="881" spans="1:65" x14ac:dyDescent="0.35">
      <c r="A881">
        <v>0</v>
      </c>
      <c r="B881" t="s">
        <v>3</v>
      </c>
      <c r="C881" t="s">
        <v>4</v>
      </c>
      <c r="D881">
        <v>0</v>
      </c>
      <c r="E881" t="s">
        <v>3</v>
      </c>
      <c r="F881" t="s">
        <v>5</v>
      </c>
      <c r="G881">
        <v>4411.7286560000002</v>
      </c>
      <c r="H881" t="s">
        <v>4</v>
      </c>
      <c r="I881">
        <v>990.16341899999998</v>
      </c>
      <c r="J881">
        <v>3421.5652369999998</v>
      </c>
      <c r="K881" t="s">
        <v>6</v>
      </c>
      <c r="L881" t="s">
        <v>7</v>
      </c>
      <c r="M881" t="s">
        <v>8</v>
      </c>
      <c r="N881" t="s">
        <v>6</v>
      </c>
      <c r="O881" t="s">
        <v>3</v>
      </c>
      <c r="P881" t="s">
        <v>3</v>
      </c>
      <c r="Q881" t="s">
        <v>3</v>
      </c>
      <c r="R881" t="s">
        <v>3</v>
      </c>
      <c r="S881" t="s">
        <v>3</v>
      </c>
      <c r="T881" t="s">
        <v>7</v>
      </c>
      <c r="U881">
        <v>0</v>
      </c>
      <c r="V881">
        <v>0</v>
      </c>
      <c r="W881">
        <v>0</v>
      </c>
      <c r="X881">
        <v>2</v>
      </c>
      <c r="Y881">
        <v>3</v>
      </c>
      <c r="Z881" t="s">
        <v>9</v>
      </c>
      <c r="AA881" t="s">
        <v>4</v>
      </c>
      <c r="AB881" t="s">
        <v>6</v>
      </c>
      <c r="AC881" t="s">
        <v>7</v>
      </c>
      <c r="AD881" t="s">
        <v>8</v>
      </c>
      <c r="AE881" t="s">
        <v>6</v>
      </c>
      <c r="AF881" t="s">
        <v>3</v>
      </c>
      <c r="AG881" t="s">
        <v>3</v>
      </c>
      <c r="AH881" t="s">
        <v>3</v>
      </c>
      <c r="AI881" t="s">
        <v>3</v>
      </c>
      <c r="AJ881" t="s">
        <v>3</v>
      </c>
      <c r="AK881" t="s">
        <v>7</v>
      </c>
      <c r="AL881">
        <v>0</v>
      </c>
      <c r="AM881">
        <v>0</v>
      </c>
      <c r="AN881">
        <v>0</v>
      </c>
      <c r="AO881">
        <v>0</v>
      </c>
      <c r="AP881">
        <v>0</v>
      </c>
      <c r="AQ881" t="s">
        <v>9</v>
      </c>
      <c r="AR881" s="1">
        <v>1.1794271E-4</v>
      </c>
      <c r="AS881" s="1">
        <v>1.2787426800000001E-25</v>
      </c>
      <c r="AT881">
        <v>36</v>
      </c>
      <c r="AU881" t="s">
        <v>10</v>
      </c>
      <c r="AV881">
        <v>0</v>
      </c>
      <c r="AW881">
        <v>0</v>
      </c>
      <c r="AX881">
        <v>0</v>
      </c>
      <c r="AY881">
        <v>2</v>
      </c>
      <c r="AZ881">
        <v>3</v>
      </c>
      <c r="BA881" t="s">
        <v>9</v>
      </c>
      <c r="BB881" t="s">
        <v>4</v>
      </c>
      <c r="BC881" t="s">
        <v>10</v>
      </c>
      <c r="BD881">
        <v>0</v>
      </c>
      <c r="BE881">
        <v>0</v>
      </c>
      <c r="BF881">
        <v>0</v>
      </c>
      <c r="BG881">
        <v>0</v>
      </c>
      <c r="BH881">
        <v>0</v>
      </c>
      <c r="BI881" t="s">
        <v>9</v>
      </c>
      <c r="BJ881">
        <v>-1.0121E-4</v>
      </c>
      <c r="BK881">
        <v>0</v>
      </c>
      <c r="BL881">
        <v>-6.0560000000000003E-5</v>
      </c>
      <c r="BM881" s="2">
        <f t="shared" si="13"/>
        <v>7.7007684659293441E-7</v>
      </c>
    </row>
    <row r="882" spans="1:65" x14ac:dyDescent="0.35">
      <c r="A882">
        <v>0</v>
      </c>
      <c r="B882" t="s">
        <v>3</v>
      </c>
      <c r="C882" t="s">
        <v>4</v>
      </c>
      <c r="D882">
        <v>0</v>
      </c>
      <c r="E882" t="s">
        <v>3</v>
      </c>
      <c r="F882" t="s">
        <v>5</v>
      </c>
      <c r="G882">
        <v>3104.4965339999999</v>
      </c>
      <c r="H882" t="s">
        <v>4</v>
      </c>
      <c r="I882">
        <v>990.16341899999998</v>
      </c>
      <c r="J882">
        <v>2114.3331149999999</v>
      </c>
      <c r="K882" t="s">
        <v>6</v>
      </c>
      <c r="L882" t="s">
        <v>7</v>
      </c>
      <c r="M882" t="s">
        <v>8</v>
      </c>
      <c r="N882" t="s">
        <v>6</v>
      </c>
      <c r="O882" t="s">
        <v>3</v>
      </c>
      <c r="P882" t="s">
        <v>3</v>
      </c>
      <c r="Q882" t="s">
        <v>3</v>
      </c>
      <c r="R882" t="s">
        <v>3</v>
      </c>
      <c r="S882" t="s">
        <v>3</v>
      </c>
      <c r="T882" t="s">
        <v>7</v>
      </c>
      <c r="U882">
        <v>1</v>
      </c>
      <c r="V882">
        <v>0</v>
      </c>
      <c r="W882">
        <v>0</v>
      </c>
      <c r="X882">
        <v>1</v>
      </c>
      <c r="Y882">
        <v>0</v>
      </c>
      <c r="Z882" t="s">
        <v>21</v>
      </c>
      <c r="AA882" t="s">
        <v>4</v>
      </c>
      <c r="AB882" t="s">
        <v>6</v>
      </c>
      <c r="AC882" t="s">
        <v>7</v>
      </c>
      <c r="AD882" t="s">
        <v>8</v>
      </c>
      <c r="AE882" t="s">
        <v>6</v>
      </c>
      <c r="AF882" t="s">
        <v>3</v>
      </c>
      <c r="AG882" t="s">
        <v>3</v>
      </c>
      <c r="AH882" t="s">
        <v>3</v>
      </c>
      <c r="AI882" t="s">
        <v>3</v>
      </c>
      <c r="AJ882" t="s">
        <v>3</v>
      </c>
      <c r="AK882" t="s">
        <v>7</v>
      </c>
      <c r="AL882">
        <v>0</v>
      </c>
      <c r="AM882">
        <v>0</v>
      </c>
      <c r="AN882">
        <v>0</v>
      </c>
      <c r="AO882">
        <v>0</v>
      </c>
      <c r="AP882">
        <v>0</v>
      </c>
      <c r="AQ882" t="s">
        <v>9</v>
      </c>
      <c r="AR882" s="1">
        <v>1.59870701E-3</v>
      </c>
      <c r="AS882" s="1">
        <v>1.4518151399999999E-23</v>
      </c>
      <c r="AT882">
        <v>38</v>
      </c>
      <c r="AU882" t="s">
        <v>10</v>
      </c>
      <c r="AV882">
        <v>1</v>
      </c>
      <c r="AW882">
        <v>0</v>
      </c>
      <c r="AX882">
        <v>0</v>
      </c>
      <c r="AY882">
        <v>1</v>
      </c>
      <c r="AZ882">
        <v>0</v>
      </c>
      <c r="BA882" t="s">
        <v>21</v>
      </c>
      <c r="BB882" t="s">
        <v>4</v>
      </c>
      <c r="BC882" t="s">
        <v>10</v>
      </c>
      <c r="BD882">
        <v>0</v>
      </c>
      <c r="BE882">
        <v>0</v>
      </c>
      <c r="BF882">
        <v>0</v>
      </c>
      <c r="BG882">
        <v>0</v>
      </c>
      <c r="BH882">
        <v>0</v>
      </c>
      <c r="BI882" t="s">
        <v>9</v>
      </c>
      <c r="BJ882">
        <v>1.17807E-3</v>
      </c>
      <c r="BK882">
        <v>0</v>
      </c>
      <c r="BL882">
        <v>-1.08074E-3</v>
      </c>
      <c r="BM882" s="2">
        <f t="shared" si="13"/>
        <v>8.7430351886517112E-5</v>
      </c>
    </row>
    <row r="883" spans="1:65" x14ac:dyDescent="0.35">
      <c r="A883">
        <v>0</v>
      </c>
      <c r="B883" t="s">
        <v>11</v>
      </c>
      <c r="C883" t="s">
        <v>4</v>
      </c>
      <c r="D883">
        <v>0</v>
      </c>
      <c r="E883" t="s">
        <v>3</v>
      </c>
      <c r="F883" t="s">
        <v>5</v>
      </c>
      <c r="G883">
        <v>3887.3306699999998</v>
      </c>
      <c r="H883" t="s">
        <v>4</v>
      </c>
      <c r="I883">
        <v>990.16341899999998</v>
      </c>
      <c r="J883">
        <v>2897.1672509999999</v>
      </c>
      <c r="K883" t="s">
        <v>6</v>
      </c>
      <c r="L883" t="s">
        <v>7</v>
      </c>
      <c r="M883" t="s">
        <v>8</v>
      </c>
      <c r="N883" t="s">
        <v>6</v>
      </c>
      <c r="O883" t="s">
        <v>3</v>
      </c>
      <c r="P883" t="s">
        <v>3</v>
      </c>
      <c r="Q883" t="s">
        <v>3</v>
      </c>
      <c r="R883" t="s">
        <v>3</v>
      </c>
      <c r="S883" t="s">
        <v>11</v>
      </c>
      <c r="T883" t="s">
        <v>7</v>
      </c>
      <c r="U883">
        <v>2</v>
      </c>
      <c r="V883">
        <v>0</v>
      </c>
      <c r="W883">
        <v>0</v>
      </c>
      <c r="X883">
        <v>0</v>
      </c>
      <c r="Y883">
        <v>0</v>
      </c>
      <c r="Z883" t="s">
        <v>19</v>
      </c>
      <c r="AA883" t="s">
        <v>4</v>
      </c>
      <c r="AB883" t="s">
        <v>6</v>
      </c>
      <c r="AC883" t="s">
        <v>7</v>
      </c>
      <c r="AD883" t="s">
        <v>8</v>
      </c>
      <c r="AE883" t="s">
        <v>6</v>
      </c>
      <c r="AF883" t="s">
        <v>3</v>
      </c>
      <c r="AG883" t="s">
        <v>3</v>
      </c>
      <c r="AH883" t="s">
        <v>3</v>
      </c>
      <c r="AI883" t="s">
        <v>3</v>
      </c>
      <c r="AJ883" t="s">
        <v>3</v>
      </c>
      <c r="AK883" t="s">
        <v>7</v>
      </c>
      <c r="AL883">
        <v>0</v>
      </c>
      <c r="AM883">
        <v>0</v>
      </c>
      <c r="AN883">
        <v>0</v>
      </c>
      <c r="AO883">
        <v>0</v>
      </c>
      <c r="AP883">
        <v>0</v>
      </c>
      <c r="AQ883" t="s">
        <v>9</v>
      </c>
      <c r="AR883" s="1">
        <v>6.7295760900000002E-5</v>
      </c>
      <c r="AS883" s="1">
        <v>3.5250459299999998E-26</v>
      </c>
      <c r="AT883">
        <v>36</v>
      </c>
      <c r="AU883" t="s">
        <v>10</v>
      </c>
      <c r="AV883">
        <v>2</v>
      </c>
      <c r="AW883">
        <v>0</v>
      </c>
      <c r="AX883">
        <v>0</v>
      </c>
      <c r="AY883">
        <v>0</v>
      </c>
      <c r="AZ883">
        <v>0</v>
      </c>
      <c r="BA883" t="s">
        <v>19</v>
      </c>
      <c r="BB883" t="s">
        <v>4</v>
      </c>
      <c r="BC883" t="s">
        <v>10</v>
      </c>
      <c r="BD883">
        <v>0</v>
      </c>
      <c r="BE883">
        <v>0</v>
      </c>
      <c r="BF883">
        <v>0</v>
      </c>
      <c r="BG883">
        <v>0</v>
      </c>
      <c r="BH883">
        <v>0</v>
      </c>
      <c r="BI883" t="s">
        <v>9</v>
      </c>
      <c r="BJ883">
        <v>0</v>
      </c>
      <c r="BK883">
        <v>6.7299999999999996E-5</v>
      </c>
      <c r="BL883">
        <v>0</v>
      </c>
      <c r="BM883" s="2">
        <f t="shared" si="13"/>
        <v>2.1228322916926943E-7</v>
      </c>
    </row>
    <row r="884" spans="1:65" x14ac:dyDescent="0.35">
      <c r="A884">
        <v>0</v>
      </c>
      <c r="B884" t="s">
        <v>11</v>
      </c>
      <c r="C884" t="s">
        <v>4</v>
      </c>
      <c r="D884">
        <v>0</v>
      </c>
      <c r="E884" t="s">
        <v>3</v>
      </c>
      <c r="F884" t="s">
        <v>5</v>
      </c>
      <c r="G884">
        <v>3592.0612120000001</v>
      </c>
      <c r="H884" t="s">
        <v>4</v>
      </c>
      <c r="I884">
        <v>990.16341899999998</v>
      </c>
      <c r="J884">
        <v>2601.8977920000002</v>
      </c>
      <c r="K884" t="s">
        <v>6</v>
      </c>
      <c r="L884" t="s">
        <v>7</v>
      </c>
      <c r="M884" t="s">
        <v>8</v>
      </c>
      <c r="N884" t="s">
        <v>6</v>
      </c>
      <c r="O884" t="s">
        <v>3</v>
      </c>
      <c r="P884" t="s">
        <v>3</v>
      </c>
      <c r="Q884" t="s">
        <v>3</v>
      </c>
      <c r="R884" t="s">
        <v>3</v>
      </c>
      <c r="S884" t="s">
        <v>11</v>
      </c>
      <c r="T884" t="s">
        <v>7</v>
      </c>
      <c r="U884">
        <v>0</v>
      </c>
      <c r="V884">
        <v>0</v>
      </c>
      <c r="W884">
        <v>0</v>
      </c>
      <c r="X884">
        <v>0</v>
      </c>
      <c r="Y884">
        <v>0</v>
      </c>
      <c r="Z884" t="s">
        <v>28</v>
      </c>
      <c r="AA884" t="s">
        <v>4</v>
      </c>
      <c r="AB884" t="s">
        <v>6</v>
      </c>
      <c r="AC884" t="s">
        <v>7</v>
      </c>
      <c r="AD884" t="s">
        <v>8</v>
      </c>
      <c r="AE884" t="s">
        <v>6</v>
      </c>
      <c r="AF884" t="s">
        <v>3</v>
      </c>
      <c r="AG884" t="s">
        <v>3</v>
      </c>
      <c r="AH884" t="s">
        <v>3</v>
      </c>
      <c r="AI884" t="s">
        <v>3</v>
      </c>
      <c r="AJ884" t="s">
        <v>3</v>
      </c>
      <c r="AK884" t="s">
        <v>7</v>
      </c>
      <c r="AL884">
        <v>0</v>
      </c>
      <c r="AM884">
        <v>0</v>
      </c>
      <c r="AN884">
        <v>0</v>
      </c>
      <c r="AO884">
        <v>0</v>
      </c>
      <c r="AP884">
        <v>0</v>
      </c>
      <c r="AQ884" t="s">
        <v>9</v>
      </c>
      <c r="AR884" s="1">
        <v>2.0688771700000001E-4</v>
      </c>
      <c r="AS884" s="1">
        <v>2.9920874900000001E-25</v>
      </c>
      <c r="AT884">
        <v>36</v>
      </c>
      <c r="AU884" t="s">
        <v>10</v>
      </c>
      <c r="AV884">
        <v>0</v>
      </c>
      <c r="AW884">
        <v>0</v>
      </c>
      <c r="AX884">
        <v>0</v>
      </c>
      <c r="AY884">
        <v>0</v>
      </c>
      <c r="AZ884">
        <v>0</v>
      </c>
      <c r="BA884" t="s">
        <v>28</v>
      </c>
      <c r="BB884" t="s">
        <v>4</v>
      </c>
      <c r="BC884" t="s">
        <v>10</v>
      </c>
      <c r="BD884">
        <v>0</v>
      </c>
      <c r="BE884">
        <v>0</v>
      </c>
      <c r="BF884">
        <v>0</v>
      </c>
      <c r="BG884">
        <v>0</v>
      </c>
      <c r="BH884">
        <v>0</v>
      </c>
      <c r="BI884" t="s">
        <v>9</v>
      </c>
      <c r="BJ884">
        <v>0</v>
      </c>
      <c r="BK884">
        <v>2.0688999999999999E-4</v>
      </c>
      <c r="BL884">
        <v>0</v>
      </c>
      <c r="BM884" s="2">
        <f t="shared" si="13"/>
        <v>1.8018772150698594E-6</v>
      </c>
    </row>
    <row r="885" spans="1:65" x14ac:dyDescent="0.35">
      <c r="A885">
        <v>0</v>
      </c>
      <c r="B885" t="s">
        <v>3</v>
      </c>
      <c r="C885" t="s">
        <v>4</v>
      </c>
      <c r="D885">
        <v>0</v>
      </c>
      <c r="E885" t="s">
        <v>3</v>
      </c>
      <c r="F885" t="s">
        <v>5</v>
      </c>
      <c r="G885">
        <v>2139.2652480000002</v>
      </c>
      <c r="H885" t="s">
        <v>4</v>
      </c>
      <c r="I885">
        <v>990.16341899999998</v>
      </c>
      <c r="J885">
        <v>1149.101829</v>
      </c>
      <c r="K885" t="s">
        <v>6</v>
      </c>
      <c r="L885" t="s">
        <v>7</v>
      </c>
      <c r="M885" t="s">
        <v>8</v>
      </c>
      <c r="N885" t="s">
        <v>6</v>
      </c>
      <c r="O885" t="s">
        <v>3</v>
      </c>
      <c r="P885" t="s">
        <v>3</v>
      </c>
      <c r="Q885" t="s">
        <v>3</v>
      </c>
      <c r="R885" t="s">
        <v>3</v>
      </c>
      <c r="S885" t="s">
        <v>3</v>
      </c>
      <c r="T885" t="s">
        <v>7</v>
      </c>
      <c r="U885">
        <v>2</v>
      </c>
      <c r="V885">
        <v>0</v>
      </c>
      <c r="W885">
        <v>0</v>
      </c>
      <c r="X885">
        <v>1</v>
      </c>
      <c r="Y885">
        <v>0</v>
      </c>
      <c r="Z885" t="s">
        <v>8</v>
      </c>
      <c r="AA885" t="s">
        <v>4</v>
      </c>
      <c r="AB885" t="s">
        <v>6</v>
      </c>
      <c r="AC885" t="s">
        <v>7</v>
      </c>
      <c r="AD885" t="s">
        <v>8</v>
      </c>
      <c r="AE885" t="s">
        <v>6</v>
      </c>
      <c r="AF885" t="s">
        <v>3</v>
      </c>
      <c r="AG885" t="s">
        <v>3</v>
      </c>
      <c r="AH885" t="s">
        <v>3</v>
      </c>
      <c r="AI885" t="s">
        <v>3</v>
      </c>
      <c r="AJ885" t="s">
        <v>3</v>
      </c>
      <c r="AK885" t="s">
        <v>7</v>
      </c>
      <c r="AL885">
        <v>0</v>
      </c>
      <c r="AM885">
        <v>0</v>
      </c>
      <c r="AN885">
        <v>0</v>
      </c>
      <c r="AO885">
        <v>0</v>
      </c>
      <c r="AP885">
        <v>0</v>
      </c>
      <c r="AQ885" t="s">
        <v>9</v>
      </c>
      <c r="AR885" s="1">
        <v>1.64939072E-5</v>
      </c>
      <c r="AS885" s="1">
        <v>8.3661704499999999E-28</v>
      </c>
      <c r="AT885">
        <v>42</v>
      </c>
      <c r="AU885" t="s">
        <v>10</v>
      </c>
      <c r="AV885">
        <v>2</v>
      </c>
      <c r="AW885">
        <v>0</v>
      </c>
      <c r="AX885">
        <v>0</v>
      </c>
      <c r="AY885">
        <v>1</v>
      </c>
      <c r="AZ885">
        <v>0</v>
      </c>
      <c r="BA885" t="s">
        <v>8</v>
      </c>
      <c r="BB885" t="s">
        <v>4</v>
      </c>
      <c r="BC885" t="s">
        <v>10</v>
      </c>
      <c r="BD885">
        <v>0</v>
      </c>
      <c r="BE885">
        <v>0</v>
      </c>
      <c r="BF885">
        <v>0</v>
      </c>
      <c r="BG885">
        <v>0</v>
      </c>
      <c r="BH885">
        <v>0</v>
      </c>
      <c r="BI885" t="s">
        <v>9</v>
      </c>
      <c r="BJ885">
        <v>8.2099999999999993E-6</v>
      </c>
      <c r="BK885">
        <v>0</v>
      </c>
      <c r="BL885">
        <v>1.431E-5</v>
      </c>
      <c r="BM885" s="2">
        <f t="shared" si="13"/>
        <v>5.0382256406699364E-9</v>
      </c>
    </row>
    <row r="886" spans="1:65" x14ac:dyDescent="0.35">
      <c r="A886">
        <v>0</v>
      </c>
      <c r="B886" t="s">
        <v>3</v>
      </c>
      <c r="C886" t="s">
        <v>4</v>
      </c>
      <c r="D886">
        <v>0</v>
      </c>
      <c r="E886" t="s">
        <v>3</v>
      </c>
      <c r="F886" t="s">
        <v>5</v>
      </c>
      <c r="G886">
        <v>4934.1020099999996</v>
      </c>
      <c r="H886" t="s">
        <v>4</v>
      </c>
      <c r="I886">
        <v>990.16341899999998</v>
      </c>
      <c r="J886">
        <v>3943.9385910000001</v>
      </c>
      <c r="K886" t="s">
        <v>6</v>
      </c>
      <c r="L886" t="s">
        <v>7</v>
      </c>
      <c r="M886" t="s">
        <v>8</v>
      </c>
      <c r="N886" t="s">
        <v>6</v>
      </c>
      <c r="O886" t="s">
        <v>3</v>
      </c>
      <c r="P886" t="s">
        <v>3</v>
      </c>
      <c r="Q886" t="s">
        <v>3</v>
      </c>
      <c r="R886" t="s">
        <v>3</v>
      </c>
      <c r="S886" t="s">
        <v>3</v>
      </c>
      <c r="T886" t="s">
        <v>7</v>
      </c>
      <c r="U886">
        <v>0</v>
      </c>
      <c r="V886">
        <v>1</v>
      </c>
      <c r="W886">
        <v>0</v>
      </c>
      <c r="X886">
        <v>4</v>
      </c>
      <c r="Y886">
        <v>0</v>
      </c>
      <c r="Z886" t="s">
        <v>21</v>
      </c>
      <c r="AA886" t="s">
        <v>4</v>
      </c>
      <c r="AB886" t="s">
        <v>6</v>
      </c>
      <c r="AC886" t="s">
        <v>7</v>
      </c>
      <c r="AD886" t="s">
        <v>8</v>
      </c>
      <c r="AE886" t="s">
        <v>6</v>
      </c>
      <c r="AF886" t="s">
        <v>3</v>
      </c>
      <c r="AG886" t="s">
        <v>3</v>
      </c>
      <c r="AH886" t="s">
        <v>3</v>
      </c>
      <c r="AI886" t="s">
        <v>3</v>
      </c>
      <c r="AJ886" t="s">
        <v>3</v>
      </c>
      <c r="AK886" t="s">
        <v>7</v>
      </c>
      <c r="AL886">
        <v>0</v>
      </c>
      <c r="AM886">
        <v>0</v>
      </c>
      <c r="AN886">
        <v>0</v>
      </c>
      <c r="AO886">
        <v>0</v>
      </c>
      <c r="AP886">
        <v>0</v>
      </c>
      <c r="AQ886" t="s">
        <v>9</v>
      </c>
      <c r="AR886" s="1">
        <v>2.3929914899999999E-5</v>
      </c>
      <c r="AS886" s="1">
        <v>6.0677630599999999E-27</v>
      </c>
      <c r="AT886">
        <v>38</v>
      </c>
      <c r="AU886" t="s">
        <v>10</v>
      </c>
      <c r="AV886">
        <v>0</v>
      </c>
      <c r="AW886">
        <v>1</v>
      </c>
      <c r="AX886">
        <v>0</v>
      </c>
      <c r="AY886">
        <v>4</v>
      </c>
      <c r="AZ886">
        <v>0</v>
      </c>
      <c r="BA886" t="s">
        <v>21</v>
      </c>
      <c r="BB886" t="s">
        <v>4</v>
      </c>
      <c r="BC886" t="s">
        <v>10</v>
      </c>
      <c r="BD886">
        <v>0</v>
      </c>
      <c r="BE886">
        <v>0</v>
      </c>
      <c r="BF886">
        <v>0</v>
      </c>
      <c r="BG886">
        <v>0</v>
      </c>
      <c r="BH886">
        <v>0</v>
      </c>
      <c r="BI886" t="s">
        <v>9</v>
      </c>
      <c r="BJ886">
        <v>7.7700000000000001E-6</v>
      </c>
      <c r="BK886">
        <v>0</v>
      </c>
      <c r="BL886">
        <v>-2.2629999999999998E-5</v>
      </c>
      <c r="BM886" s="2">
        <f t="shared" si="13"/>
        <v>3.6540923488358846E-8</v>
      </c>
    </row>
    <row r="887" spans="1:65" x14ac:dyDescent="0.35">
      <c r="A887">
        <v>0</v>
      </c>
      <c r="B887" t="s">
        <v>11</v>
      </c>
      <c r="C887" t="s">
        <v>4</v>
      </c>
      <c r="D887">
        <v>0</v>
      </c>
      <c r="E887" t="s">
        <v>3</v>
      </c>
      <c r="F887" t="s">
        <v>5</v>
      </c>
      <c r="G887">
        <v>3781.6564010000002</v>
      </c>
      <c r="H887" t="s">
        <v>4</v>
      </c>
      <c r="I887">
        <v>990.16341899999998</v>
      </c>
      <c r="J887">
        <v>2791.4929820000002</v>
      </c>
      <c r="K887" t="s">
        <v>6</v>
      </c>
      <c r="L887" t="s">
        <v>7</v>
      </c>
      <c r="M887" t="s">
        <v>8</v>
      </c>
      <c r="N887" t="s">
        <v>6</v>
      </c>
      <c r="O887" t="s">
        <v>3</v>
      </c>
      <c r="P887" t="s">
        <v>3</v>
      </c>
      <c r="Q887" t="s">
        <v>3</v>
      </c>
      <c r="R887" t="s">
        <v>3</v>
      </c>
      <c r="S887" t="s">
        <v>11</v>
      </c>
      <c r="T887" t="s">
        <v>7</v>
      </c>
      <c r="U887">
        <v>0</v>
      </c>
      <c r="V887">
        <v>1</v>
      </c>
      <c r="W887">
        <v>0</v>
      </c>
      <c r="X887">
        <v>5</v>
      </c>
      <c r="Y887">
        <v>0</v>
      </c>
      <c r="Z887" t="s">
        <v>18</v>
      </c>
      <c r="AA887" t="s">
        <v>4</v>
      </c>
      <c r="AB887" t="s">
        <v>6</v>
      </c>
      <c r="AC887" t="s">
        <v>7</v>
      </c>
      <c r="AD887" t="s">
        <v>8</v>
      </c>
      <c r="AE887" t="s">
        <v>6</v>
      </c>
      <c r="AF887" t="s">
        <v>3</v>
      </c>
      <c r="AG887" t="s">
        <v>3</v>
      </c>
      <c r="AH887" t="s">
        <v>3</v>
      </c>
      <c r="AI887" t="s">
        <v>3</v>
      </c>
      <c r="AJ887" t="s">
        <v>3</v>
      </c>
      <c r="AK887" t="s">
        <v>7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9</v>
      </c>
      <c r="AR887" s="1">
        <v>5.5426638100000001E-6</v>
      </c>
      <c r="AS887" s="1">
        <v>2.3040355200000001E-28</v>
      </c>
      <c r="AT887">
        <v>42</v>
      </c>
      <c r="AU887" t="s">
        <v>10</v>
      </c>
      <c r="AV887">
        <v>0</v>
      </c>
      <c r="AW887">
        <v>1</v>
      </c>
      <c r="AX887">
        <v>0</v>
      </c>
      <c r="AY887">
        <v>5</v>
      </c>
      <c r="AZ887">
        <v>0</v>
      </c>
      <c r="BA887" t="s">
        <v>18</v>
      </c>
      <c r="BB887" t="s">
        <v>4</v>
      </c>
      <c r="BC887" t="s">
        <v>10</v>
      </c>
      <c r="BD887">
        <v>0</v>
      </c>
      <c r="BE887">
        <v>0</v>
      </c>
      <c r="BF887">
        <v>0</v>
      </c>
      <c r="BG887">
        <v>0</v>
      </c>
      <c r="BH887">
        <v>0</v>
      </c>
      <c r="BI887" t="s">
        <v>9</v>
      </c>
      <c r="BJ887">
        <v>0</v>
      </c>
      <c r="BK887">
        <v>-5.5400000000000003E-6</v>
      </c>
      <c r="BL887">
        <v>0</v>
      </c>
      <c r="BM887" s="2">
        <f t="shared" si="13"/>
        <v>1.3875226309641219E-9</v>
      </c>
    </row>
    <row r="888" spans="1:65" x14ac:dyDescent="0.35">
      <c r="A888">
        <v>0</v>
      </c>
      <c r="B888" t="s">
        <v>3</v>
      </c>
      <c r="C888" t="s">
        <v>4</v>
      </c>
      <c r="D888">
        <v>0</v>
      </c>
      <c r="E888" t="s">
        <v>3</v>
      </c>
      <c r="F888" t="s">
        <v>5</v>
      </c>
      <c r="G888">
        <v>2556.343652</v>
      </c>
      <c r="H888" t="s">
        <v>4</v>
      </c>
      <c r="I888">
        <v>990.16341899999998</v>
      </c>
      <c r="J888">
        <v>1566.180233</v>
      </c>
      <c r="K888" t="s">
        <v>6</v>
      </c>
      <c r="L888" t="s">
        <v>7</v>
      </c>
      <c r="M888" t="s">
        <v>8</v>
      </c>
      <c r="N888" t="s">
        <v>6</v>
      </c>
      <c r="O888" t="s">
        <v>3</v>
      </c>
      <c r="P888" t="s">
        <v>3</v>
      </c>
      <c r="Q888" t="s">
        <v>3</v>
      </c>
      <c r="R888" t="s">
        <v>3</v>
      </c>
      <c r="S888" t="s">
        <v>3</v>
      </c>
      <c r="T888" t="s">
        <v>7</v>
      </c>
      <c r="U888">
        <v>0</v>
      </c>
      <c r="V888">
        <v>1</v>
      </c>
      <c r="W888">
        <v>0</v>
      </c>
      <c r="X888">
        <v>1</v>
      </c>
      <c r="Y888">
        <v>1</v>
      </c>
      <c r="Z888" t="s">
        <v>8</v>
      </c>
      <c r="AA888" t="s">
        <v>4</v>
      </c>
      <c r="AB888" t="s">
        <v>6</v>
      </c>
      <c r="AC888" t="s">
        <v>7</v>
      </c>
      <c r="AD888" t="s">
        <v>8</v>
      </c>
      <c r="AE888" t="s">
        <v>6</v>
      </c>
      <c r="AF888" t="s">
        <v>3</v>
      </c>
      <c r="AG888" t="s">
        <v>3</v>
      </c>
      <c r="AH888" t="s">
        <v>3</v>
      </c>
      <c r="AI888" t="s">
        <v>3</v>
      </c>
      <c r="AJ888" t="s">
        <v>3</v>
      </c>
      <c r="AK888" t="s">
        <v>7</v>
      </c>
      <c r="AL888">
        <v>0</v>
      </c>
      <c r="AM888">
        <v>0</v>
      </c>
      <c r="AN888">
        <v>0</v>
      </c>
      <c r="AO888">
        <v>0</v>
      </c>
      <c r="AP888">
        <v>0</v>
      </c>
      <c r="AQ888" t="s">
        <v>9</v>
      </c>
      <c r="AR888" s="1">
        <v>6.6086273100000002E-4</v>
      </c>
      <c r="AS888" s="1">
        <v>1.83676892E-24</v>
      </c>
      <c r="AT888">
        <v>36</v>
      </c>
      <c r="AU888" t="s">
        <v>10</v>
      </c>
      <c r="AV888">
        <v>0</v>
      </c>
      <c r="AW888">
        <v>1</v>
      </c>
      <c r="AX888">
        <v>0</v>
      </c>
      <c r="AY888">
        <v>1</v>
      </c>
      <c r="AZ888">
        <v>1</v>
      </c>
      <c r="BA888" t="s">
        <v>8</v>
      </c>
      <c r="BB888" t="s">
        <v>4</v>
      </c>
      <c r="BC888" t="s">
        <v>10</v>
      </c>
      <c r="BD888">
        <v>0</v>
      </c>
      <c r="BE888">
        <v>0</v>
      </c>
      <c r="BF888">
        <v>0</v>
      </c>
      <c r="BG888">
        <v>0</v>
      </c>
      <c r="BH888">
        <v>0</v>
      </c>
      <c r="BI888" t="s">
        <v>9</v>
      </c>
      <c r="BJ888">
        <v>-1.0652E-4</v>
      </c>
      <c r="BK888">
        <v>0</v>
      </c>
      <c r="BL888">
        <v>6.5222000000000001E-4</v>
      </c>
      <c r="BM888" s="2">
        <f t="shared" si="13"/>
        <v>1.1061281053303934E-5</v>
      </c>
    </row>
    <row r="889" spans="1:65" x14ac:dyDescent="0.35">
      <c r="A889">
        <v>0</v>
      </c>
      <c r="B889" t="s">
        <v>3</v>
      </c>
      <c r="C889" t="s">
        <v>4</v>
      </c>
      <c r="D889">
        <v>0</v>
      </c>
      <c r="E889" t="s">
        <v>3</v>
      </c>
      <c r="F889" t="s">
        <v>5</v>
      </c>
      <c r="G889">
        <v>4705.6261409999997</v>
      </c>
      <c r="H889" t="s">
        <v>4</v>
      </c>
      <c r="I889">
        <v>990.16341899999998</v>
      </c>
      <c r="J889">
        <v>3715.4627220000002</v>
      </c>
      <c r="K889" t="s">
        <v>6</v>
      </c>
      <c r="L889" t="s">
        <v>7</v>
      </c>
      <c r="M889" t="s">
        <v>8</v>
      </c>
      <c r="N889" t="s">
        <v>6</v>
      </c>
      <c r="O889" t="s">
        <v>3</v>
      </c>
      <c r="P889" t="s">
        <v>3</v>
      </c>
      <c r="Q889" t="s">
        <v>3</v>
      </c>
      <c r="R889" t="s">
        <v>3</v>
      </c>
      <c r="S889" t="s">
        <v>3</v>
      </c>
      <c r="T889" t="s">
        <v>7</v>
      </c>
      <c r="U889">
        <v>4</v>
      </c>
      <c r="V889">
        <v>1</v>
      </c>
      <c r="W889">
        <v>0</v>
      </c>
      <c r="X889">
        <v>0</v>
      </c>
      <c r="Y889">
        <v>0</v>
      </c>
      <c r="Z889" t="s">
        <v>8</v>
      </c>
      <c r="AA889" t="s">
        <v>4</v>
      </c>
      <c r="AB889" t="s">
        <v>6</v>
      </c>
      <c r="AC889" t="s">
        <v>7</v>
      </c>
      <c r="AD889" t="s">
        <v>8</v>
      </c>
      <c r="AE889" t="s">
        <v>6</v>
      </c>
      <c r="AF889" t="s">
        <v>3</v>
      </c>
      <c r="AG889" t="s">
        <v>3</v>
      </c>
      <c r="AH889" t="s">
        <v>3</v>
      </c>
      <c r="AI889" t="s">
        <v>3</v>
      </c>
      <c r="AJ889" t="s">
        <v>3</v>
      </c>
      <c r="AK889" t="s">
        <v>7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9</v>
      </c>
      <c r="AR889" s="1">
        <v>2.0219475600000001E-4</v>
      </c>
      <c r="AS889" s="1">
        <v>4.0810210999999999E-25</v>
      </c>
      <c r="AT889">
        <v>37</v>
      </c>
      <c r="AU889" t="s">
        <v>10</v>
      </c>
      <c r="AV889">
        <v>4</v>
      </c>
      <c r="AW889">
        <v>1</v>
      </c>
      <c r="AX889">
        <v>0</v>
      </c>
      <c r="AY889">
        <v>0</v>
      </c>
      <c r="AZ889">
        <v>0</v>
      </c>
      <c r="BA889" t="s">
        <v>8</v>
      </c>
      <c r="BB889" t="s">
        <v>4</v>
      </c>
      <c r="BC889" t="s">
        <v>10</v>
      </c>
      <c r="BD889">
        <v>0</v>
      </c>
      <c r="BE889">
        <v>0</v>
      </c>
      <c r="BF889">
        <v>0</v>
      </c>
      <c r="BG889">
        <v>0</v>
      </c>
      <c r="BH889">
        <v>0</v>
      </c>
      <c r="BI889" t="s">
        <v>9</v>
      </c>
      <c r="BJ889">
        <v>9.302E-5</v>
      </c>
      <c r="BK889">
        <v>0</v>
      </c>
      <c r="BL889">
        <v>-1.7953000000000001E-4</v>
      </c>
      <c r="BM889" s="2">
        <f t="shared" si="13"/>
        <v>2.4576483671970878E-6</v>
      </c>
    </row>
    <row r="890" spans="1:65" x14ac:dyDescent="0.35">
      <c r="A890">
        <v>0</v>
      </c>
      <c r="B890" t="s">
        <v>11</v>
      </c>
      <c r="C890" t="s">
        <v>4</v>
      </c>
      <c r="D890">
        <v>0</v>
      </c>
      <c r="E890" t="s">
        <v>3</v>
      </c>
      <c r="F890" t="s">
        <v>5</v>
      </c>
      <c r="G890">
        <v>3965.2139969999998</v>
      </c>
      <c r="H890" t="s">
        <v>4</v>
      </c>
      <c r="I890">
        <v>990.16341899999998</v>
      </c>
      <c r="J890">
        <v>2975.0505779999999</v>
      </c>
      <c r="K890" t="s">
        <v>6</v>
      </c>
      <c r="L890" t="s">
        <v>7</v>
      </c>
      <c r="M890" t="s">
        <v>8</v>
      </c>
      <c r="N890" t="s">
        <v>6</v>
      </c>
      <c r="O890" t="s">
        <v>3</v>
      </c>
      <c r="P890" t="s">
        <v>3</v>
      </c>
      <c r="Q890" t="s">
        <v>3</v>
      </c>
      <c r="R890" t="s">
        <v>3</v>
      </c>
      <c r="S890" t="s">
        <v>11</v>
      </c>
      <c r="T890" t="s">
        <v>7</v>
      </c>
      <c r="U890">
        <v>2</v>
      </c>
      <c r="V890">
        <v>0</v>
      </c>
      <c r="W890">
        <v>0</v>
      </c>
      <c r="X890">
        <v>0</v>
      </c>
      <c r="Y890">
        <v>0</v>
      </c>
      <c r="Z890" t="s">
        <v>12</v>
      </c>
      <c r="AA890" t="s">
        <v>4</v>
      </c>
      <c r="AB890" t="s">
        <v>6</v>
      </c>
      <c r="AC890" t="s">
        <v>7</v>
      </c>
      <c r="AD890" t="s">
        <v>8</v>
      </c>
      <c r="AE890" t="s">
        <v>6</v>
      </c>
      <c r="AF890" t="s">
        <v>3</v>
      </c>
      <c r="AG890" t="s">
        <v>3</v>
      </c>
      <c r="AH890" t="s">
        <v>3</v>
      </c>
      <c r="AI890" t="s">
        <v>3</v>
      </c>
      <c r="AJ890" t="s">
        <v>3</v>
      </c>
      <c r="AK890" t="s">
        <v>7</v>
      </c>
      <c r="AL890">
        <v>0</v>
      </c>
      <c r="AM890">
        <v>0</v>
      </c>
      <c r="AN890">
        <v>0</v>
      </c>
      <c r="AO890">
        <v>0</v>
      </c>
      <c r="AP890">
        <v>0</v>
      </c>
      <c r="AQ890" t="s">
        <v>9</v>
      </c>
      <c r="AR890" s="1">
        <v>1.99670675E-4</v>
      </c>
      <c r="AS890" s="1">
        <v>3.1866828000000001E-25</v>
      </c>
      <c r="AT890">
        <v>36</v>
      </c>
      <c r="AU890" t="s">
        <v>10</v>
      </c>
      <c r="AV890">
        <v>2</v>
      </c>
      <c r="AW890">
        <v>0</v>
      </c>
      <c r="AX890">
        <v>0</v>
      </c>
      <c r="AY890">
        <v>0</v>
      </c>
      <c r="AZ890">
        <v>0</v>
      </c>
      <c r="BA890" t="s">
        <v>12</v>
      </c>
      <c r="BB890" t="s">
        <v>4</v>
      </c>
      <c r="BC890" t="s">
        <v>10</v>
      </c>
      <c r="BD890">
        <v>0</v>
      </c>
      <c r="BE890">
        <v>0</v>
      </c>
      <c r="BF890">
        <v>0</v>
      </c>
      <c r="BG890">
        <v>0</v>
      </c>
      <c r="BH890">
        <v>0</v>
      </c>
      <c r="BI890" t="s">
        <v>9</v>
      </c>
      <c r="BJ890">
        <v>0</v>
      </c>
      <c r="BK890">
        <v>1.9966999999999999E-4</v>
      </c>
      <c r="BL890">
        <v>0</v>
      </c>
      <c r="BM890" s="2">
        <f t="shared" si="13"/>
        <v>1.9190652506538238E-6</v>
      </c>
    </row>
    <row r="891" spans="1:65" x14ac:dyDescent="0.35">
      <c r="A891">
        <v>0</v>
      </c>
      <c r="B891" t="s">
        <v>3</v>
      </c>
      <c r="C891" t="s">
        <v>4</v>
      </c>
      <c r="D891">
        <v>0</v>
      </c>
      <c r="E891" t="s">
        <v>3</v>
      </c>
      <c r="F891" t="s">
        <v>5</v>
      </c>
      <c r="G891">
        <v>4197.4947549999997</v>
      </c>
      <c r="H891" t="s">
        <v>4</v>
      </c>
      <c r="I891">
        <v>990.16341899999998</v>
      </c>
      <c r="J891">
        <v>3207.3313360000002</v>
      </c>
      <c r="K891" t="s">
        <v>6</v>
      </c>
      <c r="L891" t="s">
        <v>7</v>
      </c>
      <c r="M891" t="s">
        <v>8</v>
      </c>
      <c r="N891" t="s">
        <v>6</v>
      </c>
      <c r="O891" t="s">
        <v>3</v>
      </c>
      <c r="P891" t="s">
        <v>3</v>
      </c>
      <c r="Q891" t="s">
        <v>3</v>
      </c>
      <c r="R891" t="s">
        <v>3</v>
      </c>
      <c r="S891" t="s">
        <v>3</v>
      </c>
      <c r="T891" t="s">
        <v>7</v>
      </c>
      <c r="U891">
        <v>1</v>
      </c>
      <c r="V891">
        <v>1</v>
      </c>
      <c r="W891">
        <v>0</v>
      </c>
      <c r="X891">
        <v>0</v>
      </c>
      <c r="Y891">
        <v>1</v>
      </c>
      <c r="Z891" t="s">
        <v>15</v>
      </c>
      <c r="AA891" t="s">
        <v>4</v>
      </c>
      <c r="AB891" t="s">
        <v>6</v>
      </c>
      <c r="AC891" t="s">
        <v>7</v>
      </c>
      <c r="AD891" t="s">
        <v>8</v>
      </c>
      <c r="AE891" t="s">
        <v>6</v>
      </c>
      <c r="AF891" t="s">
        <v>3</v>
      </c>
      <c r="AG891" t="s">
        <v>3</v>
      </c>
      <c r="AH891" t="s">
        <v>3</v>
      </c>
      <c r="AI891" t="s">
        <v>3</v>
      </c>
      <c r="AJ891" t="s">
        <v>3</v>
      </c>
      <c r="AK891" t="s">
        <v>7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9</v>
      </c>
      <c r="AR891" s="1">
        <v>7.6560647199999999E-5</v>
      </c>
      <c r="AS891" s="1">
        <v>5.0509271000000002E-26</v>
      </c>
      <c r="AT891">
        <v>42</v>
      </c>
      <c r="AU891" t="s">
        <v>10</v>
      </c>
      <c r="AV891">
        <v>1</v>
      </c>
      <c r="AW891">
        <v>1</v>
      </c>
      <c r="AX891">
        <v>0</v>
      </c>
      <c r="AY891">
        <v>0</v>
      </c>
      <c r="AZ891">
        <v>1</v>
      </c>
      <c r="BA891" t="s">
        <v>15</v>
      </c>
      <c r="BB891" t="s">
        <v>4</v>
      </c>
      <c r="BC891" t="s">
        <v>10</v>
      </c>
      <c r="BD891">
        <v>0</v>
      </c>
      <c r="BE891">
        <v>0</v>
      </c>
      <c r="BF891">
        <v>0</v>
      </c>
      <c r="BG891">
        <v>0</v>
      </c>
      <c r="BH891">
        <v>0</v>
      </c>
      <c r="BI891" t="s">
        <v>9</v>
      </c>
      <c r="BJ891">
        <v>-7.2390000000000003E-5</v>
      </c>
      <c r="BK891">
        <v>0</v>
      </c>
      <c r="BL891">
        <v>-2.493E-5</v>
      </c>
      <c r="BM891" s="2">
        <f t="shared" si="13"/>
        <v>3.0417394166735683E-7</v>
      </c>
    </row>
    <row r="892" spans="1:65" x14ac:dyDescent="0.35">
      <c r="A892">
        <v>0</v>
      </c>
      <c r="B892" t="s">
        <v>3</v>
      </c>
      <c r="C892" t="s">
        <v>4</v>
      </c>
      <c r="D892">
        <v>0</v>
      </c>
      <c r="E892" t="s">
        <v>3</v>
      </c>
      <c r="F892" t="s">
        <v>5</v>
      </c>
      <c r="G892">
        <v>2851.2249240000001</v>
      </c>
      <c r="H892" t="s">
        <v>4</v>
      </c>
      <c r="I892">
        <v>990.16341899999998</v>
      </c>
      <c r="J892">
        <v>1861.0615049999999</v>
      </c>
      <c r="K892" t="s">
        <v>6</v>
      </c>
      <c r="L892" t="s">
        <v>7</v>
      </c>
      <c r="M892" t="s">
        <v>8</v>
      </c>
      <c r="N892" t="s">
        <v>6</v>
      </c>
      <c r="O892" t="s">
        <v>3</v>
      </c>
      <c r="P892" t="s">
        <v>3</v>
      </c>
      <c r="Q892" t="s">
        <v>3</v>
      </c>
      <c r="R892" t="s">
        <v>3</v>
      </c>
      <c r="S892" t="s">
        <v>3</v>
      </c>
      <c r="T892" t="s">
        <v>7</v>
      </c>
      <c r="U892">
        <v>0</v>
      </c>
      <c r="V892">
        <v>1</v>
      </c>
      <c r="W892">
        <v>0</v>
      </c>
      <c r="X892">
        <v>4</v>
      </c>
      <c r="Y892">
        <v>0</v>
      </c>
      <c r="Z892" t="s">
        <v>8</v>
      </c>
      <c r="AA892" t="s">
        <v>4</v>
      </c>
      <c r="AB892" t="s">
        <v>6</v>
      </c>
      <c r="AC892" t="s">
        <v>7</v>
      </c>
      <c r="AD892" t="s">
        <v>8</v>
      </c>
      <c r="AE892" t="s">
        <v>6</v>
      </c>
      <c r="AF892" t="s">
        <v>3</v>
      </c>
      <c r="AG892" t="s">
        <v>3</v>
      </c>
      <c r="AH892" t="s">
        <v>3</v>
      </c>
      <c r="AI892" t="s">
        <v>3</v>
      </c>
      <c r="AJ892" t="s">
        <v>3</v>
      </c>
      <c r="AK892" t="s">
        <v>7</v>
      </c>
      <c r="AL892">
        <v>0</v>
      </c>
      <c r="AM892">
        <v>0</v>
      </c>
      <c r="AN892">
        <v>0</v>
      </c>
      <c r="AO892">
        <v>0</v>
      </c>
      <c r="AP892">
        <v>0</v>
      </c>
      <c r="AQ892" t="s">
        <v>9</v>
      </c>
      <c r="AR892" s="1">
        <v>9.7605781200000004E-6</v>
      </c>
      <c r="AS892" s="1">
        <v>4.7629232400000001E-28</v>
      </c>
      <c r="AT892">
        <v>36</v>
      </c>
      <c r="AU892" t="s">
        <v>10</v>
      </c>
      <c r="AV892">
        <v>0</v>
      </c>
      <c r="AW892">
        <v>1</v>
      </c>
      <c r="AX892">
        <v>0</v>
      </c>
      <c r="AY892">
        <v>4</v>
      </c>
      <c r="AZ892">
        <v>0</v>
      </c>
      <c r="BA892" t="s">
        <v>8</v>
      </c>
      <c r="BB892" t="s">
        <v>4</v>
      </c>
      <c r="BC892" t="s">
        <v>10</v>
      </c>
      <c r="BD892">
        <v>0</v>
      </c>
      <c r="BE892">
        <v>0</v>
      </c>
      <c r="BF892">
        <v>0</v>
      </c>
      <c r="BG892">
        <v>0</v>
      </c>
      <c r="BH892">
        <v>0</v>
      </c>
      <c r="BI892" t="s">
        <v>9</v>
      </c>
      <c r="BJ892">
        <v>7.61E-6</v>
      </c>
      <c r="BK892">
        <v>0</v>
      </c>
      <c r="BL892">
        <v>-6.1099999999999999E-6</v>
      </c>
      <c r="BM892" s="2">
        <f t="shared" si="13"/>
        <v>2.8682994370872192E-9</v>
      </c>
    </row>
    <row r="893" spans="1:65" x14ac:dyDescent="0.35">
      <c r="A893">
        <v>0</v>
      </c>
      <c r="B893" t="s">
        <v>3</v>
      </c>
      <c r="C893" t="s">
        <v>4</v>
      </c>
      <c r="D893">
        <v>0</v>
      </c>
      <c r="E893" t="s">
        <v>3</v>
      </c>
      <c r="F893" t="s">
        <v>5</v>
      </c>
      <c r="G893">
        <v>4646.8325320000004</v>
      </c>
      <c r="H893" t="s">
        <v>4</v>
      </c>
      <c r="I893">
        <v>990.16341899999998</v>
      </c>
      <c r="J893">
        <v>3656.6691129999999</v>
      </c>
      <c r="K893" t="s">
        <v>6</v>
      </c>
      <c r="L893" t="s">
        <v>7</v>
      </c>
      <c r="M893" t="s">
        <v>8</v>
      </c>
      <c r="N893" t="s">
        <v>6</v>
      </c>
      <c r="O893" t="s">
        <v>3</v>
      </c>
      <c r="P893" t="s">
        <v>3</v>
      </c>
      <c r="Q893" t="s">
        <v>3</v>
      </c>
      <c r="R893" t="s">
        <v>3</v>
      </c>
      <c r="S893" t="s">
        <v>3</v>
      </c>
      <c r="T893" t="s">
        <v>7</v>
      </c>
      <c r="U893">
        <v>0</v>
      </c>
      <c r="V893">
        <v>3</v>
      </c>
      <c r="W893">
        <v>0</v>
      </c>
      <c r="X893">
        <v>0</v>
      </c>
      <c r="Y893">
        <v>1</v>
      </c>
      <c r="Z893" t="s">
        <v>8</v>
      </c>
      <c r="AA893" t="s">
        <v>4</v>
      </c>
      <c r="AB893" t="s">
        <v>6</v>
      </c>
      <c r="AC893" t="s">
        <v>7</v>
      </c>
      <c r="AD893" t="s">
        <v>8</v>
      </c>
      <c r="AE893" t="s">
        <v>6</v>
      </c>
      <c r="AF893" t="s">
        <v>3</v>
      </c>
      <c r="AG893" t="s">
        <v>3</v>
      </c>
      <c r="AH893" t="s">
        <v>3</v>
      </c>
      <c r="AI893" t="s">
        <v>3</v>
      </c>
      <c r="AJ893" t="s">
        <v>3</v>
      </c>
      <c r="AK893" t="s">
        <v>7</v>
      </c>
      <c r="AL893">
        <v>0</v>
      </c>
      <c r="AM893">
        <v>0</v>
      </c>
      <c r="AN893">
        <v>0</v>
      </c>
      <c r="AO893">
        <v>0</v>
      </c>
      <c r="AP893">
        <v>0</v>
      </c>
      <c r="AQ893" t="s">
        <v>9</v>
      </c>
      <c r="AR893" s="1">
        <v>7.5534012899999999E-4</v>
      </c>
      <c r="AS893" s="1">
        <v>5.6051460500000003E-24</v>
      </c>
      <c r="AT893">
        <v>42</v>
      </c>
      <c r="AU893" t="s">
        <v>10</v>
      </c>
      <c r="AV893">
        <v>0</v>
      </c>
      <c r="AW893">
        <v>3</v>
      </c>
      <c r="AX893">
        <v>0</v>
      </c>
      <c r="AY893">
        <v>0</v>
      </c>
      <c r="AZ893">
        <v>1</v>
      </c>
      <c r="BA893" t="s">
        <v>8</v>
      </c>
      <c r="BB893" t="s">
        <v>4</v>
      </c>
      <c r="BC893" t="s">
        <v>10</v>
      </c>
      <c r="BD893">
        <v>0</v>
      </c>
      <c r="BE893">
        <v>0</v>
      </c>
      <c r="BF893">
        <v>0</v>
      </c>
      <c r="BG893">
        <v>0</v>
      </c>
      <c r="BH893">
        <v>0</v>
      </c>
      <c r="BI893" t="s">
        <v>9</v>
      </c>
      <c r="BJ893">
        <v>-5.6161000000000004E-4</v>
      </c>
      <c r="BK893">
        <v>0</v>
      </c>
      <c r="BL893">
        <v>5.0509999999999997E-4</v>
      </c>
      <c r="BM893" s="2">
        <f t="shared" si="13"/>
        <v>3.3754978717663841E-5</v>
      </c>
    </row>
    <row r="894" spans="1:65" x14ac:dyDescent="0.35">
      <c r="A894">
        <v>0</v>
      </c>
      <c r="B894" t="s">
        <v>3</v>
      </c>
      <c r="C894" t="s">
        <v>4</v>
      </c>
      <c r="D894">
        <v>0</v>
      </c>
      <c r="E894" t="s">
        <v>3</v>
      </c>
      <c r="F894" t="s">
        <v>5</v>
      </c>
      <c r="G894">
        <v>3489.076599</v>
      </c>
      <c r="H894" t="s">
        <v>4</v>
      </c>
      <c r="I894">
        <v>990.16341899999998</v>
      </c>
      <c r="J894">
        <v>2498.91318</v>
      </c>
      <c r="K894" t="s">
        <v>6</v>
      </c>
      <c r="L894" t="s">
        <v>7</v>
      </c>
      <c r="M894" t="s">
        <v>8</v>
      </c>
      <c r="N894" t="s">
        <v>6</v>
      </c>
      <c r="O894" t="s">
        <v>3</v>
      </c>
      <c r="P894" t="s">
        <v>3</v>
      </c>
      <c r="Q894" t="s">
        <v>3</v>
      </c>
      <c r="R894" t="s">
        <v>3</v>
      </c>
      <c r="S894" t="s">
        <v>3</v>
      </c>
      <c r="T894" t="s">
        <v>7</v>
      </c>
      <c r="U894">
        <v>3</v>
      </c>
      <c r="V894">
        <v>0</v>
      </c>
      <c r="W894">
        <v>0</v>
      </c>
      <c r="X894">
        <v>0</v>
      </c>
      <c r="Y894">
        <v>0</v>
      </c>
      <c r="Z894" t="s">
        <v>9</v>
      </c>
      <c r="AA894" t="s">
        <v>4</v>
      </c>
      <c r="AB894" t="s">
        <v>6</v>
      </c>
      <c r="AC894" t="s">
        <v>7</v>
      </c>
      <c r="AD894" t="s">
        <v>8</v>
      </c>
      <c r="AE894" t="s">
        <v>6</v>
      </c>
      <c r="AF894" t="s">
        <v>3</v>
      </c>
      <c r="AG894" t="s">
        <v>3</v>
      </c>
      <c r="AH894" t="s">
        <v>3</v>
      </c>
      <c r="AI894" t="s">
        <v>3</v>
      </c>
      <c r="AJ894" t="s">
        <v>3</v>
      </c>
      <c r="AK894" t="s">
        <v>7</v>
      </c>
      <c r="AL894">
        <v>0</v>
      </c>
      <c r="AM894">
        <v>0</v>
      </c>
      <c r="AN894">
        <v>0</v>
      </c>
      <c r="AO894">
        <v>0</v>
      </c>
      <c r="AP894">
        <v>0</v>
      </c>
      <c r="AQ894" t="s">
        <v>9</v>
      </c>
      <c r="AR894" s="1">
        <v>8.1565029500000003E-4</v>
      </c>
      <c r="AS894" s="1">
        <v>4.46655643E-24</v>
      </c>
      <c r="AT894">
        <v>42</v>
      </c>
      <c r="AU894" t="s">
        <v>10</v>
      </c>
      <c r="AV894">
        <v>3</v>
      </c>
      <c r="AW894">
        <v>0</v>
      </c>
      <c r="AX894">
        <v>0</v>
      </c>
      <c r="AY894">
        <v>0</v>
      </c>
      <c r="AZ894">
        <v>0</v>
      </c>
      <c r="BA894" t="s">
        <v>9</v>
      </c>
      <c r="BB894" t="s">
        <v>4</v>
      </c>
      <c r="BC894" t="s">
        <v>10</v>
      </c>
      <c r="BD894">
        <v>0</v>
      </c>
      <c r="BE894">
        <v>0</v>
      </c>
      <c r="BF894">
        <v>0</v>
      </c>
      <c r="BG894">
        <v>0</v>
      </c>
      <c r="BH894">
        <v>0</v>
      </c>
      <c r="BI894" t="s">
        <v>9</v>
      </c>
      <c r="BJ894">
        <v>3.8860000000000001E-4</v>
      </c>
      <c r="BK894">
        <v>0</v>
      </c>
      <c r="BL894">
        <v>-7.1712999999999996E-4</v>
      </c>
      <c r="BM894" s="2">
        <f t="shared" si="13"/>
        <v>2.6898231712605343E-5</v>
      </c>
    </row>
    <row r="895" spans="1:65" x14ac:dyDescent="0.35">
      <c r="A895">
        <v>0</v>
      </c>
      <c r="B895" t="s">
        <v>3</v>
      </c>
      <c r="C895" t="s">
        <v>4</v>
      </c>
      <c r="D895">
        <v>0</v>
      </c>
      <c r="E895" t="s">
        <v>3</v>
      </c>
      <c r="F895" t="s">
        <v>5</v>
      </c>
      <c r="G895">
        <v>4570.2887909999999</v>
      </c>
      <c r="H895" t="s">
        <v>4</v>
      </c>
      <c r="I895">
        <v>990.16341899999998</v>
      </c>
      <c r="J895">
        <v>3580.125372</v>
      </c>
      <c r="K895" t="s">
        <v>6</v>
      </c>
      <c r="L895" t="s">
        <v>7</v>
      </c>
      <c r="M895" t="s">
        <v>8</v>
      </c>
      <c r="N895" t="s">
        <v>6</v>
      </c>
      <c r="O895" t="s">
        <v>3</v>
      </c>
      <c r="P895" t="s">
        <v>3</v>
      </c>
      <c r="Q895" t="s">
        <v>3</v>
      </c>
      <c r="R895" t="s">
        <v>3</v>
      </c>
      <c r="S895" t="s">
        <v>3</v>
      </c>
      <c r="T895" t="s">
        <v>7</v>
      </c>
      <c r="U895">
        <v>1</v>
      </c>
      <c r="V895">
        <v>0</v>
      </c>
      <c r="W895">
        <v>0</v>
      </c>
      <c r="X895">
        <v>1</v>
      </c>
      <c r="Y895">
        <v>0</v>
      </c>
      <c r="Z895" t="s">
        <v>17</v>
      </c>
      <c r="AA895" t="s">
        <v>4</v>
      </c>
      <c r="AB895" t="s">
        <v>6</v>
      </c>
      <c r="AC895" t="s">
        <v>7</v>
      </c>
      <c r="AD895" t="s">
        <v>8</v>
      </c>
      <c r="AE895" t="s">
        <v>6</v>
      </c>
      <c r="AF895" t="s">
        <v>3</v>
      </c>
      <c r="AG895" t="s">
        <v>3</v>
      </c>
      <c r="AH895" t="s">
        <v>3</v>
      </c>
      <c r="AI895" t="s">
        <v>3</v>
      </c>
      <c r="AJ895" t="s">
        <v>3</v>
      </c>
      <c r="AK895" t="s">
        <v>7</v>
      </c>
      <c r="AL895">
        <v>0</v>
      </c>
      <c r="AM895">
        <v>0</v>
      </c>
      <c r="AN895">
        <v>0</v>
      </c>
      <c r="AO895">
        <v>0</v>
      </c>
      <c r="AP895">
        <v>0</v>
      </c>
      <c r="AQ895" t="s">
        <v>9</v>
      </c>
      <c r="AR895" s="1">
        <v>5.7907026799999997E-5</v>
      </c>
      <c r="AS895" s="1">
        <v>3.22535052E-26</v>
      </c>
      <c r="AT895">
        <v>36</v>
      </c>
      <c r="AU895" t="s">
        <v>10</v>
      </c>
      <c r="AV895">
        <v>1</v>
      </c>
      <c r="AW895">
        <v>0</v>
      </c>
      <c r="AX895">
        <v>0</v>
      </c>
      <c r="AY895">
        <v>1</v>
      </c>
      <c r="AZ895">
        <v>0</v>
      </c>
      <c r="BA895" t="s">
        <v>17</v>
      </c>
      <c r="BB895" t="s">
        <v>4</v>
      </c>
      <c r="BC895" t="s">
        <v>10</v>
      </c>
      <c r="BD895">
        <v>0</v>
      </c>
      <c r="BE895">
        <v>0</v>
      </c>
      <c r="BF895">
        <v>0</v>
      </c>
      <c r="BG895">
        <v>0</v>
      </c>
      <c r="BH895">
        <v>0</v>
      </c>
      <c r="BI895" t="s">
        <v>9</v>
      </c>
      <c r="BJ895">
        <v>5.452E-5</v>
      </c>
      <c r="BK895">
        <v>0</v>
      </c>
      <c r="BL895">
        <v>-1.9510000000000001E-5</v>
      </c>
      <c r="BM895" s="2">
        <f t="shared" si="13"/>
        <v>1.9423514960793215E-7</v>
      </c>
    </row>
    <row r="896" spans="1:65" x14ac:dyDescent="0.35">
      <c r="A896">
        <v>0</v>
      </c>
      <c r="B896" t="s">
        <v>3</v>
      </c>
      <c r="C896" t="s">
        <v>4</v>
      </c>
      <c r="D896">
        <v>0</v>
      </c>
      <c r="E896" t="s">
        <v>3</v>
      </c>
      <c r="F896" t="s">
        <v>5</v>
      </c>
      <c r="G896">
        <v>4870.1605550000004</v>
      </c>
      <c r="H896" t="s">
        <v>4</v>
      </c>
      <c r="I896">
        <v>990.16341899999998</v>
      </c>
      <c r="J896">
        <v>3879.997136</v>
      </c>
      <c r="K896" t="s">
        <v>6</v>
      </c>
      <c r="L896" t="s">
        <v>7</v>
      </c>
      <c r="M896" t="s">
        <v>8</v>
      </c>
      <c r="N896" t="s">
        <v>6</v>
      </c>
      <c r="O896" t="s">
        <v>3</v>
      </c>
      <c r="P896" t="s">
        <v>3</v>
      </c>
      <c r="Q896" t="s">
        <v>3</v>
      </c>
      <c r="R896" t="s">
        <v>3</v>
      </c>
      <c r="S896" t="s">
        <v>3</v>
      </c>
      <c r="T896" t="s">
        <v>7</v>
      </c>
      <c r="U896">
        <v>1</v>
      </c>
      <c r="V896">
        <v>1</v>
      </c>
      <c r="W896">
        <v>0</v>
      </c>
      <c r="X896">
        <v>2</v>
      </c>
      <c r="Y896">
        <v>0</v>
      </c>
      <c r="Z896" t="s">
        <v>21</v>
      </c>
      <c r="AA896" t="s">
        <v>4</v>
      </c>
      <c r="AB896" t="s">
        <v>6</v>
      </c>
      <c r="AC896" t="s">
        <v>7</v>
      </c>
      <c r="AD896" t="s">
        <v>8</v>
      </c>
      <c r="AE896" t="s">
        <v>6</v>
      </c>
      <c r="AF896" t="s">
        <v>3</v>
      </c>
      <c r="AG896" t="s">
        <v>3</v>
      </c>
      <c r="AH896" t="s">
        <v>3</v>
      </c>
      <c r="AI896" t="s">
        <v>3</v>
      </c>
      <c r="AJ896" t="s">
        <v>3</v>
      </c>
      <c r="AK896" t="s">
        <v>7</v>
      </c>
      <c r="AL896">
        <v>0</v>
      </c>
      <c r="AM896">
        <v>0</v>
      </c>
      <c r="AN896">
        <v>0</v>
      </c>
      <c r="AO896">
        <v>0</v>
      </c>
      <c r="AP896">
        <v>0</v>
      </c>
      <c r="AQ896" t="s">
        <v>9</v>
      </c>
      <c r="AR896" s="1">
        <v>6.2816294200000004E-5</v>
      </c>
      <c r="AS896" s="1">
        <v>4.1133170800000001E-26</v>
      </c>
      <c r="AT896">
        <v>38</v>
      </c>
      <c r="AU896" t="s">
        <v>10</v>
      </c>
      <c r="AV896">
        <v>1</v>
      </c>
      <c r="AW896">
        <v>1</v>
      </c>
      <c r="AX896">
        <v>0</v>
      </c>
      <c r="AY896">
        <v>2</v>
      </c>
      <c r="AZ896">
        <v>0</v>
      </c>
      <c r="BA896" t="s">
        <v>21</v>
      </c>
      <c r="BB896" t="s">
        <v>4</v>
      </c>
      <c r="BC896" t="s">
        <v>10</v>
      </c>
      <c r="BD896">
        <v>0</v>
      </c>
      <c r="BE896">
        <v>0</v>
      </c>
      <c r="BF896">
        <v>0</v>
      </c>
      <c r="BG896">
        <v>0</v>
      </c>
      <c r="BH896">
        <v>0</v>
      </c>
      <c r="BI896" t="s">
        <v>9</v>
      </c>
      <c r="BJ896">
        <v>-3.9039999999999999E-5</v>
      </c>
      <c r="BK896">
        <v>0</v>
      </c>
      <c r="BL896">
        <v>4.9209999999999998E-5</v>
      </c>
      <c r="BM896" s="2">
        <f t="shared" si="13"/>
        <v>2.4770974610804865E-7</v>
      </c>
    </row>
    <row r="897" spans="1:65" x14ac:dyDescent="0.35">
      <c r="A897">
        <v>0</v>
      </c>
      <c r="B897" t="s">
        <v>11</v>
      </c>
      <c r="C897" t="s">
        <v>4</v>
      </c>
      <c r="D897">
        <v>0</v>
      </c>
      <c r="E897" t="s">
        <v>3</v>
      </c>
      <c r="F897" t="s">
        <v>5</v>
      </c>
      <c r="G897">
        <v>4079.6740500000001</v>
      </c>
      <c r="H897" t="s">
        <v>4</v>
      </c>
      <c r="I897">
        <v>990.16341899999998</v>
      </c>
      <c r="J897">
        <v>3089.5106310000001</v>
      </c>
      <c r="K897" t="s">
        <v>6</v>
      </c>
      <c r="L897" t="s">
        <v>7</v>
      </c>
      <c r="M897" t="s">
        <v>8</v>
      </c>
      <c r="N897" t="s">
        <v>6</v>
      </c>
      <c r="O897" t="s">
        <v>3</v>
      </c>
      <c r="P897" t="s">
        <v>3</v>
      </c>
      <c r="Q897" t="s">
        <v>3</v>
      </c>
      <c r="R897" t="s">
        <v>3</v>
      </c>
      <c r="S897" t="s">
        <v>11</v>
      </c>
      <c r="T897" t="s">
        <v>7</v>
      </c>
      <c r="U897">
        <v>1</v>
      </c>
      <c r="V897">
        <v>0</v>
      </c>
      <c r="W897">
        <v>0</v>
      </c>
      <c r="X897">
        <v>1</v>
      </c>
      <c r="Y897">
        <v>0</v>
      </c>
      <c r="Z897" t="s">
        <v>23</v>
      </c>
      <c r="AA897" t="s">
        <v>4</v>
      </c>
      <c r="AB897" t="s">
        <v>6</v>
      </c>
      <c r="AC897" t="s">
        <v>7</v>
      </c>
      <c r="AD897" t="s">
        <v>8</v>
      </c>
      <c r="AE897" t="s">
        <v>6</v>
      </c>
      <c r="AF897" t="s">
        <v>3</v>
      </c>
      <c r="AG897" t="s">
        <v>3</v>
      </c>
      <c r="AH897" t="s">
        <v>3</v>
      </c>
      <c r="AI897" t="s">
        <v>3</v>
      </c>
      <c r="AJ897" t="s">
        <v>3</v>
      </c>
      <c r="AK897" t="s">
        <v>7</v>
      </c>
      <c r="AL897">
        <v>0</v>
      </c>
      <c r="AM897">
        <v>0</v>
      </c>
      <c r="AN897">
        <v>0</v>
      </c>
      <c r="AO897">
        <v>0</v>
      </c>
      <c r="AP897">
        <v>0</v>
      </c>
      <c r="AQ897" t="s">
        <v>9</v>
      </c>
      <c r="AR897" s="1">
        <v>1.9748936400000002E-6</v>
      </c>
      <c r="AS897" s="1">
        <v>3.2373759300000001E-29</v>
      </c>
      <c r="AT897">
        <v>38</v>
      </c>
      <c r="AU897" t="s">
        <v>10</v>
      </c>
      <c r="AV897">
        <v>1</v>
      </c>
      <c r="AW897">
        <v>0</v>
      </c>
      <c r="AX897">
        <v>0</v>
      </c>
      <c r="AY897">
        <v>1</v>
      </c>
      <c r="AZ897">
        <v>0</v>
      </c>
      <c r="BA897" t="s">
        <v>23</v>
      </c>
      <c r="BB897" t="s">
        <v>4</v>
      </c>
      <c r="BC897" t="s">
        <v>10</v>
      </c>
      <c r="BD897">
        <v>0</v>
      </c>
      <c r="BE897">
        <v>0</v>
      </c>
      <c r="BF897">
        <v>0</v>
      </c>
      <c r="BG897">
        <v>0</v>
      </c>
      <c r="BH897">
        <v>0</v>
      </c>
      <c r="BI897" t="s">
        <v>9</v>
      </c>
      <c r="BJ897">
        <v>0</v>
      </c>
      <c r="BK897">
        <v>1.9700000000000002E-6</v>
      </c>
      <c r="BL897">
        <v>0</v>
      </c>
      <c r="BM897" s="2">
        <f t="shared" si="13"/>
        <v>1.9495933672990944E-10</v>
      </c>
    </row>
    <row r="898" spans="1:65" x14ac:dyDescent="0.35">
      <c r="A898">
        <v>0</v>
      </c>
      <c r="B898" t="s">
        <v>3</v>
      </c>
      <c r="C898" t="s">
        <v>4</v>
      </c>
      <c r="D898">
        <v>0</v>
      </c>
      <c r="E898" t="s">
        <v>3</v>
      </c>
      <c r="F898" t="s">
        <v>5</v>
      </c>
      <c r="G898">
        <v>4355.5468579999997</v>
      </c>
      <c r="H898" t="s">
        <v>4</v>
      </c>
      <c r="I898">
        <v>990.16341899999998</v>
      </c>
      <c r="J898">
        <v>3365.3834390000002</v>
      </c>
      <c r="K898" t="s">
        <v>6</v>
      </c>
      <c r="L898" t="s">
        <v>7</v>
      </c>
      <c r="M898" t="s">
        <v>8</v>
      </c>
      <c r="N898" t="s">
        <v>6</v>
      </c>
      <c r="O898" t="s">
        <v>3</v>
      </c>
      <c r="P898" t="s">
        <v>3</v>
      </c>
      <c r="Q898" t="s">
        <v>3</v>
      </c>
      <c r="R898" t="s">
        <v>3</v>
      </c>
      <c r="S898" t="s">
        <v>3</v>
      </c>
      <c r="T898" t="s">
        <v>7</v>
      </c>
      <c r="U898">
        <v>3</v>
      </c>
      <c r="V898">
        <v>0</v>
      </c>
      <c r="W898">
        <v>0</v>
      </c>
      <c r="X898">
        <v>0</v>
      </c>
      <c r="Y898">
        <v>0</v>
      </c>
      <c r="Z898" t="s">
        <v>21</v>
      </c>
      <c r="AA898" t="s">
        <v>4</v>
      </c>
      <c r="AB898" t="s">
        <v>6</v>
      </c>
      <c r="AC898" t="s">
        <v>7</v>
      </c>
      <c r="AD898" t="s">
        <v>8</v>
      </c>
      <c r="AE898" t="s">
        <v>6</v>
      </c>
      <c r="AF898" t="s">
        <v>3</v>
      </c>
      <c r="AG898" t="s">
        <v>3</v>
      </c>
      <c r="AH898" t="s">
        <v>3</v>
      </c>
      <c r="AI898" t="s">
        <v>3</v>
      </c>
      <c r="AJ898" t="s">
        <v>3</v>
      </c>
      <c r="AK898" t="s">
        <v>7</v>
      </c>
      <c r="AL898">
        <v>0</v>
      </c>
      <c r="AM898">
        <v>0</v>
      </c>
      <c r="AN898">
        <v>0</v>
      </c>
      <c r="AO898">
        <v>0</v>
      </c>
      <c r="AP898">
        <v>0</v>
      </c>
      <c r="AQ898" t="s">
        <v>9</v>
      </c>
      <c r="AR898" s="1">
        <v>1.3564403699999999E-4</v>
      </c>
      <c r="AS898" s="1">
        <v>1.6636121800000001E-25</v>
      </c>
      <c r="AT898">
        <v>37</v>
      </c>
      <c r="AU898" t="s">
        <v>10</v>
      </c>
      <c r="AV898">
        <v>3</v>
      </c>
      <c r="AW898">
        <v>0</v>
      </c>
      <c r="AX898">
        <v>0</v>
      </c>
      <c r="AY898">
        <v>0</v>
      </c>
      <c r="AZ898">
        <v>0</v>
      </c>
      <c r="BA898" t="s">
        <v>21</v>
      </c>
      <c r="BB898" t="s">
        <v>4</v>
      </c>
      <c r="BC898" t="s">
        <v>10</v>
      </c>
      <c r="BD898">
        <v>0</v>
      </c>
      <c r="BE898">
        <v>0</v>
      </c>
      <c r="BF898">
        <v>0</v>
      </c>
      <c r="BG898">
        <v>0</v>
      </c>
      <c r="BH898">
        <v>0</v>
      </c>
      <c r="BI898" t="s">
        <v>9</v>
      </c>
      <c r="BJ898">
        <v>1.2255999999999999E-4</v>
      </c>
      <c r="BK898">
        <v>0</v>
      </c>
      <c r="BL898">
        <v>-5.8130000000000001E-5</v>
      </c>
      <c r="BM898" s="2">
        <f t="shared" ref="BM898:BM961" si="14">AS898*10^(-5)*6.0221408*10^(23)</f>
        <v>1.0018506784554946E-6</v>
      </c>
    </row>
    <row r="899" spans="1:65" x14ac:dyDescent="0.35">
      <c r="A899">
        <v>0</v>
      </c>
      <c r="B899" t="s">
        <v>11</v>
      </c>
      <c r="C899" t="s">
        <v>4</v>
      </c>
      <c r="D899">
        <v>0</v>
      </c>
      <c r="E899" t="s">
        <v>3</v>
      </c>
      <c r="F899" t="s">
        <v>5</v>
      </c>
      <c r="G899">
        <v>4458.3288689999999</v>
      </c>
      <c r="H899" t="s">
        <v>4</v>
      </c>
      <c r="I899">
        <v>990.16341899999998</v>
      </c>
      <c r="J899">
        <v>3468.16545</v>
      </c>
      <c r="K899" t="s">
        <v>6</v>
      </c>
      <c r="L899" t="s">
        <v>7</v>
      </c>
      <c r="M899" t="s">
        <v>8</v>
      </c>
      <c r="N899" t="s">
        <v>6</v>
      </c>
      <c r="O899" t="s">
        <v>3</v>
      </c>
      <c r="P899" t="s">
        <v>3</v>
      </c>
      <c r="Q899" t="s">
        <v>3</v>
      </c>
      <c r="R899" t="s">
        <v>3</v>
      </c>
      <c r="S899" t="s">
        <v>11</v>
      </c>
      <c r="T899" t="s">
        <v>7</v>
      </c>
      <c r="U899">
        <v>0</v>
      </c>
      <c r="V899">
        <v>0</v>
      </c>
      <c r="W899">
        <v>0</v>
      </c>
      <c r="X899">
        <v>0</v>
      </c>
      <c r="Y899">
        <v>2</v>
      </c>
      <c r="Z899" t="s">
        <v>16</v>
      </c>
      <c r="AA899" t="s">
        <v>4</v>
      </c>
      <c r="AB899" t="s">
        <v>6</v>
      </c>
      <c r="AC899" t="s">
        <v>7</v>
      </c>
      <c r="AD899" t="s">
        <v>8</v>
      </c>
      <c r="AE899" t="s">
        <v>6</v>
      </c>
      <c r="AF899" t="s">
        <v>3</v>
      </c>
      <c r="AG899" t="s">
        <v>3</v>
      </c>
      <c r="AH899" t="s">
        <v>3</v>
      </c>
      <c r="AI899" t="s">
        <v>3</v>
      </c>
      <c r="AJ899" t="s">
        <v>3</v>
      </c>
      <c r="AK899" t="s">
        <v>7</v>
      </c>
      <c r="AL899">
        <v>0</v>
      </c>
      <c r="AM899">
        <v>0</v>
      </c>
      <c r="AN899">
        <v>0</v>
      </c>
      <c r="AO899">
        <v>0</v>
      </c>
      <c r="AP899">
        <v>0</v>
      </c>
      <c r="AQ899" t="s">
        <v>9</v>
      </c>
      <c r="AR899" s="1">
        <v>5.1326974300000002E-5</v>
      </c>
      <c r="AS899" s="1">
        <v>2.4547500300000001E-26</v>
      </c>
      <c r="AT899">
        <v>23</v>
      </c>
      <c r="AU899" t="s">
        <v>10</v>
      </c>
      <c r="AV899">
        <v>0</v>
      </c>
      <c r="AW899">
        <v>0</v>
      </c>
      <c r="AX899">
        <v>0</v>
      </c>
      <c r="AY899">
        <v>0</v>
      </c>
      <c r="AZ899">
        <v>2</v>
      </c>
      <c r="BA899" t="s">
        <v>16</v>
      </c>
      <c r="BB899" t="s">
        <v>4</v>
      </c>
      <c r="BC899" t="s">
        <v>10</v>
      </c>
      <c r="BD899">
        <v>0</v>
      </c>
      <c r="BE899">
        <v>0</v>
      </c>
      <c r="BF899">
        <v>0</v>
      </c>
      <c r="BG899">
        <v>0</v>
      </c>
      <c r="BH899">
        <v>0</v>
      </c>
      <c r="BI899" t="s">
        <v>9</v>
      </c>
      <c r="BJ899">
        <v>0</v>
      </c>
      <c r="BK899">
        <v>5.1329999999999998E-5</v>
      </c>
      <c r="BL899">
        <v>0</v>
      </c>
      <c r="BM899" s="2">
        <f t="shared" si="14"/>
        <v>1.4782850309464224E-7</v>
      </c>
    </row>
    <row r="900" spans="1:65" x14ac:dyDescent="0.35">
      <c r="A900">
        <v>0</v>
      </c>
      <c r="B900" t="s">
        <v>3</v>
      </c>
      <c r="C900" t="s">
        <v>4</v>
      </c>
      <c r="D900">
        <v>0</v>
      </c>
      <c r="E900" t="s">
        <v>3</v>
      </c>
      <c r="F900" t="s">
        <v>5</v>
      </c>
      <c r="G900">
        <v>3334.0719789999998</v>
      </c>
      <c r="H900" t="s">
        <v>4</v>
      </c>
      <c r="I900">
        <v>990.16341899999998</v>
      </c>
      <c r="J900">
        <v>2343.9085599999999</v>
      </c>
      <c r="K900" t="s">
        <v>6</v>
      </c>
      <c r="L900" t="s">
        <v>7</v>
      </c>
      <c r="M900" t="s">
        <v>8</v>
      </c>
      <c r="N900" t="s">
        <v>6</v>
      </c>
      <c r="O900" t="s">
        <v>3</v>
      </c>
      <c r="P900" t="s">
        <v>3</v>
      </c>
      <c r="Q900" t="s">
        <v>3</v>
      </c>
      <c r="R900" t="s">
        <v>3</v>
      </c>
      <c r="S900" t="s">
        <v>3</v>
      </c>
      <c r="T900" t="s">
        <v>7</v>
      </c>
      <c r="U900">
        <v>1</v>
      </c>
      <c r="V900">
        <v>0</v>
      </c>
      <c r="W900">
        <v>0</v>
      </c>
      <c r="X900">
        <v>5</v>
      </c>
      <c r="Y900">
        <v>0</v>
      </c>
      <c r="Z900" t="s">
        <v>8</v>
      </c>
      <c r="AA900" t="s">
        <v>4</v>
      </c>
      <c r="AB900" t="s">
        <v>6</v>
      </c>
      <c r="AC900" t="s">
        <v>7</v>
      </c>
      <c r="AD900" t="s">
        <v>8</v>
      </c>
      <c r="AE900" t="s">
        <v>6</v>
      </c>
      <c r="AF900" t="s">
        <v>3</v>
      </c>
      <c r="AG900" t="s">
        <v>3</v>
      </c>
      <c r="AH900" t="s">
        <v>3</v>
      </c>
      <c r="AI900" t="s">
        <v>3</v>
      </c>
      <c r="AJ900" t="s">
        <v>3</v>
      </c>
      <c r="AK900" t="s">
        <v>7</v>
      </c>
      <c r="AL900">
        <v>0</v>
      </c>
      <c r="AM900">
        <v>0</v>
      </c>
      <c r="AN900">
        <v>0</v>
      </c>
      <c r="AO900">
        <v>0</v>
      </c>
      <c r="AP900">
        <v>0</v>
      </c>
      <c r="AQ900" t="s">
        <v>9</v>
      </c>
      <c r="AR900" s="1">
        <v>1.2129798599999999E-5</v>
      </c>
      <c r="AS900" s="1">
        <v>9.2652836600000001E-28</v>
      </c>
      <c r="AT900">
        <v>42</v>
      </c>
      <c r="AU900" t="s">
        <v>10</v>
      </c>
      <c r="AV900">
        <v>1</v>
      </c>
      <c r="AW900">
        <v>0</v>
      </c>
      <c r="AX900">
        <v>0</v>
      </c>
      <c r="AY900">
        <v>5</v>
      </c>
      <c r="AZ900">
        <v>0</v>
      </c>
      <c r="BA900" t="s">
        <v>8</v>
      </c>
      <c r="BB900" t="s">
        <v>4</v>
      </c>
      <c r="BC900" t="s">
        <v>10</v>
      </c>
      <c r="BD900">
        <v>0</v>
      </c>
      <c r="BE900">
        <v>0</v>
      </c>
      <c r="BF900">
        <v>0</v>
      </c>
      <c r="BG900">
        <v>0</v>
      </c>
      <c r="BH900">
        <v>0</v>
      </c>
      <c r="BI900" t="s">
        <v>9</v>
      </c>
      <c r="BJ900">
        <v>1.17E-5</v>
      </c>
      <c r="BK900">
        <v>0</v>
      </c>
      <c r="BL900">
        <v>-3.18E-6</v>
      </c>
      <c r="BM900" s="2">
        <f t="shared" si="14"/>
        <v>5.5796842752459332E-9</v>
      </c>
    </row>
    <row r="901" spans="1:65" x14ac:dyDescent="0.35">
      <c r="A901">
        <v>0</v>
      </c>
      <c r="B901" t="s">
        <v>11</v>
      </c>
      <c r="C901" t="s">
        <v>4</v>
      </c>
      <c r="D901">
        <v>0</v>
      </c>
      <c r="E901" t="s">
        <v>3</v>
      </c>
      <c r="F901" t="s">
        <v>5</v>
      </c>
      <c r="G901">
        <v>4271.0609729999996</v>
      </c>
      <c r="H901" t="s">
        <v>4</v>
      </c>
      <c r="I901">
        <v>990.16341899999998</v>
      </c>
      <c r="J901">
        <v>3280.8975540000001</v>
      </c>
      <c r="K901" t="s">
        <v>6</v>
      </c>
      <c r="L901" t="s">
        <v>7</v>
      </c>
      <c r="M901" t="s">
        <v>8</v>
      </c>
      <c r="N901" t="s">
        <v>6</v>
      </c>
      <c r="O901" t="s">
        <v>3</v>
      </c>
      <c r="P901" t="s">
        <v>3</v>
      </c>
      <c r="Q901" t="s">
        <v>3</v>
      </c>
      <c r="R901" t="s">
        <v>3</v>
      </c>
      <c r="S901" t="s">
        <v>11</v>
      </c>
      <c r="T901" t="s">
        <v>7</v>
      </c>
      <c r="U901">
        <v>0</v>
      </c>
      <c r="V901">
        <v>3</v>
      </c>
      <c r="W901">
        <v>0</v>
      </c>
      <c r="X901">
        <v>0</v>
      </c>
      <c r="Y901">
        <v>0</v>
      </c>
      <c r="Z901" t="s">
        <v>18</v>
      </c>
      <c r="AA901" t="s">
        <v>4</v>
      </c>
      <c r="AB901" t="s">
        <v>6</v>
      </c>
      <c r="AC901" t="s">
        <v>7</v>
      </c>
      <c r="AD901" t="s">
        <v>8</v>
      </c>
      <c r="AE901" t="s">
        <v>6</v>
      </c>
      <c r="AF901" t="s">
        <v>3</v>
      </c>
      <c r="AG901" t="s">
        <v>3</v>
      </c>
      <c r="AH901" t="s">
        <v>3</v>
      </c>
      <c r="AI901" t="s">
        <v>3</v>
      </c>
      <c r="AJ901" t="s">
        <v>3</v>
      </c>
      <c r="AK901" t="s">
        <v>7</v>
      </c>
      <c r="AL901">
        <v>0</v>
      </c>
      <c r="AM901">
        <v>0</v>
      </c>
      <c r="AN901">
        <v>0</v>
      </c>
      <c r="AO901">
        <v>0</v>
      </c>
      <c r="AP901">
        <v>0</v>
      </c>
      <c r="AQ901" t="s">
        <v>9</v>
      </c>
      <c r="AR901" s="1">
        <v>2.8793478600000001E-6</v>
      </c>
      <c r="AS901" s="1">
        <v>7.3079749300000004E-29</v>
      </c>
      <c r="AT901">
        <v>37</v>
      </c>
      <c r="AU901" t="s">
        <v>10</v>
      </c>
      <c r="AV901">
        <v>0</v>
      </c>
      <c r="AW901">
        <v>3</v>
      </c>
      <c r="AX901">
        <v>0</v>
      </c>
      <c r="AY901">
        <v>0</v>
      </c>
      <c r="AZ901">
        <v>0</v>
      </c>
      <c r="BA901" t="s">
        <v>18</v>
      </c>
      <c r="BB901" t="s">
        <v>4</v>
      </c>
      <c r="BC901" t="s">
        <v>10</v>
      </c>
      <c r="BD901">
        <v>0</v>
      </c>
      <c r="BE901">
        <v>0</v>
      </c>
      <c r="BF901">
        <v>0</v>
      </c>
      <c r="BG901">
        <v>0</v>
      </c>
      <c r="BH901">
        <v>0</v>
      </c>
      <c r="BI901" t="s">
        <v>9</v>
      </c>
      <c r="BJ901">
        <v>0</v>
      </c>
      <c r="BK901">
        <v>-2.88E-6</v>
      </c>
      <c r="BL901">
        <v>0</v>
      </c>
      <c r="BM901" s="2">
        <f t="shared" si="14"/>
        <v>4.4009653991330145E-10</v>
      </c>
    </row>
    <row r="902" spans="1:65" x14ac:dyDescent="0.35">
      <c r="A902">
        <v>0</v>
      </c>
      <c r="B902" t="s">
        <v>3</v>
      </c>
      <c r="C902" t="s">
        <v>4</v>
      </c>
      <c r="D902">
        <v>0</v>
      </c>
      <c r="E902" t="s">
        <v>3</v>
      </c>
      <c r="F902" t="s">
        <v>5</v>
      </c>
      <c r="G902">
        <v>4768.539479</v>
      </c>
      <c r="H902" t="s">
        <v>4</v>
      </c>
      <c r="I902">
        <v>990.16341899999998</v>
      </c>
      <c r="J902">
        <v>3778.3760600000001</v>
      </c>
      <c r="K902" t="s">
        <v>6</v>
      </c>
      <c r="L902" t="s">
        <v>7</v>
      </c>
      <c r="M902" t="s">
        <v>8</v>
      </c>
      <c r="N902" t="s">
        <v>6</v>
      </c>
      <c r="O902" t="s">
        <v>3</v>
      </c>
      <c r="P902" t="s">
        <v>3</v>
      </c>
      <c r="Q902" t="s">
        <v>3</v>
      </c>
      <c r="R902" t="s">
        <v>3</v>
      </c>
      <c r="S902" t="s">
        <v>3</v>
      </c>
      <c r="T902" t="s">
        <v>7</v>
      </c>
      <c r="U902">
        <v>1</v>
      </c>
      <c r="V902">
        <v>1</v>
      </c>
      <c r="W902">
        <v>0</v>
      </c>
      <c r="X902">
        <v>2</v>
      </c>
      <c r="Y902">
        <v>0</v>
      </c>
      <c r="Z902" t="s">
        <v>24</v>
      </c>
      <c r="AA902" t="s">
        <v>4</v>
      </c>
      <c r="AB902" t="s">
        <v>6</v>
      </c>
      <c r="AC902" t="s">
        <v>7</v>
      </c>
      <c r="AD902" t="s">
        <v>8</v>
      </c>
      <c r="AE902" t="s">
        <v>6</v>
      </c>
      <c r="AF902" t="s">
        <v>3</v>
      </c>
      <c r="AG902" t="s">
        <v>3</v>
      </c>
      <c r="AH902" t="s">
        <v>3</v>
      </c>
      <c r="AI902" t="s">
        <v>3</v>
      </c>
      <c r="AJ902" t="s">
        <v>3</v>
      </c>
      <c r="AK902" t="s">
        <v>7</v>
      </c>
      <c r="AL902">
        <v>0</v>
      </c>
      <c r="AM902">
        <v>0</v>
      </c>
      <c r="AN902">
        <v>0</v>
      </c>
      <c r="AO902">
        <v>0</v>
      </c>
      <c r="AP902">
        <v>0</v>
      </c>
      <c r="AQ902" t="s">
        <v>9</v>
      </c>
      <c r="AR902" s="1">
        <v>8.82718535E-5</v>
      </c>
      <c r="AS902" s="1">
        <v>7.9098059699999999E-26</v>
      </c>
      <c r="AT902">
        <v>37</v>
      </c>
      <c r="AU902" t="s">
        <v>10</v>
      </c>
      <c r="AV902">
        <v>1</v>
      </c>
      <c r="AW902">
        <v>1</v>
      </c>
      <c r="AX902">
        <v>0</v>
      </c>
      <c r="AY902">
        <v>2</v>
      </c>
      <c r="AZ902">
        <v>0</v>
      </c>
      <c r="BA902" t="s">
        <v>24</v>
      </c>
      <c r="BB902" t="s">
        <v>4</v>
      </c>
      <c r="BC902" t="s">
        <v>10</v>
      </c>
      <c r="BD902">
        <v>0</v>
      </c>
      <c r="BE902">
        <v>0</v>
      </c>
      <c r="BF902">
        <v>0</v>
      </c>
      <c r="BG902">
        <v>0</v>
      </c>
      <c r="BH902">
        <v>0</v>
      </c>
      <c r="BI902" t="s">
        <v>9</v>
      </c>
      <c r="BJ902">
        <v>6.4239999999999995E-5</v>
      </c>
      <c r="BK902">
        <v>0</v>
      </c>
      <c r="BL902">
        <v>-6.054E-5</v>
      </c>
      <c r="BM902" s="2">
        <f t="shared" si="14"/>
        <v>4.7633965252020576E-7</v>
      </c>
    </row>
    <row r="903" spans="1:65" x14ac:dyDescent="0.35">
      <c r="A903">
        <v>0</v>
      </c>
      <c r="B903" t="s">
        <v>3</v>
      </c>
      <c r="C903" t="s">
        <v>4</v>
      </c>
      <c r="D903">
        <v>0</v>
      </c>
      <c r="E903" t="s">
        <v>3</v>
      </c>
      <c r="F903" t="s">
        <v>5</v>
      </c>
      <c r="G903">
        <v>4819.1015880000004</v>
      </c>
      <c r="H903" t="s">
        <v>4</v>
      </c>
      <c r="I903">
        <v>990.16341899999998</v>
      </c>
      <c r="J903">
        <v>3828.938169</v>
      </c>
      <c r="K903" t="s">
        <v>6</v>
      </c>
      <c r="L903" t="s">
        <v>7</v>
      </c>
      <c r="M903" t="s">
        <v>8</v>
      </c>
      <c r="N903" t="s">
        <v>6</v>
      </c>
      <c r="O903" t="s">
        <v>3</v>
      </c>
      <c r="P903" t="s">
        <v>3</v>
      </c>
      <c r="Q903" t="s">
        <v>3</v>
      </c>
      <c r="R903" t="s">
        <v>3</v>
      </c>
      <c r="S903" t="s">
        <v>3</v>
      </c>
      <c r="T903" t="s">
        <v>7</v>
      </c>
      <c r="U903">
        <v>2</v>
      </c>
      <c r="V903">
        <v>0</v>
      </c>
      <c r="W903">
        <v>0</v>
      </c>
      <c r="X903">
        <v>1</v>
      </c>
      <c r="Y903">
        <v>2</v>
      </c>
      <c r="Z903" t="s">
        <v>9</v>
      </c>
      <c r="AA903" t="s">
        <v>4</v>
      </c>
      <c r="AB903" t="s">
        <v>6</v>
      </c>
      <c r="AC903" t="s">
        <v>7</v>
      </c>
      <c r="AD903" t="s">
        <v>8</v>
      </c>
      <c r="AE903" t="s">
        <v>6</v>
      </c>
      <c r="AF903" t="s">
        <v>3</v>
      </c>
      <c r="AG903" t="s">
        <v>3</v>
      </c>
      <c r="AH903" t="s">
        <v>3</v>
      </c>
      <c r="AI903" t="s">
        <v>3</v>
      </c>
      <c r="AJ903" t="s">
        <v>3</v>
      </c>
      <c r="AK903" t="s">
        <v>7</v>
      </c>
      <c r="AL903">
        <v>0</v>
      </c>
      <c r="AM903">
        <v>0</v>
      </c>
      <c r="AN903">
        <v>0</v>
      </c>
      <c r="AO903">
        <v>0</v>
      </c>
      <c r="AP903">
        <v>0</v>
      </c>
      <c r="AQ903" t="s">
        <v>9</v>
      </c>
      <c r="AR903" s="1">
        <v>1.2937207700000001E-4</v>
      </c>
      <c r="AS903" s="1">
        <v>1.7217718900000001E-25</v>
      </c>
      <c r="AT903">
        <v>39</v>
      </c>
      <c r="AU903" t="s">
        <v>10</v>
      </c>
      <c r="AV903">
        <v>2</v>
      </c>
      <c r="AW903">
        <v>0</v>
      </c>
      <c r="AX903">
        <v>0</v>
      </c>
      <c r="AY903">
        <v>1</v>
      </c>
      <c r="AZ903">
        <v>2</v>
      </c>
      <c r="BA903" t="s">
        <v>9</v>
      </c>
      <c r="BB903" t="s">
        <v>4</v>
      </c>
      <c r="BC903" t="s">
        <v>10</v>
      </c>
      <c r="BD903">
        <v>0</v>
      </c>
      <c r="BE903">
        <v>0</v>
      </c>
      <c r="BF903">
        <v>0</v>
      </c>
      <c r="BG903">
        <v>0</v>
      </c>
      <c r="BH903">
        <v>0</v>
      </c>
      <c r="BI903" t="s">
        <v>9</v>
      </c>
      <c r="BJ903">
        <v>1.0198E-4</v>
      </c>
      <c r="BK903">
        <v>0</v>
      </c>
      <c r="BL903">
        <v>-7.9599999999999997E-5</v>
      </c>
      <c r="BM903" s="2">
        <f t="shared" si="14"/>
        <v>1.0368752747062112E-6</v>
      </c>
    </row>
    <row r="904" spans="1:65" x14ac:dyDescent="0.35">
      <c r="A904">
        <v>0</v>
      </c>
      <c r="B904" t="s">
        <v>11</v>
      </c>
      <c r="C904" t="s">
        <v>4</v>
      </c>
      <c r="D904">
        <v>0</v>
      </c>
      <c r="E904" t="s">
        <v>3</v>
      </c>
      <c r="F904" t="s">
        <v>5</v>
      </c>
      <c r="G904">
        <v>4414.465252</v>
      </c>
      <c r="H904" t="s">
        <v>4</v>
      </c>
      <c r="I904">
        <v>990.16341899999998</v>
      </c>
      <c r="J904">
        <v>3424.301833</v>
      </c>
      <c r="K904" t="s">
        <v>6</v>
      </c>
      <c r="L904" t="s">
        <v>7</v>
      </c>
      <c r="M904" t="s">
        <v>8</v>
      </c>
      <c r="N904" t="s">
        <v>6</v>
      </c>
      <c r="O904" t="s">
        <v>3</v>
      </c>
      <c r="P904" t="s">
        <v>3</v>
      </c>
      <c r="Q904" t="s">
        <v>3</v>
      </c>
      <c r="R904" t="s">
        <v>3</v>
      </c>
      <c r="S904" t="s">
        <v>11</v>
      </c>
      <c r="T904" t="s">
        <v>7</v>
      </c>
      <c r="U904">
        <v>2</v>
      </c>
      <c r="V904">
        <v>1</v>
      </c>
      <c r="W904">
        <v>0</v>
      </c>
      <c r="X904">
        <v>0</v>
      </c>
      <c r="Y904">
        <v>0</v>
      </c>
      <c r="Z904" t="s">
        <v>14</v>
      </c>
      <c r="AA904" t="s">
        <v>4</v>
      </c>
      <c r="AB904" t="s">
        <v>6</v>
      </c>
      <c r="AC904" t="s">
        <v>7</v>
      </c>
      <c r="AD904" t="s">
        <v>8</v>
      </c>
      <c r="AE904" t="s">
        <v>6</v>
      </c>
      <c r="AF904" t="s">
        <v>3</v>
      </c>
      <c r="AG904" t="s">
        <v>3</v>
      </c>
      <c r="AH904" t="s">
        <v>3</v>
      </c>
      <c r="AI904" t="s">
        <v>3</v>
      </c>
      <c r="AJ904" t="s">
        <v>3</v>
      </c>
      <c r="AK904" t="s">
        <v>7</v>
      </c>
      <c r="AL904">
        <v>0</v>
      </c>
      <c r="AM904">
        <v>0</v>
      </c>
      <c r="AN904">
        <v>0</v>
      </c>
      <c r="AO904">
        <v>0</v>
      </c>
      <c r="AP904">
        <v>0</v>
      </c>
      <c r="AQ904" t="s">
        <v>9</v>
      </c>
      <c r="AR904" s="1">
        <v>2.90284802E-5</v>
      </c>
      <c r="AS904" s="1">
        <v>7.7524106599999995E-27</v>
      </c>
      <c r="AT904">
        <v>37</v>
      </c>
      <c r="AU904" t="s">
        <v>10</v>
      </c>
      <c r="AV904">
        <v>2</v>
      </c>
      <c r="AW904">
        <v>1</v>
      </c>
      <c r="AX904">
        <v>0</v>
      </c>
      <c r="AY904">
        <v>0</v>
      </c>
      <c r="AZ904">
        <v>0</v>
      </c>
      <c r="BA904" t="s">
        <v>14</v>
      </c>
      <c r="BB904" t="s">
        <v>4</v>
      </c>
      <c r="BC904" t="s">
        <v>10</v>
      </c>
      <c r="BD904">
        <v>0</v>
      </c>
      <c r="BE904">
        <v>0</v>
      </c>
      <c r="BF904">
        <v>0</v>
      </c>
      <c r="BG904">
        <v>0</v>
      </c>
      <c r="BH904">
        <v>0</v>
      </c>
      <c r="BI904" t="s">
        <v>9</v>
      </c>
      <c r="BJ904">
        <v>0</v>
      </c>
      <c r="BK904">
        <v>-2.9030000000000002E-5</v>
      </c>
      <c r="BL904">
        <v>0</v>
      </c>
      <c r="BM904" s="2">
        <f t="shared" si="14"/>
        <v>4.6686108533940923E-8</v>
      </c>
    </row>
    <row r="905" spans="1:65" x14ac:dyDescent="0.35">
      <c r="A905">
        <v>0</v>
      </c>
      <c r="B905" t="s">
        <v>3</v>
      </c>
      <c r="C905" t="s">
        <v>4</v>
      </c>
      <c r="D905">
        <v>0</v>
      </c>
      <c r="E905" t="s">
        <v>3</v>
      </c>
      <c r="F905" t="s">
        <v>5</v>
      </c>
      <c r="G905">
        <v>3107.2113340000001</v>
      </c>
      <c r="H905" t="s">
        <v>4</v>
      </c>
      <c r="I905">
        <v>990.16341899999998</v>
      </c>
      <c r="J905">
        <v>2117.0479150000001</v>
      </c>
      <c r="K905" t="s">
        <v>6</v>
      </c>
      <c r="L905" t="s">
        <v>7</v>
      </c>
      <c r="M905" t="s">
        <v>8</v>
      </c>
      <c r="N905" t="s">
        <v>6</v>
      </c>
      <c r="O905" t="s">
        <v>3</v>
      </c>
      <c r="P905" t="s">
        <v>3</v>
      </c>
      <c r="Q905" t="s">
        <v>3</v>
      </c>
      <c r="R905" t="s">
        <v>3</v>
      </c>
      <c r="S905" t="s">
        <v>3</v>
      </c>
      <c r="T905" t="s">
        <v>7</v>
      </c>
      <c r="U905">
        <v>0</v>
      </c>
      <c r="V905">
        <v>0</v>
      </c>
      <c r="W905">
        <v>0</v>
      </c>
      <c r="X905">
        <v>6</v>
      </c>
      <c r="Y905">
        <v>0</v>
      </c>
      <c r="Z905" t="s">
        <v>9</v>
      </c>
      <c r="AA905" t="s">
        <v>4</v>
      </c>
      <c r="AB905" t="s">
        <v>6</v>
      </c>
      <c r="AC905" t="s">
        <v>7</v>
      </c>
      <c r="AD905" t="s">
        <v>8</v>
      </c>
      <c r="AE905" t="s">
        <v>6</v>
      </c>
      <c r="AF905" t="s">
        <v>3</v>
      </c>
      <c r="AG905" t="s">
        <v>3</v>
      </c>
      <c r="AH905" t="s">
        <v>3</v>
      </c>
      <c r="AI905" t="s">
        <v>3</v>
      </c>
      <c r="AJ905" t="s">
        <v>3</v>
      </c>
      <c r="AK905" t="s">
        <v>7</v>
      </c>
      <c r="AL905">
        <v>0</v>
      </c>
      <c r="AM905">
        <v>0</v>
      </c>
      <c r="AN905">
        <v>0</v>
      </c>
      <c r="AO905">
        <v>0</v>
      </c>
      <c r="AP905">
        <v>0</v>
      </c>
      <c r="AQ905" t="s">
        <v>9</v>
      </c>
      <c r="AR905" s="1">
        <v>4.1203962300000001E-4</v>
      </c>
      <c r="AS905" s="1">
        <v>9.6562613099999999E-25</v>
      </c>
      <c r="AT905">
        <v>39</v>
      </c>
      <c r="AU905" t="s">
        <v>10</v>
      </c>
      <c r="AV905">
        <v>0</v>
      </c>
      <c r="AW905">
        <v>0</v>
      </c>
      <c r="AX905">
        <v>0</v>
      </c>
      <c r="AY905">
        <v>6</v>
      </c>
      <c r="AZ905">
        <v>0</v>
      </c>
      <c r="BA905" t="s">
        <v>9</v>
      </c>
      <c r="BB905" t="s">
        <v>4</v>
      </c>
      <c r="BC905" t="s">
        <v>10</v>
      </c>
      <c r="BD905">
        <v>0</v>
      </c>
      <c r="BE905">
        <v>0</v>
      </c>
      <c r="BF905">
        <v>0</v>
      </c>
      <c r="BG905">
        <v>0</v>
      </c>
      <c r="BH905">
        <v>0</v>
      </c>
      <c r="BI905" t="s">
        <v>9</v>
      </c>
      <c r="BJ905">
        <v>2.6500999999999999E-4</v>
      </c>
      <c r="BK905">
        <v>0</v>
      </c>
      <c r="BL905">
        <v>3.1551000000000002E-4</v>
      </c>
      <c r="BM905" s="2">
        <f t="shared" si="14"/>
        <v>5.815136521041244E-6</v>
      </c>
    </row>
    <row r="906" spans="1:65" x14ac:dyDescent="0.35">
      <c r="A906">
        <v>0</v>
      </c>
      <c r="B906" t="s">
        <v>11</v>
      </c>
      <c r="C906" t="s">
        <v>4</v>
      </c>
      <c r="D906">
        <v>0</v>
      </c>
      <c r="E906" t="s">
        <v>3</v>
      </c>
      <c r="F906" t="s">
        <v>5</v>
      </c>
      <c r="G906">
        <v>2165.7448100000001</v>
      </c>
      <c r="H906" t="s">
        <v>4</v>
      </c>
      <c r="I906">
        <v>990.16341899999998</v>
      </c>
      <c r="J906">
        <v>1175.5813909999999</v>
      </c>
      <c r="K906" t="s">
        <v>6</v>
      </c>
      <c r="L906" t="s">
        <v>7</v>
      </c>
      <c r="M906" t="s">
        <v>8</v>
      </c>
      <c r="N906" t="s">
        <v>6</v>
      </c>
      <c r="O906" t="s">
        <v>3</v>
      </c>
      <c r="P906" t="s">
        <v>3</v>
      </c>
      <c r="Q906" t="s">
        <v>3</v>
      </c>
      <c r="R906" t="s">
        <v>3</v>
      </c>
      <c r="S906" t="s">
        <v>11</v>
      </c>
      <c r="T906" t="s">
        <v>7</v>
      </c>
      <c r="U906">
        <v>1</v>
      </c>
      <c r="V906">
        <v>0</v>
      </c>
      <c r="W906">
        <v>0</v>
      </c>
      <c r="X906">
        <v>2</v>
      </c>
      <c r="Y906">
        <v>0</v>
      </c>
      <c r="Z906" t="s">
        <v>18</v>
      </c>
      <c r="AA906" t="s">
        <v>4</v>
      </c>
      <c r="AB906" t="s">
        <v>6</v>
      </c>
      <c r="AC906" t="s">
        <v>7</v>
      </c>
      <c r="AD906" t="s">
        <v>8</v>
      </c>
      <c r="AE906" t="s">
        <v>6</v>
      </c>
      <c r="AF906" t="s">
        <v>3</v>
      </c>
      <c r="AG906" t="s">
        <v>3</v>
      </c>
      <c r="AH906" t="s">
        <v>3</v>
      </c>
      <c r="AI906" t="s">
        <v>3</v>
      </c>
      <c r="AJ906" t="s">
        <v>3</v>
      </c>
      <c r="AK906" t="s">
        <v>7</v>
      </c>
      <c r="AL906">
        <v>0</v>
      </c>
      <c r="AM906">
        <v>0</v>
      </c>
      <c r="AN906">
        <v>0</v>
      </c>
      <c r="AO906">
        <v>0</v>
      </c>
      <c r="AP906">
        <v>0</v>
      </c>
      <c r="AQ906" t="s">
        <v>9</v>
      </c>
      <c r="AR906" s="1">
        <v>1.2733878999999999E-5</v>
      </c>
      <c r="AS906" s="1">
        <v>5.1038630899999996E-28</v>
      </c>
      <c r="AT906">
        <v>43</v>
      </c>
      <c r="AU906" t="s">
        <v>10</v>
      </c>
      <c r="AV906">
        <v>1</v>
      </c>
      <c r="AW906">
        <v>0</v>
      </c>
      <c r="AX906">
        <v>0</v>
      </c>
      <c r="AY906">
        <v>2</v>
      </c>
      <c r="AZ906">
        <v>0</v>
      </c>
      <c r="BA906" t="s">
        <v>18</v>
      </c>
      <c r="BB906" t="s">
        <v>4</v>
      </c>
      <c r="BC906" t="s">
        <v>10</v>
      </c>
      <c r="BD906">
        <v>0</v>
      </c>
      <c r="BE906">
        <v>0</v>
      </c>
      <c r="BF906">
        <v>0</v>
      </c>
      <c r="BG906">
        <v>0</v>
      </c>
      <c r="BH906">
        <v>0</v>
      </c>
      <c r="BI906" t="s">
        <v>9</v>
      </c>
      <c r="BJ906">
        <v>0</v>
      </c>
      <c r="BK906">
        <v>1.273E-5</v>
      </c>
      <c r="BL906">
        <v>0</v>
      </c>
      <c r="BM906" s="2">
        <f t="shared" si="14"/>
        <v>3.0736182151903065E-9</v>
      </c>
    </row>
    <row r="907" spans="1:65" x14ac:dyDescent="0.35">
      <c r="A907">
        <v>0</v>
      </c>
      <c r="B907" t="s">
        <v>11</v>
      </c>
      <c r="C907" t="s">
        <v>4</v>
      </c>
      <c r="D907">
        <v>0</v>
      </c>
      <c r="E907" t="s">
        <v>3</v>
      </c>
      <c r="F907" t="s">
        <v>5</v>
      </c>
      <c r="G907">
        <v>3888.3838660000001</v>
      </c>
      <c r="H907" t="s">
        <v>4</v>
      </c>
      <c r="I907">
        <v>990.16341899999998</v>
      </c>
      <c r="J907">
        <v>2898.2204470000001</v>
      </c>
      <c r="K907" t="s">
        <v>6</v>
      </c>
      <c r="L907" t="s">
        <v>7</v>
      </c>
      <c r="M907" t="s">
        <v>8</v>
      </c>
      <c r="N907" t="s">
        <v>6</v>
      </c>
      <c r="O907" t="s">
        <v>3</v>
      </c>
      <c r="P907" t="s">
        <v>3</v>
      </c>
      <c r="Q907" t="s">
        <v>3</v>
      </c>
      <c r="R907" t="s">
        <v>3</v>
      </c>
      <c r="S907" t="s">
        <v>11</v>
      </c>
      <c r="T907" t="s">
        <v>7</v>
      </c>
      <c r="U907">
        <v>1</v>
      </c>
      <c r="V907">
        <v>0</v>
      </c>
      <c r="W907">
        <v>0</v>
      </c>
      <c r="X907">
        <v>2</v>
      </c>
      <c r="Y907">
        <v>0</v>
      </c>
      <c r="Z907" t="s">
        <v>19</v>
      </c>
      <c r="AA907" t="s">
        <v>4</v>
      </c>
      <c r="AB907" t="s">
        <v>6</v>
      </c>
      <c r="AC907" t="s">
        <v>7</v>
      </c>
      <c r="AD907" t="s">
        <v>8</v>
      </c>
      <c r="AE907" t="s">
        <v>6</v>
      </c>
      <c r="AF907" t="s">
        <v>3</v>
      </c>
      <c r="AG907" t="s">
        <v>3</v>
      </c>
      <c r="AH907" t="s">
        <v>3</v>
      </c>
      <c r="AI907" t="s">
        <v>3</v>
      </c>
      <c r="AJ907" t="s">
        <v>3</v>
      </c>
      <c r="AK907" t="s">
        <v>7</v>
      </c>
      <c r="AL907">
        <v>0</v>
      </c>
      <c r="AM907">
        <v>0</v>
      </c>
      <c r="AN907">
        <v>0</v>
      </c>
      <c r="AO907">
        <v>0</v>
      </c>
      <c r="AP907">
        <v>0</v>
      </c>
      <c r="AQ907" t="s">
        <v>9</v>
      </c>
      <c r="AR907" s="1">
        <v>1.9838602199999999E-6</v>
      </c>
      <c r="AS907" s="1">
        <v>3.0645686400000001E-29</v>
      </c>
      <c r="AT907">
        <v>37</v>
      </c>
      <c r="AU907" t="s">
        <v>10</v>
      </c>
      <c r="AV907">
        <v>1</v>
      </c>
      <c r="AW907">
        <v>0</v>
      </c>
      <c r="AX907">
        <v>0</v>
      </c>
      <c r="AY907">
        <v>2</v>
      </c>
      <c r="AZ907">
        <v>0</v>
      </c>
      <c r="BA907" t="s">
        <v>19</v>
      </c>
      <c r="BB907" t="s">
        <v>4</v>
      </c>
      <c r="BC907" t="s">
        <v>10</v>
      </c>
      <c r="BD907">
        <v>0</v>
      </c>
      <c r="BE907">
        <v>0</v>
      </c>
      <c r="BF907">
        <v>0</v>
      </c>
      <c r="BG907">
        <v>0</v>
      </c>
      <c r="BH907">
        <v>0</v>
      </c>
      <c r="BI907" t="s">
        <v>9</v>
      </c>
      <c r="BJ907">
        <v>0</v>
      </c>
      <c r="BK907">
        <v>1.9800000000000001E-6</v>
      </c>
      <c r="BL907">
        <v>0</v>
      </c>
      <c r="BM907" s="2">
        <f t="shared" si="14"/>
        <v>1.8455263841344512E-10</v>
      </c>
    </row>
    <row r="908" spans="1:65" x14ac:dyDescent="0.35">
      <c r="A908">
        <v>0</v>
      </c>
      <c r="B908" t="s">
        <v>3</v>
      </c>
      <c r="C908" t="s">
        <v>4</v>
      </c>
      <c r="D908">
        <v>0</v>
      </c>
      <c r="E908" t="s">
        <v>3</v>
      </c>
      <c r="F908" t="s">
        <v>5</v>
      </c>
      <c r="G908">
        <v>3786.7114980000001</v>
      </c>
      <c r="H908" t="s">
        <v>4</v>
      </c>
      <c r="I908">
        <v>990.16341899999998</v>
      </c>
      <c r="J908">
        <v>2796.5480790000001</v>
      </c>
      <c r="K908" t="s">
        <v>6</v>
      </c>
      <c r="L908" t="s">
        <v>7</v>
      </c>
      <c r="M908" t="s">
        <v>8</v>
      </c>
      <c r="N908" t="s">
        <v>6</v>
      </c>
      <c r="O908" t="s">
        <v>3</v>
      </c>
      <c r="P908" t="s">
        <v>3</v>
      </c>
      <c r="Q908" t="s">
        <v>3</v>
      </c>
      <c r="R908" t="s">
        <v>3</v>
      </c>
      <c r="S908" t="s">
        <v>3</v>
      </c>
      <c r="T908" t="s">
        <v>7</v>
      </c>
      <c r="U908">
        <v>0</v>
      </c>
      <c r="V908">
        <v>0</v>
      </c>
      <c r="W908">
        <v>0</v>
      </c>
      <c r="X908">
        <v>0</v>
      </c>
      <c r="Y908">
        <v>2</v>
      </c>
      <c r="Z908" t="s">
        <v>21</v>
      </c>
      <c r="AA908" t="s">
        <v>4</v>
      </c>
      <c r="AB908" t="s">
        <v>6</v>
      </c>
      <c r="AC908" t="s">
        <v>7</v>
      </c>
      <c r="AD908" t="s">
        <v>8</v>
      </c>
      <c r="AE908" t="s">
        <v>6</v>
      </c>
      <c r="AF908" t="s">
        <v>3</v>
      </c>
      <c r="AG908" t="s">
        <v>3</v>
      </c>
      <c r="AH908" t="s">
        <v>3</v>
      </c>
      <c r="AI908" t="s">
        <v>3</v>
      </c>
      <c r="AJ908" t="s">
        <v>3</v>
      </c>
      <c r="AK908" t="s">
        <v>7</v>
      </c>
      <c r="AL908">
        <v>0</v>
      </c>
      <c r="AM908">
        <v>0</v>
      </c>
      <c r="AN908">
        <v>0</v>
      </c>
      <c r="AO908">
        <v>0</v>
      </c>
      <c r="AP908">
        <v>0</v>
      </c>
      <c r="AQ908" t="s">
        <v>9</v>
      </c>
      <c r="AR908" s="1">
        <v>5.7853082600000001E-4</v>
      </c>
      <c r="AS908" s="1">
        <v>2.5147271400000002E-24</v>
      </c>
      <c r="AT908">
        <v>43</v>
      </c>
      <c r="AU908" t="s">
        <v>10</v>
      </c>
      <c r="AV908">
        <v>0</v>
      </c>
      <c r="AW908">
        <v>0</v>
      </c>
      <c r="AX908">
        <v>0</v>
      </c>
      <c r="AY908">
        <v>0</v>
      </c>
      <c r="AZ908">
        <v>2</v>
      </c>
      <c r="BA908" t="s">
        <v>21</v>
      </c>
      <c r="BB908" t="s">
        <v>4</v>
      </c>
      <c r="BC908" t="s">
        <v>10</v>
      </c>
      <c r="BD908">
        <v>0</v>
      </c>
      <c r="BE908">
        <v>0</v>
      </c>
      <c r="BF908">
        <v>0</v>
      </c>
      <c r="BG908">
        <v>0</v>
      </c>
      <c r="BH908">
        <v>0</v>
      </c>
      <c r="BI908" t="s">
        <v>9</v>
      </c>
      <c r="BJ908">
        <v>-5.1730999999999999E-4</v>
      </c>
      <c r="BK908">
        <v>0</v>
      </c>
      <c r="BL908">
        <v>-2.5902E-4</v>
      </c>
      <c r="BM908" s="2">
        <f t="shared" si="14"/>
        <v>1.5144040910661314E-5</v>
      </c>
    </row>
    <row r="909" spans="1:65" x14ac:dyDescent="0.35">
      <c r="A909">
        <v>0</v>
      </c>
      <c r="B909" t="s">
        <v>11</v>
      </c>
      <c r="C909" t="s">
        <v>4</v>
      </c>
      <c r="D909">
        <v>0</v>
      </c>
      <c r="E909" t="s">
        <v>3</v>
      </c>
      <c r="F909" t="s">
        <v>5</v>
      </c>
      <c r="G909">
        <v>4936.4728839999998</v>
      </c>
      <c r="H909" t="s">
        <v>4</v>
      </c>
      <c r="I909">
        <v>990.16341899999998</v>
      </c>
      <c r="J909">
        <v>3946.3094649999998</v>
      </c>
      <c r="K909" t="s">
        <v>6</v>
      </c>
      <c r="L909" t="s">
        <v>7</v>
      </c>
      <c r="M909" t="s">
        <v>8</v>
      </c>
      <c r="N909" t="s">
        <v>6</v>
      </c>
      <c r="O909" t="s">
        <v>3</v>
      </c>
      <c r="P909" t="s">
        <v>3</v>
      </c>
      <c r="Q909" t="s">
        <v>3</v>
      </c>
      <c r="R909" t="s">
        <v>3</v>
      </c>
      <c r="S909" t="s">
        <v>11</v>
      </c>
      <c r="T909" t="s">
        <v>7</v>
      </c>
      <c r="U909">
        <v>1</v>
      </c>
      <c r="V909">
        <v>2</v>
      </c>
      <c r="W909">
        <v>0</v>
      </c>
      <c r="X909">
        <v>0</v>
      </c>
      <c r="Y909">
        <v>0</v>
      </c>
      <c r="Z909" t="s">
        <v>13</v>
      </c>
      <c r="AA909" t="s">
        <v>4</v>
      </c>
      <c r="AB909" t="s">
        <v>6</v>
      </c>
      <c r="AC909" t="s">
        <v>7</v>
      </c>
      <c r="AD909" t="s">
        <v>8</v>
      </c>
      <c r="AE909" t="s">
        <v>6</v>
      </c>
      <c r="AF909" t="s">
        <v>3</v>
      </c>
      <c r="AG909" t="s">
        <v>3</v>
      </c>
      <c r="AH909" t="s">
        <v>3</v>
      </c>
      <c r="AI909" t="s">
        <v>3</v>
      </c>
      <c r="AJ909" t="s">
        <v>3</v>
      </c>
      <c r="AK909" t="s">
        <v>7</v>
      </c>
      <c r="AL909">
        <v>0</v>
      </c>
      <c r="AM909">
        <v>0</v>
      </c>
      <c r="AN909">
        <v>0</v>
      </c>
      <c r="AO909">
        <v>0</v>
      </c>
      <c r="AP909">
        <v>0</v>
      </c>
      <c r="AQ909" t="s">
        <v>9</v>
      </c>
      <c r="AR909" s="1">
        <v>3.1549899500000003E-5</v>
      </c>
      <c r="AS909" s="1">
        <v>1.05536639E-26</v>
      </c>
      <c r="AT909">
        <v>39</v>
      </c>
      <c r="AU909" t="s">
        <v>10</v>
      </c>
      <c r="AV909">
        <v>1</v>
      </c>
      <c r="AW909">
        <v>2</v>
      </c>
      <c r="AX909">
        <v>0</v>
      </c>
      <c r="AY909">
        <v>0</v>
      </c>
      <c r="AZ909">
        <v>0</v>
      </c>
      <c r="BA909" t="s">
        <v>13</v>
      </c>
      <c r="BB909" t="s">
        <v>4</v>
      </c>
      <c r="BC909" t="s">
        <v>10</v>
      </c>
      <c r="BD909">
        <v>0</v>
      </c>
      <c r="BE909">
        <v>0</v>
      </c>
      <c r="BF909">
        <v>0</v>
      </c>
      <c r="BG909">
        <v>0</v>
      </c>
      <c r="BH909">
        <v>0</v>
      </c>
      <c r="BI909" t="s">
        <v>9</v>
      </c>
      <c r="BJ909">
        <v>0</v>
      </c>
      <c r="BK909">
        <v>3.1550000000000001E-5</v>
      </c>
      <c r="BL909">
        <v>0</v>
      </c>
      <c r="BM909" s="2">
        <f t="shared" si="14"/>
        <v>6.3555649961677124E-8</v>
      </c>
    </row>
    <row r="910" spans="1:65" x14ac:dyDescent="0.35">
      <c r="A910">
        <v>0</v>
      </c>
      <c r="B910" t="s">
        <v>3</v>
      </c>
      <c r="C910" t="s">
        <v>4</v>
      </c>
      <c r="D910">
        <v>0</v>
      </c>
      <c r="E910" t="s">
        <v>3</v>
      </c>
      <c r="F910" t="s">
        <v>5</v>
      </c>
      <c r="G910">
        <v>3592.6393200000002</v>
      </c>
      <c r="H910" t="s">
        <v>4</v>
      </c>
      <c r="I910">
        <v>990.16341899999998</v>
      </c>
      <c r="J910">
        <v>2602.4759009999998</v>
      </c>
      <c r="K910" t="s">
        <v>6</v>
      </c>
      <c r="L910" t="s">
        <v>7</v>
      </c>
      <c r="M910" t="s">
        <v>8</v>
      </c>
      <c r="N910" t="s">
        <v>6</v>
      </c>
      <c r="O910" t="s">
        <v>3</v>
      </c>
      <c r="P910" t="s">
        <v>3</v>
      </c>
      <c r="Q910" t="s">
        <v>3</v>
      </c>
      <c r="R910" t="s">
        <v>3</v>
      </c>
      <c r="S910" t="s">
        <v>3</v>
      </c>
      <c r="T910" t="s">
        <v>7</v>
      </c>
      <c r="U910">
        <v>0</v>
      </c>
      <c r="V910">
        <v>0</v>
      </c>
      <c r="W910">
        <v>0</v>
      </c>
      <c r="X910">
        <v>0</v>
      </c>
      <c r="Y910">
        <v>0</v>
      </c>
      <c r="Z910" t="s">
        <v>20</v>
      </c>
      <c r="AA910" t="s">
        <v>4</v>
      </c>
      <c r="AB910" t="s">
        <v>6</v>
      </c>
      <c r="AC910" t="s">
        <v>7</v>
      </c>
      <c r="AD910" t="s">
        <v>8</v>
      </c>
      <c r="AE910" t="s">
        <v>6</v>
      </c>
      <c r="AF910" t="s">
        <v>3</v>
      </c>
      <c r="AG910" t="s">
        <v>3</v>
      </c>
      <c r="AH910" t="s">
        <v>3</v>
      </c>
      <c r="AI910" t="s">
        <v>3</v>
      </c>
      <c r="AJ910" t="s">
        <v>3</v>
      </c>
      <c r="AK910" t="s">
        <v>7</v>
      </c>
      <c r="AL910">
        <v>0</v>
      </c>
      <c r="AM910">
        <v>0</v>
      </c>
      <c r="AN910">
        <v>0</v>
      </c>
      <c r="AO910">
        <v>0</v>
      </c>
      <c r="AP910">
        <v>0</v>
      </c>
      <c r="AQ910" t="s">
        <v>9</v>
      </c>
      <c r="AR910" s="1">
        <v>9.9961174599999991E-4</v>
      </c>
      <c r="AS910" s="1">
        <v>6.9865707999999998E-24</v>
      </c>
      <c r="AT910">
        <v>37</v>
      </c>
      <c r="AU910" t="s">
        <v>10</v>
      </c>
      <c r="AV910">
        <v>0</v>
      </c>
      <c r="AW910">
        <v>0</v>
      </c>
      <c r="AX910">
        <v>0</v>
      </c>
      <c r="AY910">
        <v>0</v>
      </c>
      <c r="AZ910">
        <v>0</v>
      </c>
      <c r="BA910" t="s">
        <v>20</v>
      </c>
      <c r="BB910" t="s">
        <v>4</v>
      </c>
      <c r="BC910" t="s">
        <v>10</v>
      </c>
      <c r="BD910">
        <v>0</v>
      </c>
      <c r="BE910">
        <v>0</v>
      </c>
      <c r="BF910">
        <v>0</v>
      </c>
      <c r="BG910">
        <v>0</v>
      </c>
      <c r="BH910">
        <v>0</v>
      </c>
      <c r="BI910" t="s">
        <v>9</v>
      </c>
      <c r="BJ910">
        <v>9.9165999999999989E-4</v>
      </c>
      <c r="BK910">
        <v>0</v>
      </c>
      <c r="BL910">
        <v>1.2585999999999999E-4</v>
      </c>
      <c r="BM910" s="2">
        <f t="shared" si="14"/>
        <v>4.2074113066768632E-5</v>
      </c>
    </row>
    <row r="911" spans="1:65" x14ac:dyDescent="0.35">
      <c r="A911">
        <v>0</v>
      </c>
      <c r="B911" t="s">
        <v>11</v>
      </c>
      <c r="C911" t="s">
        <v>4</v>
      </c>
      <c r="D911">
        <v>0</v>
      </c>
      <c r="E911" t="s">
        <v>3</v>
      </c>
      <c r="F911" t="s">
        <v>5</v>
      </c>
      <c r="G911">
        <v>4706.9668899999997</v>
      </c>
      <c r="H911" t="s">
        <v>4</v>
      </c>
      <c r="I911">
        <v>990.16341899999998</v>
      </c>
      <c r="J911">
        <v>3716.8034710000002</v>
      </c>
      <c r="K911" t="s">
        <v>6</v>
      </c>
      <c r="L911" t="s">
        <v>7</v>
      </c>
      <c r="M911" t="s">
        <v>8</v>
      </c>
      <c r="N911" t="s">
        <v>6</v>
      </c>
      <c r="O911" t="s">
        <v>3</v>
      </c>
      <c r="P911" t="s">
        <v>3</v>
      </c>
      <c r="Q911" t="s">
        <v>3</v>
      </c>
      <c r="R911" t="s">
        <v>3</v>
      </c>
      <c r="S911" t="s">
        <v>11</v>
      </c>
      <c r="T911" t="s">
        <v>7</v>
      </c>
      <c r="U911">
        <v>0</v>
      </c>
      <c r="V911">
        <v>0</v>
      </c>
      <c r="W911">
        <v>0</v>
      </c>
      <c r="X911">
        <v>0</v>
      </c>
      <c r="Y911">
        <v>2</v>
      </c>
      <c r="Z911" t="s">
        <v>23</v>
      </c>
      <c r="AA911" t="s">
        <v>4</v>
      </c>
      <c r="AB911" t="s">
        <v>6</v>
      </c>
      <c r="AC911" t="s">
        <v>7</v>
      </c>
      <c r="AD911" t="s">
        <v>8</v>
      </c>
      <c r="AE911" t="s">
        <v>6</v>
      </c>
      <c r="AF911" t="s">
        <v>3</v>
      </c>
      <c r="AG911" t="s">
        <v>3</v>
      </c>
      <c r="AH911" t="s">
        <v>3</v>
      </c>
      <c r="AI911" t="s">
        <v>3</v>
      </c>
      <c r="AJ911" t="s">
        <v>3</v>
      </c>
      <c r="AK911" t="s">
        <v>7</v>
      </c>
      <c r="AL911">
        <v>0</v>
      </c>
      <c r="AM911">
        <v>0</v>
      </c>
      <c r="AN911">
        <v>0</v>
      </c>
      <c r="AO911">
        <v>0</v>
      </c>
      <c r="AP911">
        <v>0</v>
      </c>
      <c r="AQ911" t="s">
        <v>9</v>
      </c>
      <c r="AR911" s="1">
        <v>2.4796446000000001E-5</v>
      </c>
      <c r="AS911" s="1">
        <v>6.1399471500000002E-27</v>
      </c>
      <c r="AT911">
        <v>38</v>
      </c>
      <c r="AU911" t="s">
        <v>10</v>
      </c>
      <c r="AV911">
        <v>0</v>
      </c>
      <c r="AW911">
        <v>0</v>
      </c>
      <c r="AX911">
        <v>0</v>
      </c>
      <c r="AY911">
        <v>0</v>
      </c>
      <c r="AZ911">
        <v>2</v>
      </c>
      <c r="BA911" t="s">
        <v>23</v>
      </c>
      <c r="BB911" t="s">
        <v>4</v>
      </c>
      <c r="BC911" t="s">
        <v>10</v>
      </c>
      <c r="BD911">
        <v>0</v>
      </c>
      <c r="BE911">
        <v>0</v>
      </c>
      <c r="BF911">
        <v>0</v>
      </c>
      <c r="BG911">
        <v>0</v>
      </c>
      <c r="BH911">
        <v>0</v>
      </c>
      <c r="BI911" t="s">
        <v>9</v>
      </c>
      <c r="BJ911">
        <v>0</v>
      </c>
      <c r="BK911">
        <v>2.48E-5</v>
      </c>
      <c r="BL911">
        <v>0</v>
      </c>
      <c r="BM911" s="2">
        <f t="shared" si="14"/>
        <v>3.6975626241858717E-8</v>
      </c>
    </row>
    <row r="912" spans="1:65" x14ac:dyDescent="0.35">
      <c r="A912">
        <v>0</v>
      </c>
      <c r="B912" t="s">
        <v>3</v>
      </c>
      <c r="C912" t="s">
        <v>4</v>
      </c>
      <c r="D912">
        <v>0</v>
      </c>
      <c r="E912" t="s">
        <v>3</v>
      </c>
      <c r="F912" t="s">
        <v>5</v>
      </c>
      <c r="G912">
        <v>2560.1964619999999</v>
      </c>
      <c r="H912" t="s">
        <v>4</v>
      </c>
      <c r="I912">
        <v>990.16341899999998</v>
      </c>
      <c r="J912">
        <v>1570.0330429999999</v>
      </c>
      <c r="K912" t="s">
        <v>6</v>
      </c>
      <c r="L912" t="s">
        <v>7</v>
      </c>
      <c r="M912" t="s">
        <v>8</v>
      </c>
      <c r="N912" t="s">
        <v>6</v>
      </c>
      <c r="O912" t="s">
        <v>3</v>
      </c>
      <c r="P912" t="s">
        <v>3</v>
      </c>
      <c r="Q912" t="s">
        <v>3</v>
      </c>
      <c r="R912" t="s">
        <v>3</v>
      </c>
      <c r="S912" t="s">
        <v>3</v>
      </c>
      <c r="T912" t="s">
        <v>7</v>
      </c>
      <c r="U912">
        <v>0</v>
      </c>
      <c r="V912">
        <v>0</v>
      </c>
      <c r="W912">
        <v>0</v>
      </c>
      <c r="X912">
        <v>0</v>
      </c>
      <c r="Y912">
        <v>0</v>
      </c>
      <c r="Z912" t="s">
        <v>29</v>
      </c>
      <c r="AA912" t="s">
        <v>4</v>
      </c>
      <c r="AB912" t="s">
        <v>6</v>
      </c>
      <c r="AC912" t="s">
        <v>7</v>
      </c>
      <c r="AD912" t="s">
        <v>8</v>
      </c>
      <c r="AE912" t="s">
        <v>6</v>
      </c>
      <c r="AF912" t="s">
        <v>3</v>
      </c>
      <c r="AG912" t="s">
        <v>3</v>
      </c>
      <c r="AH912" t="s">
        <v>3</v>
      </c>
      <c r="AI912" t="s">
        <v>3</v>
      </c>
      <c r="AJ912" t="s">
        <v>3</v>
      </c>
      <c r="AK912" t="s">
        <v>7</v>
      </c>
      <c r="AL912">
        <v>0</v>
      </c>
      <c r="AM912">
        <v>0</v>
      </c>
      <c r="AN912">
        <v>0</v>
      </c>
      <c r="AO912">
        <v>0</v>
      </c>
      <c r="AP912">
        <v>0</v>
      </c>
      <c r="AQ912" t="s">
        <v>9</v>
      </c>
      <c r="AR912" s="1">
        <v>6.36544867E-3</v>
      </c>
      <c r="AS912" s="1">
        <v>1.7082886700000001E-22</v>
      </c>
      <c r="AT912">
        <v>37</v>
      </c>
      <c r="AU912" t="s">
        <v>10</v>
      </c>
      <c r="AV912">
        <v>0</v>
      </c>
      <c r="AW912">
        <v>0</v>
      </c>
      <c r="AX912">
        <v>0</v>
      </c>
      <c r="AY912">
        <v>0</v>
      </c>
      <c r="AZ912">
        <v>0</v>
      </c>
      <c r="BA912" t="s">
        <v>29</v>
      </c>
      <c r="BB912" t="s">
        <v>4</v>
      </c>
      <c r="BC912" t="s">
        <v>10</v>
      </c>
      <c r="BD912">
        <v>0</v>
      </c>
      <c r="BE912">
        <v>0</v>
      </c>
      <c r="BF912">
        <v>0</v>
      </c>
      <c r="BG912">
        <v>0</v>
      </c>
      <c r="BH912">
        <v>0</v>
      </c>
      <c r="BI912" t="s">
        <v>9</v>
      </c>
      <c r="BJ912">
        <v>1.1511900000000001E-3</v>
      </c>
      <c r="BK912">
        <v>0</v>
      </c>
      <c r="BL912">
        <v>-6.2604899999999996E-3</v>
      </c>
      <c r="BM912" s="2">
        <f t="shared" si="14"/>
        <v>1.0287554897784735E-3</v>
      </c>
    </row>
    <row r="913" spans="1:65" x14ac:dyDescent="0.35">
      <c r="A913">
        <v>0</v>
      </c>
      <c r="B913" t="s">
        <v>11</v>
      </c>
      <c r="C913" t="s">
        <v>4</v>
      </c>
      <c r="D913">
        <v>0</v>
      </c>
      <c r="E913" t="s">
        <v>3</v>
      </c>
      <c r="F913" t="s">
        <v>5</v>
      </c>
      <c r="G913">
        <v>3498.806004</v>
      </c>
      <c r="H913" t="s">
        <v>4</v>
      </c>
      <c r="I913">
        <v>990.16341899999998</v>
      </c>
      <c r="J913">
        <v>2508.6425850000001</v>
      </c>
      <c r="K913" t="s">
        <v>6</v>
      </c>
      <c r="L913" t="s">
        <v>7</v>
      </c>
      <c r="M913" t="s">
        <v>8</v>
      </c>
      <c r="N913" t="s">
        <v>6</v>
      </c>
      <c r="O913" t="s">
        <v>3</v>
      </c>
      <c r="P913" t="s">
        <v>3</v>
      </c>
      <c r="Q913" t="s">
        <v>3</v>
      </c>
      <c r="R913" t="s">
        <v>3</v>
      </c>
      <c r="S913" t="s">
        <v>11</v>
      </c>
      <c r="T913" t="s">
        <v>7</v>
      </c>
      <c r="U913">
        <v>2</v>
      </c>
      <c r="V913">
        <v>1</v>
      </c>
      <c r="W913">
        <v>0</v>
      </c>
      <c r="X913">
        <v>0</v>
      </c>
      <c r="Y913">
        <v>0</v>
      </c>
      <c r="Z913" t="s">
        <v>18</v>
      </c>
      <c r="AA913" t="s">
        <v>4</v>
      </c>
      <c r="AB913" t="s">
        <v>6</v>
      </c>
      <c r="AC913" t="s">
        <v>7</v>
      </c>
      <c r="AD913" t="s">
        <v>8</v>
      </c>
      <c r="AE913" t="s">
        <v>6</v>
      </c>
      <c r="AF913" t="s">
        <v>3</v>
      </c>
      <c r="AG913" t="s">
        <v>3</v>
      </c>
      <c r="AH913" t="s">
        <v>3</v>
      </c>
      <c r="AI913" t="s">
        <v>3</v>
      </c>
      <c r="AJ913" t="s">
        <v>3</v>
      </c>
      <c r="AK913" t="s">
        <v>7</v>
      </c>
      <c r="AL913">
        <v>0</v>
      </c>
      <c r="AM913">
        <v>0</v>
      </c>
      <c r="AN913">
        <v>0</v>
      </c>
      <c r="AO913">
        <v>0</v>
      </c>
      <c r="AP913">
        <v>0</v>
      </c>
      <c r="AQ913" t="s">
        <v>9</v>
      </c>
      <c r="AR913" s="1">
        <v>1.4787997099999999E-6</v>
      </c>
      <c r="AS913" s="1">
        <v>1.47391106E-29</v>
      </c>
      <c r="AT913">
        <v>43</v>
      </c>
      <c r="AU913" t="s">
        <v>10</v>
      </c>
      <c r="AV913">
        <v>2</v>
      </c>
      <c r="AW913">
        <v>1</v>
      </c>
      <c r="AX913">
        <v>0</v>
      </c>
      <c r="AY913">
        <v>0</v>
      </c>
      <c r="AZ913">
        <v>0</v>
      </c>
      <c r="BA913" t="s">
        <v>18</v>
      </c>
      <c r="BB913" t="s">
        <v>4</v>
      </c>
      <c r="BC913" t="s">
        <v>10</v>
      </c>
      <c r="BD913">
        <v>0</v>
      </c>
      <c r="BE913">
        <v>0</v>
      </c>
      <c r="BF913">
        <v>0</v>
      </c>
      <c r="BG913">
        <v>0</v>
      </c>
      <c r="BH913">
        <v>0</v>
      </c>
      <c r="BI913" t="s">
        <v>9</v>
      </c>
      <c r="BJ913">
        <v>0</v>
      </c>
      <c r="BK913">
        <v>-1.48E-6</v>
      </c>
      <c r="BL913">
        <v>0</v>
      </c>
      <c r="BM913" s="2">
        <f t="shared" si="14"/>
        <v>8.8760999299972487E-11</v>
      </c>
    </row>
    <row r="914" spans="1:65" x14ac:dyDescent="0.35">
      <c r="A914">
        <v>0</v>
      </c>
      <c r="B914" t="s">
        <v>3</v>
      </c>
      <c r="C914" t="s">
        <v>4</v>
      </c>
      <c r="D914">
        <v>0</v>
      </c>
      <c r="E914" t="s">
        <v>3</v>
      </c>
      <c r="F914" t="s">
        <v>5</v>
      </c>
      <c r="G914">
        <v>3966.2168799999999</v>
      </c>
      <c r="H914" t="s">
        <v>4</v>
      </c>
      <c r="I914">
        <v>990.16341899999998</v>
      </c>
      <c r="J914">
        <v>2976.0534600000001</v>
      </c>
      <c r="K914" t="s">
        <v>6</v>
      </c>
      <c r="L914" t="s">
        <v>7</v>
      </c>
      <c r="M914" t="s">
        <v>8</v>
      </c>
      <c r="N914" t="s">
        <v>6</v>
      </c>
      <c r="O914" t="s">
        <v>3</v>
      </c>
      <c r="P914" t="s">
        <v>3</v>
      </c>
      <c r="Q914" t="s">
        <v>3</v>
      </c>
      <c r="R914" t="s">
        <v>3</v>
      </c>
      <c r="S914" t="s">
        <v>3</v>
      </c>
      <c r="T914" t="s">
        <v>7</v>
      </c>
      <c r="U914">
        <v>0</v>
      </c>
      <c r="V914">
        <v>0</v>
      </c>
      <c r="W914">
        <v>1</v>
      </c>
      <c r="X914">
        <v>1</v>
      </c>
      <c r="Y914">
        <v>0</v>
      </c>
      <c r="Z914" t="s">
        <v>8</v>
      </c>
      <c r="AA914" t="s">
        <v>4</v>
      </c>
      <c r="AB914" t="s">
        <v>6</v>
      </c>
      <c r="AC914" t="s">
        <v>7</v>
      </c>
      <c r="AD914" t="s">
        <v>8</v>
      </c>
      <c r="AE914" t="s">
        <v>6</v>
      </c>
      <c r="AF914" t="s">
        <v>3</v>
      </c>
      <c r="AG914" t="s">
        <v>3</v>
      </c>
      <c r="AH914" t="s">
        <v>3</v>
      </c>
      <c r="AI914" t="s">
        <v>3</v>
      </c>
      <c r="AJ914" t="s">
        <v>3</v>
      </c>
      <c r="AK914" t="s">
        <v>7</v>
      </c>
      <c r="AL914">
        <v>0</v>
      </c>
      <c r="AM914">
        <v>0</v>
      </c>
      <c r="AN914">
        <v>0</v>
      </c>
      <c r="AO914">
        <v>0</v>
      </c>
      <c r="AP914">
        <v>0</v>
      </c>
      <c r="AQ914" t="s">
        <v>9</v>
      </c>
      <c r="AR914" s="1">
        <v>6.8029077699999997E-6</v>
      </c>
      <c r="AS914" s="1">
        <v>3.7003755899999999E-28</v>
      </c>
      <c r="AT914">
        <v>37</v>
      </c>
      <c r="AU914" t="s">
        <v>10</v>
      </c>
      <c r="AV914">
        <v>0</v>
      </c>
      <c r="AW914">
        <v>0</v>
      </c>
      <c r="AX914">
        <v>1</v>
      </c>
      <c r="AY914">
        <v>1</v>
      </c>
      <c r="AZ914">
        <v>0</v>
      </c>
      <c r="BA914" t="s">
        <v>8</v>
      </c>
      <c r="BB914" t="s">
        <v>4</v>
      </c>
      <c r="BC914" t="s">
        <v>10</v>
      </c>
      <c r="BD914">
        <v>0</v>
      </c>
      <c r="BE914">
        <v>0</v>
      </c>
      <c r="BF914">
        <v>0</v>
      </c>
      <c r="BG914">
        <v>0</v>
      </c>
      <c r="BH914">
        <v>0</v>
      </c>
      <c r="BI914" t="s">
        <v>9</v>
      </c>
      <c r="BJ914">
        <v>5.8000000000000004E-6</v>
      </c>
      <c r="BK914">
        <v>0</v>
      </c>
      <c r="BL914">
        <v>-3.5599999999999998E-6</v>
      </c>
      <c r="BM914" s="2">
        <f t="shared" si="14"/>
        <v>2.2284182815863072E-9</v>
      </c>
    </row>
    <row r="915" spans="1:65" x14ac:dyDescent="0.35">
      <c r="A915">
        <v>0</v>
      </c>
      <c r="B915" t="s">
        <v>3</v>
      </c>
      <c r="C915" t="s">
        <v>4</v>
      </c>
      <c r="D915">
        <v>0</v>
      </c>
      <c r="E915" t="s">
        <v>3</v>
      </c>
      <c r="F915" t="s">
        <v>5</v>
      </c>
      <c r="G915">
        <v>2858.9220169999999</v>
      </c>
      <c r="H915" t="s">
        <v>4</v>
      </c>
      <c r="I915">
        <v>990.16341899999998</v>
      </c>
      <c r="J915">
        <v>1868.7585979999999</v>
      </c>
      <c r="K915" t="s">
        <v>6</v>
      </c>
      <c r="L915" t="s">
        <v>7</v>
      </c>
      <c r="M915" t="s">
        <v>8</v>
      </c>
      <c r="N915" t="s">
        <v>6</v>
      </c>
      <c r="O915" t="s">
        <v>3</v>
      </c>
      <c r="P915" t="s">
        <v>3</v>
      </c>
      <c r="Q915" t="s">
        <v>3</v>
      </c>
      <c r="R915" t="s">
        <v>3</v>
      </c>
      <c r="S915" t="s">
        <v>3</v>
      </c>
      <c r="T915" t="s">
        <v>7</v>
      </c>
      <c r="U915">
        <v>0</v>
      </c>
      <c r="V915">
        <v>0</v>
      </c>
      <c r="W915">
        <v>0</v>
      </c>
      <c r="X915">
        <v>0</v>
      </c>
      <c r="Y915">
        <v>1</v>
      </c>
      <c r="Z915" t="s">
        <v>21</v>
      </c>
      <c r="AA915" t="s">
        <v>4</v>
      </c>
      <c r="AB915" t="s">
        <v>6</v>
      </c>
      <c r="AC915" t="s">
        <v>7</v>
      </c>
      <c r="AD915" t="s">
        <v>8</v>
      </c>
      <c r="AE915" t="s">
        <v>6</v>
      </c>
      <c r="AF915" t="s">
        <v>3</v>
      </c>
      <c r="AG915" t="s">
        <v>3</v>
      </c>
      <c r="AH915" t="s">
        <v>3</v>
      </c>
      <c r="AI915" t="s">
        <v>3</v>
      </c>
      <c r="AJ915" t="s">
        <v>3</v>
      </c>
      <c r="AK915" t="s">
        <v>7</v>
      </c>
      <c r="AL915">
        <v>0</v>
      </c>
      <c r="AM915">
        <v>0</v>
      </c>
      <c r="AN915">
        <v>0</v>
      </c>
      <c r="AO915">
        <v>0</v>
      </c>
      <c r="AP915">
        <v>0</v>
      </c>
      <c r="AQ915" t="s">
        <v>9</v>
      </c>
      <c r="AR915" s="1">
        <v>1.4961498700000001E-2</v>
      </c>
      <c r="AS915" s="1">
        <v>1.12374341E-21</v>
      </c>
      <c r="AT915">
        <v>37</v>
      </c>
      <c r="AU915" t="s">
        <v>10</v>
      </c>
      <c r="AV915">
        <v>0</v>
      </c>
      <c r="AW915">
        <v>0</v>
      </c>
      <c r="AX915">
        <v>0</v>
      </c>
      <c r="AY915">
        <v>0</v>
      </c>
      <c r="AZ915">
        <v>1</v>
      </c>
      <c r="BA915" t="s">
        <v>21</v>
      </c>
      <c r="BB915" t="s">
        <v>4</v>
      </c>
      <c r="BC915" t="s">
        <v>10</v>
      </c>
      <c r="BD915">
        <v>0</v>
      </c>
      <c r="BE915">
        <v>0</v>
      </c>
      <c r="BF915">
        <v>0</v>
      </c>
      <c r="BG915">
        <v>0</v>
      </c>
      <c r="BH915">
        <v>0</v>
      </c>
      <c r="BI915" t="s">
        <v>9</v>
      </c>
      <c r="BJ915">
        <v>1.226494E-2</v>
      </c>
      <c r="BK915">
        <v>0</v>
      </c>
      <c r="BL915">
        <v>-8.5684200000000002E-3</v>
      </c>
      <c r="BM915" s="2">
        <f t="shared" si="14"/>
        <v>6.767341038092128E-3</v>
      </c>
    </row>
    <row r="916" spans="1:65" x14ac:dyDescent="0.35">
      <c r="A916">
        <v>0</v>
      </c>
      <c r="B916" t="s">
        <v>11</v>
      </c>
      <c r="C916" t="s">
        <v>4</v>
      </c>
      <c r="D916">
        <v>0</v>
      </c>
      <c r="E916" t="s">
        <v>3</v>
      </c>
      <c r="F916" t="s">
        <v>5</v>
      </c>
      <c r="G916">
        <v>4871.0720179999998</v>
      </c>
      <c r="H916" t="s">
        <v>4</v>
      </c>
      <c r="I916">
        <v>990.16341899999998</v>
      </c>
      <c r="J916">
        <v>3880.9085989999999</v>
      </c>
      <c r="K916" t="s">
        <v>6</v>
      </c>
      <c r="L916" t="s">
        <v>7</v>
      </c>
      <c r="M916" t="s">
        <v>8</v>
      </c>
      <c r="N916" t="s">
        <v>6</v>
      </c>
      <c r="O916" t="s">
        <v>3</v>
      </c>
      <c r="P916" t="s">
        <v>3</v>
      </c>
      <c r="Q916" t="s">
        <v>3</v>
      </c>
      <c r="R916" t="s">
        <v>3</v>
      </c>
      <c r="S916" t="s">
        <v>11</v>
      </c>
      <c r="T916" t="s">
        <v>7</v>
      </c>
      <c r="U916">
        <v>3</v>
      </c>
      <c r="V916">
        <v>0</v>
      </c>
      <c r="W916">
        <v>0</v>
      </c>
      <c r="X916">
        <v>0</v>
      </c>
      <c r="Y916">
        <v>2</v>
      </c>
      <c r="Z916" t="s">
        <v>18</v>
      </c>
      <c r="AA916" t="s">
        <v>4</v>
      </c>
      <c r="AB916" t="s">
        <v>6</v>
      </c>
      <c r="AC916" t="s">
        <v>7</v>
      </c>
      <c r="AD916" t="s">
        <v>8</v>
      </c>
      <c r="AE916" t="s">
        <v>6</v>
      </c>
      <c r="AF916" t="s">
        <v>3</v>
      </c>
      <c r="AG916" t="s">
        <v>3</v>
      </c>
      <c r="AH916" t="s">
        <v>3</v>
      </c>
      <c r="AI916" t="s">
        <v>3</v>
      </c>
      <c r="AJ916" t="s">
        <v>3</v>
      </c>
      <c r="AK916" t="s">
        <v>7</v>
      </c>
      <c r="AL916">
        <v>0</v>
      </c>
      <c r="AM916">
        <v>0</v>
      </c>
      <c r="AN916">
        <v>0</v>
      </c>
      <c r="AO916">
        <v>0</v>
      </c>
      <c r="AP916">
        <v>0</v>
      </c>
      <c r="AQ916" t="s">
        <v>9</v>
      </c>
      <c r="AR916" s="1">
        <v>2.7642802000000001E-7</v>
      </c>
      <c r="AS916" s="1">
        <v>7.9673463999999995E-31</v>
      </c>
      <c r="AT916">
        <v>39</v>
      </c>
      <c r="AU916" t="s">
        <v>10</v>
      </c>
      <c r="AV916">
        <v>3</v>
      </c>
      <c r="AW916">
        <v>0</v>
      </c>
      <c r="AX916">
        <v>0</v>
      </c>
      <c r="AY916">
        <v>0</v>
      </c>
      <c r="AZ916">
        <v>2</v>
      </c>
      <c r="BA916" t="s">
        <v>18</v>
      </c>
      <c r="BB916" t="s">
        <v>4</v>
      </c>
      <c r="BC916" t="s">
        <v>10</v>
      </c>
      <c r="BD916">
        <v>0</v>
      </c>
      <c r="BE916">
        <v>0</v>
      </c>
      <c r="BF916">
        <v>0</v>
      </c>
      <c r="BG916">
        <v>0</v>
      </c>
      <c r="BH916">
        <v>0</v>
      </c>
      <c r="BI916" t="s">
        <v>9</v>
      </c>
      <c r="BJ916">
        <v>0</v>
      </c>
      <c r="BK916">
        <v>-2.8000000000000002E-7</v>
      </c>
      <c r="BL916">
        <v>0</v>
      </c>
      <c r="BM916" s="2">
        <f t="shared" si="14"/>
        <v>4.7980481823173115E-12</v>
      </c>
    </row>
    <row r="917" spans="1:65" x14ac:dyDescent="0.35">
      <c r="A917">
        <v>0</v>
      </c>
      <c r="B917" t="s">
        <v>3</v>
      </c>
      <c r="C917" t="s">
        <v>4</v>
      </c>
      <c r="D917">
        <v>0</v>
      </c>
      <c r="E917" t="s">
        <v>3</v>
      </c>
      <c r="F917" t="s">
        <v>5</v>
      </c>
      <c r="G917">
        <v>4573.193878</v>
      </c>
      <c r="H917" t="s">
        <v>4</v>
      </c>
      <c r="I917">
        <v>990.16341899999998</v>
      </c>
      <c r="J917">
        <v>3583.0304590000001</v>
      </c>
      <c r="K917" t="s">
        <v>6</v>
      </c>
      <c r="L917" t="s">
        <v>7</v>
      </c>
      <c r="M917" t="s">
        <v>8</v>
      </c>
      <c r="N917" t="s">
        <v>6</v>
      </c>
      <c r="O917" t="s">
        <v>3</v>
      </c>
      <c r="P917" t="s">
        <v>3</v>
      </c>
      <c r="Q917" t="s">
        <v>3</v>
      </c>
      <c r="R917" t="s">
        <v>3</v>
      </c>
      <c r="S917" t="s">
        <v>3</v>
      </c>
      <c r="T917" t="s">
        <v>7</v>
      </c>
      <c r="U917">
        <v>1</v>
      </c>
      <c r="V917">
        <v>0</v>
      </c>
      <c r="W917">
        <v>0</v>
      </c>
      <c r="X917">
        <v>1</v>
      </c>
      <c r="Y917">
        <v>0</v>
      </c>
      <c r="Z917" t="s">
        <v>17</v>
      </c>
      <c r="AA917" t="s">
        <v>4</v>
      </c>
      <c r="AB917" t="s">
        <v>6</v>
      </c>
      <c r="AC917" t="s">
        <v>7</v>
      </c>
      <c r="AD917" t="s">
        <v>8</v>
      </c>
      <c r="AE917" t="s">
        <v>6</v>
      </c>
      <c r="AF917" t="s">
        <v>3</v>
      </c>
      <c r="AG917" t="s">
        <v>3</v>
      </c>
      <c r="AH917" t="s">
        <v>3</v>
      </c>
      <c r="AI917" t="s">
        <v>3</v>
      </c>
      <c r="AJ917" t="s">
        <v>3</v>
      </c>
      <c r="AK917" t="s">
        <v>7</v>
      </c>
      <c r="AL917">
        <v>0</v>
      </c>
      <c r="AM917">
        <v>0</v>
      </c>
      <c r="AN917">
        <v>0</v>
      </c>
      <c r="AO917">
        <v>0</v>
      </c>
      <c r="AP917">
        <v>0</v>
      </c>
      <c r="AQ917" t="s">
        <v>9</v>
      </c>
      <c r="AR917" s="1">
        <v>3.8645482300000002E-4</v>
      </c>
      <c r="AS917" s="1">
        <v>1.4376862300000001E-24</v>
      </c>
      <c r="AT917">
        <v>37</v>
      </c>
      <c r="AU917" t="s">
        <v>10</v>
      </c>
      <c r="AV917">
        <v>1</v>
      </c>
      <c r="AW917">
        <v>0</v>
      </c>
      <c r="AX917">
        <v>0</v>
      </c>
      <c r="AY917">
        <v>1</v>
      </c>
      <c r="AZ917">
        <v>0</v>
      </c>
      <c r="BA917" t="s">
        <v>17</v>
      </c>
      <c r="BB917" t="s">
        <v>4</v>
      </c>
      <c r="BC917" t="s">
        <v>10</v>
      </c>
      <c r="BD917">
        <v>0</v>
      </c>
      <c r="BE917">
        <v>0</v>
      </c>
      <c r="BF917">
        <v>0</v>
      </c>
      <c r="BG917">
        <v>0</v>
      </c>
      <c r="BH917">
        <v>0</v>
      </c>
      <c r="BI917" t="s">
        <v>9</v>
      </c>
      <c r="BJ917">
        <v>3.0768000000000001E-4</v>
      </c>
      <c r="BK917">
        <v>0</v>
      </c>
      <c r="BL917">
        <v>-2.3384E-4</v>
      </c>
      <c r="BM917" s="2">
        <f t="shared" si="14"/>
        <v>8.6579489032811851E-6</v>
      </c>
    </row>
    <row r="918" spans="1:65" x14ac:dyDescent="0.35">
      <c r="A918">
        <v>0</v>
      </c>
      <c r="B918" t="s">
        <v>3</v>
      </c>
      <c r="C918" t="s">
        <v>4</v>
      </c>
      <c r="D918">
        <v>0</v>
      </c>
      <c r="E918" t="s">
        <v>3</v>
      </c>
      <c r="F918" t="s">
        <v>5</v>
      </c>
      <c r="G918">
        <v>4085.1788230000002</v>
      </c>
      <c r="H918" t="s">
        <v>4</v>
      </c>
      <c r="I918">
        <v>990.16341899999998</v>
      </c>
      <c r="J918">
        <v>3095.0154040000002</v>
      </c>
      <c r="K918" t="s">
        <v>6</v>
      </c>
      <c r="L918" t="s">
        <v>7</v>
      </c>
      <c r="M918" t="s">
        <v>8</v>
      </c>
      <c r="N918" t="s">
        <v>6</v>
      </c>
      <c r="O918" t="s">
        <v>3</v>
      </c>
      <c r="P918" t="s">
        <v>3</v>
      </c>
      <c r="Q918" t="s">
        <v>3</v>
      </c>
      <c r="R918" t="s">
        <v>3</v>
      </c>
      <c r="S918" t="s">
        <v>3</v>
      </c>
      <c r="T918" t="s">
        <v>7</v>
      </c>
      <c r="U918">
        <v>1</v>
      </c>
      <c r="V918">
        <v>0</v>
      </c>
      <c r="W918">
        <v>0</v>
      </c>
      <c r="X918">
        <v>0</v>
      </c>
      <c r="Y918">
        <v>0</v>
      </c>
      <c r="Z918" t="s">
        <v>17</v>
      </c>
      <c r="AA918" t="s">
        <v>4</v>
      </c>
      <c r="AB918" t="s">
        <v>6</v>
      </c>
      <c r="AC918" t="s">
        <v>7</v>
      </c>
      <c r="AD918" t="s">
        <v>8</v>
      </c>
      <c r="AE918" t="s">
        <v>6</v>
      </c>
      <c r="AF918" t="s">
        <v>3</v>
      </c>
      <c r="AG918" t="s">
        <v>3</v>
      </c>
      <c r="AH918" t="s">
        <v>3</v>
      </c>
      <c r="AI918" t="s">
        <v>3</v>
      </c>
      <c r="AJ918" t="s">
        <v>3</v>
      </c>
      <c r="AK918" t="s">
        <v>7</v>
      </c>
      <c r="AL918">
        <v>0</v>
      </c>
      <c r="AM918">
        <v>0</v>
      </c>
      <c r="AN918">
        <v>0</v>
      </c>
      <c r="AO918">
        <v>0</v>
      </c>
      <c r="AP918">
        <v>0</v>
      </c>
      <c r="AQ918" t="s">
        <v>9</v>
      </c>
      <c r="AR918" s="1">
        <v>3.7308093299999998E-4</v>
      </c>
      <c r="AS918" s="1">
        <v>1.1574039099999999E-24</v>
      </c>
      <c r="AT918">
        <v>39</v>
      </c>
      <c r="AU918" t="s">
        <v>10</v>
      </c>
      <c r="AV918">
        <v>1</v>
      </c>
      <c r="AW918">
        <v>0</v>
      </c>
      <c r="AX918">
        <v>0</v>
      </c>
      <c r="AY918">
        <v>0</v>
      </c>
      <c r="AZ918">
        <v>0</v>
      </c>
      <c r="BA918" t="s">
        <v>17</v>
      </c>
      <c r="BB918" t="s">
        <v>4</v>
      </c>
      <c r="BC918" t="s">
        <v>10</v>
      </c>
      <c r="BD918">
        <v>0</v>
      </c>
      <c r="BE918">
        <v>0</v>
      </c>
      <c r="BF918">
        <v>0</v>
      </c>
      <c r="BG918">
        <v>0</v>
      </c>
      <c r="BH918">
        <v>0</v>
      </c>
      <c r="BI918" t="s">
        <v>9</v>
      </c>
      <c r="BJ918">
        <v>3.7206000000000001E-4</v>
      </c>
      <c r="BK918">
        <v>0</v>
      </c>
      <c r="BL918">
        <v>2.76E-5</v>
      </c>
      <c r="BM918" s="2">
        <f t="shared" si="14"/>
        <v>6.9700493084905268E-6</v>
      </c>
    </row>
    <row r="919" spans="1:65" x14ac:dyDescent="0.35">
      <c r="A919">
        <v>0</v>
      </c>
      <c r="B919" t="s">
        <v>11</v>
      </c>
      <c r="C919" t="s">
        <v>4</v>
      </c>
      <c r="D919">
        <v>0</v>
      </c>
      <c r="E919" t="s">
        <v>3</v>
      </c>
      <c r="F919" t="s">
        <v>5</v>
      </c>
      <c r="G919">
        <v>4355.6597250000004</v>
      </c>
      <c r="H919" t="s">
        <v>4</v>
      </c>
      <c r="I919">
        <v>990.16341899999998</v>
      </c>
      <c r="J919">
        <v>3365.496306</v>
      </c>
      <c r="K919" t="s">
        <v>6</v>
      </c>
      <c r="L919" t="s">
        <v>7</v>
      </c>
      <c r="M919" t="s">
        <v>8</v>
      </c>
      <c r="N919" t="s">
        <v>6</v>
      </c>
      <c r="O919" t="s">
        <v>3</v>
      </c>
      <c r="P919" t="s">
        <v>3</v>
      </c>
      <c r="Q919" t="s">
        <v>3</v>
      </c>
      <c r="R919" t="s">
        <v>3</v>
      </c>
      <c r="S919" t="s">
        <v>11</v>
      </c>
      <c r="T919" t="s">
        <v>7</v>
      </c>
      <c r="U919">
        <v>1</v>
      </c>
      <c r="V919">
        <v>1</v>
      </c>
      <c r="W919">
        <v>0</v>
      </c>
      <c r="X919">
        <v>0</v>
      </c>
      <c r="Y919">
        <v>0</v>
      </c>
      <c r="Z919" t="s">
        <v>12</v>
      </c>
      <c r="AA919" t="s">
        <v>4</v>
      </c>
      <c r="AB919" t="s">
        <v>6</v>
      </c>
      <c r="AC919" t="s">
        <v>7</v>
      </c>
      <c r="AD919" t="s">
        <v>8</v>
      </c>
      <c r="AE919" t="s">
        <v>6</v>
      </c>
      <c r="AF919" t="s">
        <v>3</v>
      </c>
      <c r="AG919" t="s">
        <v>3</v>
      </c>
      <c r="AH919" t="s">
        <v>3</v>
      </c>
      <c r="AI919" t="s">
        <v>3</v>
      </c>
      <c r="AJ919" t="s">
        <v>3</v>
      </c>
      <c r="AK919" t="s">
        <v>7</v>
      </c>
      <c r="AL919">
        <v>0</v>
      </c>
      <c r="AM919">
        <v>0</v>
      </c>
      <c r="AN919">
        <v>0</v>
      </c>
      <c r="AO919">
        <v>0</v>
      </c>
      <c r="AP919">
        <v>0</v>
      </c>
      <c r="AQ919" t="s">
        <v>9</v>
      </c>
      <c r="AR919" s="1">
        <v>3.0609613899999999E-5</v>
      </c>
      <c r="AS919" s="1">
        <v>8.4719024599999997E-27</v>
      </c>
      <c r="AT919">
        <v>38</v>
      </c>
      <c r="AU919" t="s">
        <v>10</v>
      </c>
      <c r="AV919">
        <v>1</v>
      </c>
      <c r="AW919">
        <v>1</v>
      </c>
      <c r="AX919">
        <v>0</v>
      </c>
      <c r="AY919">
        <v>0</v>
      </c>
      <c r="AZ919">
        <v>0</v>
      </c>
      <c r="BA919" t="s">
        <v>12</v>
      </c>
      <c r="BB919" t="s">
        <v>4</v>
      </c>
      <c r="BC919" t="s">
        <v>10</v>
      </c>
      <c r="BD919">
        <v>0</v>
      </c>
      <c r="BE919">
        <v>0</v>
      </c>
      <c r="BF919">
        <v>0</v>
      </c>
      <c r="BG919">
        <v>0</v>
      </c>
      <c r="BH919">
        <v>0</v>
      </c>
      <c r="BI919" t="s">
        <v>9</v>
      </c>
      <c r="BJ919">
        <v>0</v>
      </c>
      <c r="BK919">
        <v>3.061E-5</v>
      </c>
      <c r="BL919">
        <v>0</v>
      </c>
      <c r="BM919" s="2">
        <f t="shared" si="14"/>
        <v>5.1018989457986368E-8</v>
      </c>
    </row>
    <row r="920" spans="1:65" x14ac:dyDescent="0.35">
      <c r="A920">
        <v>0</v>
      </c>
      <c r="B920" t="s">
        <v>3</v>
      </c>
      <c r="C920" t="s">
        <v>4</v>
      </c>
      <c r="D920">
        <v>0</v>
      </c>
      <c r="E920" t="s">
        <v>3</v>
      </c>
      <c r="F920" t="s">
        <v>5</v>
      </c>
      <c r="G920">
        <v>3343.8183469999999</v>
      </c>
      <c r="H920" t="s">
        <v>4</v>
      </c>
      <c r="I920">
        <v>990.16341899999998</v>
      </c>
      <c r="J920">
        <v>2353.6549279999999</v>
      </c>
      <c r="K920" t="s">
        <v>6</v>
      </c>
      <c r="L920" t="s">
        <v>7</v>
      </c>
      <c r="M920" t="s">
        <v>8</v>
      </c>
      <c r="N920" t="s">
        <v>6</v>
      </c>
      <c r="O920" t="s">
        <v>3</v>
      </c>
      <c r="P920" t="s">
        <v>3</v>
      </c>
      <c r="Q920" t="s">
        <v>3</v>
      </c>
      <c r="R920" t="s">
        <v>3</v>
      </c>
      <c r="S920" t="s">
        <v>3</v>
      </c>
      <c r="T920" t="s">
        <v>7</v>
      </c>
      <c r="U920">
        <v>0</v>
      </c>
      <c r="V920">
        <v>1</v>
      </c>
      <c r="W920">
        <v>0</v>
      </c>
      <c r="X920">
        <v>4</v>
      </c>
      <c r="Y920">
        <v>0</v>
      </c>
      <c r="Z920" t="s">
        <v>8</v>
      </c>
      <c r="AA920" t="s">
        <v>4</v>
      </c>
      <c r="AB920" t="s">
        <v>6</v>
      </c>
      <c r="AC920" t="s">
        <v>7</v>
      </c>
      <c r="AD920" t="s">
        <v>8</v>
      </c>
      <c r="AE920" t="s">
        <v>6</v>
      </c>
      <c r="AF920" t="s">
        <v>3</v>
      </c>
      <c r="AG920" t="s">
        <v>3</v>
      </c>
      <c r="AH920" t="s">
        <v>3</v>
      </c>
      <c r="AI920" t="s">
        <v>3</v>
      </c>
      <c r="AJ920" t="s">
        <v>3</v>
      </c>
      <c r="AK920" t="s">
        <v>7</v>
      </c>
      <c r="AL920">
        <v>0</v>
      </c>
      <c r="AM920">
        <v>0</v>
      </c>
      <c r="AN920">
        <v>0</v>
      </c>
      <c r="AO920">
        <v>0</v>
      </c>
      <c r="AP920">
        <v>0</v>
      </c>
      <c r="AQ920" t="s">
        <v>9</v>
      </c>
      <c r="AR920" s="1">
        <v>2.09725249E-5</v>
      </c>
      <c r="AS920" s="1">
        <v>2.78134812E-27</v>
      </c>
      <c r="AT920">
        <v>43</v>
      </c>
      <c r="AU920" t="s">
        <v>10</v>
      </c>
      <c r="AV920">
        <v>0</v>
      </c>
      <c r="AW920">
        <v>1</v>
      </c>
      <c r="AX920">
        <v>0</v>
      </c>
      <c r="AY920">
        <v>4</v>
      </c>
      <c r="AZ920">
        <v>0</v>
      </c>
      <c r="BA920" t="s">
        <v>8</v>
      </c>
      <c r="BB920" t="s">
        <v>4</v>
      </c>
      <c r="BC920" t="s">
        <v>10</v>
      </c>
      <c r="BD920">
        <v>0</v>
      </c>
      <c r="BE920">
        <v>0</v>
      </c>
      <c r="BF920">
        <v>0</v>
      </c>
      <c r="BG920">
        <v>0</v>
      </c>
      <c r="BH920">
        <v>0</v>
      </c>
      <c r="BI920" t="s">
        <v>9</v>
      </c>
      <c r="BJ920">
        <v>2.0800000000000001E-5</v>
      </c>
      <c r="BK920">
        <v>0</v>
      </c>
      <c r="BL920">
        <v>-2.6699999999999998E-6</v>
      </c>
      <c r="BM920" s="2">
        <f t="shared" si="14"/>
        <v>1.6749669992455294E-8</v>
      </c>
    </row>
    <row r="921" spans="1:65" x14ac:dyDescent="0.35">
      <c r="A921">
        <v>0</v>
      </c>
      <c r="B921" t="s">
        <v>3</v>
      </c>
      <c r="C921" t="s">
        <v>4</v>
      </c>
      <c r="D921">
        <v>0</v>
      </c>
      <c r="E921" t="s">
        <v>3</v>
      </c>
      <c r="F921" t="s">
        <v>5</v>
      </c>
      <c r="G921">
        <v>4463.3138840000001</v>
      </c>
      <c r="H921" t="s">
        <v>4</v>
      </c>
      <c r="I921">
        <v>990.16341899999998</v>
      </c>
      <c r="J921">
        <v>3473.1504650000002</v>
      </c>
      <c r="K921" t="s">
        <v>6</v>
      </c>
      <c r="L921" t="s">
        <v>7</v>
      </c>
      <c r="M921" t="s">
        <v>8</v>
      </c>
      <c r="N921" t="s">
        <v>6</v>
      </c>
      <c r="O921" t="s">
        <v>3</v>
      </c>
      <c r="P921" t="s">
        <v>3</v>
      </c>
      <c r="Q921" t="s">
        <v>3</v>
      </c>
      <c r="R921" t="s">
        <v>3</v>
      </c>
      <c r="S921" t="s">
        <v>3</v>
      </c>
      <c r="T921" t="s">
        <v>7</v>
      </c>
      <c r="U921">
        <v>0</v>
      </c>
      <c r="V921">
        <v>2</v>
      </c>
      <c r="W921">
        <v>0</v>
      </c>
      <c r="X921">
        <v>0</v>
      </c>
      <c r="Y921">
        <v>1</v>
      </c>
      <c r="Z921" t="s">
        <v>9</v>
      </c>
      <c r="AA921" t="s">
        <v>4</v>
      </c>
      <c r="AB921" t="s">
        <v>6</v>
      </c>
      <c r="AC921" t="s">
        <v>7</v>
      </c>
      <c r="AD921" t="s">
        <v>8</v>
      </c>
      <c r="AE921" t="s">
        <v>6</v>
      </c>
      <c r="AF921" t="s">
        <v>3</v>
      </c>
      <c r="AG921" t="s">
        <v>3</v>
      </c>
      <c r="AH921" t="s">
        <v>3</v>
      </c>
      <c r="AI921" t="s">
        <v>3</v>
      </c>
      <c r="AJ921" t="s">
        <v>3</v>
      </c>
      <c r="AK921" t="s">
        <v>7</v>
      </c>
      <c r="AL921">
        <v>0</v>
      </c>
      <c r="AM921">
        <v>0</v>
      </c>
      <c r="AN921">
        <v>0</v>
      </c>
      <c r="AO921">
        <v>0</v>
      </c>
      <c r="AP921">
        <v>0</v>
      </c>
      <c r="AQ921" t="s">
        <v>9</v>
      </c>
      <c r="AR921" s="1">
        <v>1.02616115E-4</v>
      </c>
      <c r="AS921" s="1">
        <v>9.8258668500000003E-26</v>
      </c>
      <c r="AT921">
        <v>24</v>
      </c>
      <c r="AU921" t="s">
        <v>10</v>
      </c>
      <c r="AV921">
        <v>0</v>
      </c>
      <c r="AW921">
        <v>2</v>
      </c>
      <c r="AX921">
        <v>0</v>
      </c>
      <c r="AY921">
        <v>0</v>
      </c>
      <c r="AZ921">
        <v>1</v>
      </c>
      <c r="BA921" t="s">
        <v>9</v>
      </c>
      <c r="BB921" t="s">
        <v>4</v>
      </c>
      <c r="BC921" t="s">
        <v>10</v>
      </c>
      <c r="BD921">
        <v>0</v>
      </c>
      <c r="BE921">
        <v>0</v>
      </c>
      <c r="BF921">
        <v>0</v>
      </c>
      <c r="BG921">
        <v>0</v>
      </c>
      <c r="BH921">
        <v>0</v>
      </c>
      <c r="BI921" t="s">
        <v>9</v>
      </c>
      <c r="BJ921">
        <v>1.026E-4</v>
      </c>
      <c r="BK921">
        <v>0</v>
      </c>
      <c r="BL921">
        <v>1.6500000000000001E-6</v>
      </c>
      <c r="BM921" s="2">
        <f t="shared" si="14"/>
        <v>5.9172753652752484E-7</v>
      </c>
    </row>
    <row r="922" spans="1:65" x14ac:dyDescent="0.35">
      <c r="A922">
        <v>0</v>
      </c>
      <c r="B922" t="s">
        <v>11</v>
      </c>
      <c r="C922" t="s">
        <v>4</v>
      </c>
      <c r="D922">
        <v>0</v>
      </c>
      <c r="E922" t="s">
        <v>3</v>
      </c>
      <c r="F922" t="s">
        <v>5</v>
      </c>
      <c r="G922">
        <v>4272.6717760000001</v>
      </c>
      <c r="H922" t="s">
        <v>4</v>
      </c>
      <c r="I922">
        <v>990.16341899999998</v>
      </c>
      <c r="J922">
        <v>3282.5083570000002</v>
      </c>
      <c r="K922" t="s">
        <v>6</v>
      </c>
      <c r="L922" t="s">
        <v>7</v>
      </c>
      <c r="M922" t="s">
        <v>8</v>
      </c>
      <c r="N922" t="s">
        <v>6</v>
      </c>
      <c r="O922" t="s">
        <v>3</v>
      </c>
      <c r="P922" t="s">
        <v>3</v>
      </c>
      <c r="Q922" t="s">
        <v>3</v>
      </c>
      <c r="R922" t="s">
        <v>3</v>
      </c>
      <c r="S922" t="s">
        <v>11</v>
      </c>
      <c r="T922" t="s">
        <v>7</v>
      </c>
      <c r="U922">
        <v>2</v>
      </c>
      <c r="V922">
        <v>0</v>
      </c>
      <c r="W922">
        <v>0</v>
      </c>
      <c r="X922">
        <v>0</v>
      </c>
      <c r="Y922">
        <v>1</v>
      </c>
      <c r="Z922" t="s">
        <v>13</v>
      </c>
      <c r="AA922" t="s">
        <v>4</v>
      </c>
      <c r="AB922" t="s">
        <v>6</v>
      </c>
      <c r="AC922" t="s">
        <v>7</v>
      </c>
      <c r="AD922" t="s">
        <v>8</v>
      </c>
      <c r="AE922" t="s">
        <v>6</v>
      </c>
      <c r="AF922" t="s">
        <v>3</v>
      </c>
      <c r="AG922" t="s">
        <v>3</v>
      </c>
      <c r="AH922" t="s">
        <v>3</v>
      </c>
      <c r="AI922" t="s">
        <v>3</v>
      </c>
      <c r="AJ922" t="s">
        <v>3</v>
      </c>
      <c r="AK922" t="s">
        <v>7</v>
      </c>
      <c r="AL922">
        <v>0</v>
      </c>
      <c r="AM922">
        <v>0</v>
      </c>
      <c r="AN922">
        <v>0</v>
      </c>
      <c r="AO922">
        <v>0</v>
      </c>
      <c r="AP922">
        <v>0</v>
      </c>
      <c r="AQ922" t="s">
        <v>9</v>
      </c>
      <c r="AR922" s="1">
        <v>3.3612474899999998E-6</v>
      </c>
      <c r="AS922" s="1">
        <v>9.9637524599999996E-29</v>
      </c>
      <c r="AT922">
        <v>38</v>
      </c>
      <c r="AU922" t="s">
        <v>10</v>
      </c>
      <c r="AV922">
        <v>2</v>
      </c>
      <c r="AW922">
        <v>0</v>
      </c>
      <c r="AX922">
        <v>0</v>
      </c>
      <c r="AY922">
        <v>0</v>
      </c>
      <c r="AZ922">
        <v>1</v>
      </c>
      <c r="BA922" t="s">
        <v>13</v>
      </c>
      <c r="BB922" t="s">
        <v>4</v>
      </c>
      <c r="BC922" t="s">
        <v>10</v>
      </c>
      <c r="BD922">
        <v>0</v>
      </c>
      <c r="BE922">
        <v>0</v>
      </c>
      <c r="BF922">
        <v>0</v>
      </c>
      <c r="BG922">
        <v>0</v>
      </c>
      <c r="BH922">
        <v>0</v>
      </c>
      <c r="BI922" t="s">
        <v>9</v>
      </c>
      <c r="BJ922">
        <v>0</v>
      </c>
      <c r="BK922">
        <v>-3.36E-6</v>
      </c>
      <c r="BL922">
        <v>0</v>
      </c>
      <c r="BM922" s="2">
        <f t="shared" si="14"/>
        <v>6.0003120210466368E-10</v>
      </c>
    </row>
    <row r="923" spans="1:65" x14ac:dyDescent="0.35">
      <c r="A923">
        <v>0</v>
      </c>
      <c r="B923" t="s">
        <v>3</v>
      </c>
      <c r="C923" t="s">
        <v>4</v>
      </c>
      <c r="D923">
        <v>0</v>
      </c>
      <c r="E923" t="s">
        <v>3</v>
      </c>
      <c r="F923" t="s">
        <v>5</v>
      </c>
      <c r="G923">
        <v>4819.4356829999997</v>
      </c>
      <c r="H923" t="s">
        <v>4</v>
      </c>
      <c r="I923">
        <v>990.16341899999998</v>
      </c>
      <c r="J923">
        <v>3829.2722640000002</v>
      </c>
      <c r="K923" t="s">
        <v>6</v>
      </c>
      <c r="L923" t="s">
        <v>7</v>
      </c>
      <c r="M923" t="s">
        <v>8</v>
      </c>
      <c r="N923" t="s">
        <v>6</v>
      </c>
      <c r="O923" t="s">
        <v>3</v>
      </c>
      <c r="P923" t="s">
        <v>3</v>
      </c>
      <c r="Q923" t="s">
        <v>3</v>
      </c>
      <c r="R923" t="s">
        <v>3</v>
      </c>
      <c r="S923" t="s">
        <v>3</v>
      </c>
      <c r="T923" t="s">
        <v>7</v>
      </c>
      <c r="U923">
        <v>1</v>
      </c>
      <c r="V923">
        <v>0</v>
      </c>
      <c r="W923">
        <v>1</v>
      </c>
      <c r="X923">
        <v>1</v>
      </c>
      <c r="Y923">
        <v>0</v>
      </c>
      <c r="Z923" t="s">
        <v>8</v>
      </c>
      <c r="AA923" t="s">
        <v>4</v>
      </c>
      <c r="AB923" t="s">
        <v>6</v>
      </c>
      <c r="AC923" t="s">
        <v>7</v>
      </c>
      <c r="AD923" t="s">
        <v>8</v>
      </c>
      <c r="AE923" t="s">
        <v>6</v>
      </c>
      <c r="AF923" t="s">
        <v>3</v>
      </c>
      <c r="AG923" t="s">
        <v>3</v>
      </c>
      <c r="AH923" t="s">
        <v>3</v>
      </c>
      <c r="AI923" t="s">
        <v>3</v>
      </c>
      <c r="AJ923" t="s">
        <v>3</v>
      </c>
      <c r="AK923" t="s">
        <v>7</v>
      </c>
      <c r="AL923">
        <v>0</v>
      </c>
      <c r="AM923">
        <v>0</v>
      </c>
      <c r="AN923">
        <v>0</v>
      </c>
      <c r="AO923">
        <v>0</v>
      </c>
      <c r="AP923">
        <v>0</v>
      </c>
      <c r="AQ923" t="s">
        <v>9</v>
      </c>
      <c r="AR923" s="1">
        <v>2.1205843299999999E-5</v>
      </c>
      <c r="AS923" s="1">
        <v>4.6264034200000001E-27</v>
      </c>
      <c r="AT923">
        <v>40</v>
      </c>
      <c r="AU923" t="s">
        <v>10</v>
      </c>
      <c r="AV923">
        <v>1</v>
      </c>
      <c r="AW923">
        <v>0</v>
      </c>
      <c r="AX923">
        <v>1</v>
      </c>
      <c r="AY923">
        <v>1</v>
      </c>
      <c r="AZ923">
        <v>0</v>
      </c>
      <c r="BA923" t="s">
        <v>8</v>
      </c>
      <c r="BB923" t="s">
        <v>4</v>
      </c>
      <c r="BC923" t="s">
        <v>10</v>
      </c>
      <c r="BD923">
        <v>0</v>
      </c>
      <c r="BE923">
        <v>0</v>
      </c>
      <c r="BF923">
        <v>0</v>
      </c>
      <c r="BG923">
        <v>0</v>
      </c>
      <c r="BH923">
        <v>0</v>
      </c>
      <c r="BI923" t="s">
        <v>9</v>
      </c>
      <c r="BJ923">
        <v>-1.664E-5</v>
      </c>
      <c r="BK923">
        <v>0</v>
      </c>
      <c r="BL923">
        <v>1.3149999999999999E-5</v>
      </c>
      <c r="BM923" s="2">
        <f t="shared" si="14"/>
        <v>2.7860852792841533E-8</v>
      </c>
    </row>
    <row r="924" spans="1:65" x14ac:dyDescent="0.35">
      <c r="A924">
        <v>0</v>
      </c>
      <c r="B924" t="s">
        <v>3</v>
      </c>
      <c r="C924" t="s">
        <v>4</v>
      </c>
      <c r="D924">
        <v>0</v>
      </c>
      <c r="E924" t="s">
        <v>3</v>
      </c>
      <c r="F924" t="s">
        <v>5</v>
      </c>
      <c r="G924">
        <v>4769.8215550000004</v>
      </c>
      <c r="H924" t="s">
        <v>4</v>
      </c>
      <c r="I924">
        <v>990.16341899999998</v>
      </c>
      <c r="J924">
        <v>3779.658136</v>
      </c>
      <c r="K924" t="s">
        <v>6</v>
      </c>
      <c r="L924" t="s">
        <v>7</v>
      </c>
      <c r="M924" t="s">
        <v>8</v>
      </c>
      <c r="N924" t="s">
        <v>6</v>
      </c>
      <c r="O924" t="s">
        <v>3</v>
      </c>
      <c r="P924" t="s">
        <v>3</v>
      </c>
      <c r="Q924" t="s">
        <v>3</v>
      </c>
      <c r="R924" t="s">
        <v>3</v>
      </c>
      <c r="S924" t="s">
        <v>3</v>
      </c>
      <c r="T924" t="s">
        <v>7</v>
      </c>
      <c r="U924">
        <v>0</v>
      </c>
      <c r="V924">
        <v>0</v>
      </c>
      <c r="W924">
        <v>0</v>
      </c>
      <c r="X924">
        <v>1</v>
      </c>
      <c r="Y924">
        <v>4</v>
      </c>
      <c r="Z924" t="s">
        <v>9</v>
      </c>
      <c r="AA924" t="s">
        <v>4</v>
      </c>
      <c r="AB924" t="s">
        <v>6</v>
      </c>
      <c r="AC924" t="s">
        <v>7</v>
      </c>
      <c r="AD924" t="s">
        <v>8</v>
      </c>
      <c r="AE924" t="s">
        <v>6</v>
      </c>
      <c r="AF924" t="s">
        <v>3</v>
      </c>
      <c r="AG924" t="s">
        <v>3</v>
      </c>
      <c r="AH924" t="s">
        <v>3</v>
      </c>
      <c r="AI924" t="s">
        <v>3</v>
      </c>
      <c r="AJ924" t="s">
        <v>3</v>
      </c>
      <c r="AK924" t="s">
        <v>7</v>
      </c>
      <c r="AL924">
        <v>0</v>
      </c>
      <c r="AM924">
        <v>0</v>
      </c>
      <c r="AN924">
        <v>0</v>
      </c>
      <c r="AO924">
        <v>0</v>
      </c>
      <c r="AP924">
        <v>0</v>
      </c>
      <c r="AQ924" t="s">
        <v>9</v>
      </c>
      <c r="AR924" s="1">
        <v>6.2553739900000002E-5</v>
      </c>
      <c r="AS924" s="1">
        <v>3.9735184899999998E-26</v>
      </c>
      <c r="AT924">
        <v>38</v>
      </c>
      <c r="AU924" t="s">
        <v>10</v>
      </c>
      <c r="AV924">
        <v>0</v>
      </c>
      <c r="AW924">
        <v>0</v>
      </c>
      <c r="AX924">
        <v>0</v>
      </c>
      <c r="AY924">
        <v>1</v>
      </c>
      <c r="AZ924">
        <v>4</v>
      </c>
      <c r="BA924" t="s">
        <v>9</v>
      </c>
      <c r="BB924" t="s">
        <v>4</v>
      </c>
      <c r="BC924" t="s">
        <v>10</v>
      </c>
      <c r="BD924">
        <v>0</v>
      </c>
      <c r="BE924">
        <v>0</v>
      </c>
      <c r="BF924">
        <v>0</v>
      </c>
      <c r="BG924">
        <v>0</v>
      </c>
      <c r="BH924">
        <v>0</v>
      </c>
      <c r="BI924" t="s">
        <v>9</v>
      </c>
      <c r="BJ924">
        <v>2.8269999999999999E-5</v>
      </c>
      <c r="BK924">
        <v>0</v>
      </c>
      <c r="BL924">
        <v>-5.5800000000000001E-5</v>
      </c>
      <c r="BM924" s="2">
        <f t="shared" si="14"/>
        <v>2.3929087818183392E-7</v>
      </c>
    </row>
    <row r="925" spans="1:65" x14ac:dyDescent="0.35">
      <c r="A925">
        <v>0</v>
      </c>
      <c r="B925" t="s">
        <v>11</v>
      </c>
      <c r="C925" t="s">
        <v>4</v>
      </c>
      <c r="D925">
        <v>0</v>
      </c>
      <c r="E925" t="s">
        <v>3</v>
      </c>
      <c r="F925" t="s">
        <v>5</v>
      </c>
      <c r="G925">
        <v>3113.1839070000001</v>
      </c>
      <c r="H925" t="s">
        <v>4</v>
      </c>
      <c r="I925">
        <v>990.16341899999998</v>
      </c>
      <c r="J925">
        <v>2123.0204880000001</v>
      </c>
      <c r="K925" t="s">
        <v>6</v>
      </c>
      <c r="L925" t="s">
        <v>7</v>
      </c>
      <c r="M925" t="s">
        <v>8</v>
      </c>
      <c r="N925" t="s">
        <v>6</v>
      </c>
      <c r="O925" t="s">
        <v>3</v>
      </c>
      <c r="P925" t="s">
        <v>3</v>
      </c>
      <c r="Q925" t="s">
        <v>3</v>
      </c>
      <c r="R925" t="s">
        <v>3</v>
      </c>
      <c r="S925" t="s">
        <v>11</v>
      </c>
      <c r="T925" t="s">
        <v>7</v>
      </c>
      <c r="U925">
        <v>1</v>
      </c>
      <c r="V925">
        <v>0</v>
      </c>
      <c r="W925">
        <v>0</v>
      </c>
      <c r="X925">
        <v>2</v>
      </c>
      <c r="Y925">
        <v>0</v>
      </c>
      <c r="Z925" t="s">
        <v>14</v>
      </c>
      <c r="AA925" t="s">
        <v>4</v>
      </c>
      <c r="AB925" t="s">
        <v>6</v>
      </c>
      <c r="AC925" t="s">
        <v>7</v>
      </c>
      <c r="AD925" t="s">
        <v>8</v>
      </c>
      <c r="AE925" t="s">
        <v>6</v>
      </c>
      <c r="AF925" t="s">
        <v>3</v>
      </c>
      <c r="AG925" t="s">
        <v>3</v>
      </c>
      <c r="AH925" t="s">
        <v>3</v>
      </c>
      <c r="AI925" t="s">
        <v>3</v>
      </c>
      <c r="AJ925" t="s">
        <v>3</v>
      </c>
      <c r="AK925" t="s">
        <v>7</v>
      </c>
      <c r="AL925">
        <v>0</v>
      </c>
      <c r="AM925">
        <v>0</v>
      </c>
      <c r="AN925">
        <v>0</v>
      </c>
      <c r="AO925">
        <v>0</v>
      </c>
      <c r="AP925">
        <v>0</v>
      </c>
      <c r="AQ925" t="s">
        <v>9</v>
      </c>
      <c r="AR925" s="1">
        <v>1.45849659E-4</v>
      </c>
      <c r="AS925" s="1">
        <v>1.21329338E-25</v>
      </c>
      <c r="AT925">
        <v>40</v>
      </c>
      <c r="AU925" t="s">
        <v>10</v>
      </c>
      <c r="AV925">
        <v>1</v>
      </c>
      <c r="AW925">
        <v>0</v>
      </c>
      <c r="AX925">
        <v>0</v>
      </c>
      <c r="AY925">
        <v>2</v>
      </c>
      <c r="AZ925">
        <v>0</v>
      </c>
      <c r="BA925" t="s">
        <v>14</v>
      </c>
      <c r="BB925" t="s">
        <v>4</v>
      </c>
      <c r="BC925" t="s">
        <v>10</v>
      </c>
      <c r="BD925">
        <v>0</v>
      </c>
      <c r="BE925">
        <v>0</v>
      </c>
      <c r="BF925">
        <v>0</v>
      </c>
      <c r="BG925">
        <v>0</v>
      </c>
      <c r="BH925">
        <v>0</v>
      </c>
      <c r="BI925" t="s">
        <v>9</v>
      </c>
      <c r="BJ925">
        <v>0</v>
      </c>
      <c r="BK925">
        <v>1.4584999999999999E-4</v>
      </c>
      <c r="BL925">
        <v>0</v>
      </c>
      <c r="BM925" s="2">
        <f t="shared" si="14"/>
        <v>7.3066235660679034E-7</v>
      </c>
    </row>
    <row r="926" spans="1:65" x14ac:dyDescent="0.35">
      <c r="A926">
        <v>0</v>
      </c>
      <c r="B926" t="s">
        <v>3</v>
      </c>
      <c r="C926" t="s">
        <v>4</v>
      </c>
      <c r="D926">
        <v>0</v>
      </c>
      <c r="E926" t="s">
        <v>3</v>
      </c>
      <c r="F926" t="s">
        <v>5</v>
      </c>
      <c r="G926">
        <v>4414.9362570000003</v>
      </c>
      <c r="H926" t="s">
        <v>4</v>
      </c>
      <c r="I926">
        <v>990.16341899999998</v>
      </c>
      <c r="J926">
        <v>3424.7728379999999</v>
      </c>
      <c r="K926" t="s">
        <v>6</v>
      </c>
      <c r="L926" t="s">
        <v>7</v>
      </c>
      <c r="M926" t="s">
        <v>8</v>
      </c>
      <c r="N926" t="s">
        <v>6</v>
      </c>
      <c r="O926" t="s">
        <v>3</v>
      </c>
      <c r="P926" t="s">
        <v>3</v>
      </c>
      <c r="Q926" t="s">
        <v>3</v>
      </c>
      <c r="R926" t="s">
        <v>3</v>
      </c>
      <c r="S926" t="s">
        <v>3</v>
      </c>
      <c r="T926" t="s">
        <v>7</v>
      </c>
      <c r="U926">
        <v>0</v>
      </c>
      <c r="V926">
        <v>0</v>
      </c>
      <c r="W926">
        <v>0</v>
      </c>
      <c r="X926">
        <v>3</v>
      </c>
      <c r="Y926">
        <v>0</v>
      </c>
      <c r="Z926" t="s">
        <v>27</v>
      </c>
      <c r="AA926" t="s">
        <v>4</v>
      </c>
      <c r="AB926" t="s">
        <v>6</v>
      </c>
      <c r="AC926" t="s">
        <v>7</v>
      </c>
      <c r="AD926" t="s">
        <v>8</v>
      </c>
      <c r="AE926" t="s">
        <v>6</v>
      </c>
      <c r="AF926" t="s">
        <v>3</v>
      </c>
      <c r="AG926" t="s">
        <v>3</v>
      </c>
      <c r="AH926" t="s">
        <v>3</v>
      </c>
      <c r="AI926" t="s">
        <v>3</v>
      </c>
      <c r="AJ926" t="s">
        <v>3</v>
      </c>
      <c r="AK926" t="s">
        <v>7</v>
      </c>
      <c r="AL926">
        <v>0</v>
      </c>
      <c r="AM926">
        <v>0</v>
      </c>
      <c r="AN926">
        <v>0</v>
      </c>
      <c r="AO926">
        <v>0</v>
      </c>
      <c r="AP926">
        <v>0</v>
      </c>
      <c r="AQ926" t="s">
        <v>9</v>
      </c>
      <c r="AR926" s="1">
        <v>3.1804835200000003E-5</v>
      </c>
      <c r="AS926" s="1">
        <v>9.3075248200000006E-27</v>
      </c>
      <c r="AT926">
        <v>38</v>
      </c>
      <c r="AU926" t="s">
        <v>10</v>
      </c>
      <c r="AV926">
        <v>0</v>
      </c>
      <c r="AW926">
        <v>0</v>
      </c>
      <c r="AX926">
        <v>0</v>
      </c>
      <c r="AY926">
        <v>3</v>
      </c>
      <c r="AZ926">
        <v>0</v>
      </c>
      <c r="BA926" t="s">
        <v>27</v>
      </c>
      <c r="BB926" t="s">
        <v>4</v>
      </c>
      <c r="BC926" t="s">
        <v>10</v>
      </c>
      <c r="BD926">
        <v>0</v>
      </c>
      <c r="BE926">
        <v>0</v>
      </c>
      <c r="BF926">
        <v>0</v>
      </c>
      <c r="BG926">
        <v>0</v>
      </c>
      <c r="BH926">
        <v>0</v>
      </c>
      <c r="BI926" t="s">
        <v>9</v>
      </c>
      <c r="BJ926">
        <v>-7.8000000000000005E-7</v>
      </c>
      <c r="BK926">
        <v>0</v>
      </c>
      <c r="BL926">
        <v>3.18E-5</v>
      </c>
      <c r="BM926" s="2">
        <f t="shared" si="14"/>
        <v>5.6051224965534652E-8</v>
      </c>
    </row>
    <row r="927" spans="1:65" x14ac:dyDescent="0.35">
      <c r="A927">
        <v>0</v>
      </c>
      <c r="B927" t="s">
        <v>3</v>
      </c>
      <c r="C927" t="s">
        <v>4</v>
      </c>
      <c r="D927">
        <v>0</v>
      </c>
      <c r="E927" t="s">
        <v>3</v>
      </c>
      <c r="F927" t="s">
        <v>5</v>
      </c>
      <c r="G927">
        <v>3890.429623</v>
      </c>
      <c r="H927" t="s">
        <v>4</v>
      </c>
      <c r="I927">
        <v>990.16341899999998</v>
      </c>
      <c r="J927">
        <v>2900.266204</v>
      </c>
      <c r="K927" t="s">
        <v>6</v>
      </c>
      <c r="L927" t="s">
        <v>7</v>
      </c>
      <c r="M927" t="s">
        <v>8</v>
      </c>
      <c r="N927" t="s">
        <v>6</v>
      </c>
      <c r="O927" t="s">
        <v>3</v>
      </c>
      <c r="P927" t="s">
        <v>3</v>
      </c>
      <c r="Q927" t="s">
        <v>3</v>
      </c>
      <c r="R927" t="s">
        <v>3</v>
      </c>
      <c r="S927" t="s">
        <v>3</v>
      </c>
      <c r="T927" t="s">
        <v>7</v>
      </c>
      <c r="U927">
        <v>2</v>
      </c>
      <c r="V927">
        <v>1</v>
      </c>
      <c r="W927">
        <v>0</v>
      </c>
      <c r="X927">
        <v>0</v>
      </c>
      <c r="Y927">
        <v>1</v>
      </c>
      <c r="Z927" t="s">
        <v>8</v>
      </c>
      <c r="AA927" t="s">
        <v>4</v>
      </c>
      <c r="AB927" t="s">
        <v>6</v>
      </c>
      <c r="AC927" t="s">
        <v>7</v>
      </c>
      <c r="AD927" t="s">
        <v>8</v>
      </c>
      <c r="AE927" t="s">
        <v>6</v>
      </c>
      <c r="AF927" t="s">
        <v>3</v>
      </c>
      <c r="AG927" t="s">
        <v>3</v>
      </c>
      <c r="AH927" t="s">
        <v>3</v>
      </c>
      <c r="AI927" t="s">
        <v>3</v>
      </c>
      <c r="AJ927" t="s">
        <v>3</v>
      </c>
      <c r="AK927" t="s">
        <v>7</v>
      </c>
      <c r="AL927">
        <v>0</v>
      </c>
      <c r="AM927">
        <v>0</v>
      </c>
      <c r="AN927">
        <v>0</v>
      </c>
      <c r="AO927">
        <v>0</v>
      </c>
      <c r="AP927">
        <v>0</v>
      </c>
      <c r="AQ927" t="s">
        <v>9</v>
      </c>
      <c r="AR927" s="1">
        <v>1.60846718E-4</v>
      </c>
      <c r="AS927" s="1">
        <v>2.01594217E-25</v>
      </c>
      <c r="AT927">
        <v>38</v>
      </c>
      <c r="AU927" t="s">
        <v>10</v>
      </c>
      <c r="AV927">
        <v>2</v>
      </c>
      <c r="AW927">
        <v>1</v>
      </c>
      <c r="AX927">
        <v>0</v>
      </c>
      <c r="AY927">
        <v>0</v>
      </c>
      <c r="AZ927">
        <v>1</v>
      </c>
      <c r="BA927" t="s">
        <v>8</v>
      </c>
      <c r="BB927" t="s">
        <v>4</v>
      </c>
      <c r="BC927" t="s">
        <v>10</v>
      </c>
      <c r="BD927">
        <v>0</v>
      </c>
      <c r="BE927">
        <v>0</v>
      </c>
      <c r="BF927">
        <v>0</v>
      </c>
      <c r="BG927">
        <v>0</v>
      </c>
      <c r="BH927">
        <v>0</v>
      </c>
      <c r="BI927" t="s">
        <v>9</v>
      </c>
      <c r="BJ927">
        <v>-1.6055E-4</v>
      </c>
      <c r="BK927">
        <v>0</v>
      </c>
      <c r="BL927">
        <v>-9.8200000000000008E-6</v>
      </c>
      <c r="BM927" s="2">
        <f t="shared" si="14"/>
        <v>1.2140287592397535E-6</v>
      </c>
    </row>
    <row r="928" spans="1:65" x14ac:dyDescent="0.35">
      <c r="A928">
        <v>0</v>
      </c>
      <c r="B928" t="s">
        <v>3</v>
      </c>
      <c r="C928" t="s">
        <v>4</v>
      </c>
      <c r="D928">
        <v>0</v>
      </c>
      <c r="E928" t="s">
        <v>3</v>
      </c>
      <c r="F928" t="s">
        <v>5</v>
      </c>
      <c r="G928">
        <v>4937.1465859999998</v>
      </c>
      <c r="H928" t="s">
        <v>4</v>
      </c>
      <c r="I928">
        <v>990.16341899999998</v>
      </c>
      <c r="J928">
        <v>3946.983166</v>
      </c>
      <c r="K928" t="s">
        <v>6</v>
      </c>
      <c r="L928" t="s">
        <v>7</v>
      </c>
      <c r="M928" t="s">
        <v>8</v>
      </c>
      <c r="N928" t="s">
        <v>6</v>
      </c>
      <c r="O928" t="s">
        <v>3</v>
      </c>
      <c r="P928" t="s">
        <v>3</v>
      </c>
      <c r="Q928" t="s">
        <v>3</v>
      </c>
      <c r="R928" t="s">
        <v>3</v>
      </c>
      <c r="S928" t="s">
        <v>3</v>
      </c>
      <c r="T928" t="s">
        <v>7</v>
      </c>
      <c r="U928">
        <v>0</v>
      </c>
      <c r="V928">
        <v>3</v>
      </c>
      <c r="W928">
        <v>0</v>
      </c>
      <c r="X928">
        <v>3</v>
      </c>
      <c r="Y928">
        <v>0</v>
      </c>
      <c r="Z928" t="s">
        <v>8</v>
      </c>
      <c r="AA928" t="s">
        <v>4</v>
      </c>
      <c r="AB928" t="s">
        <v>6</v>
      </c>
      <c r="AC928" t="s">
        <v>7</v>
      </c>
      <c r="AD928" t="s">
        <v>8</v>
      </c>
      <c r="AE928" t="s">
        <v>6</v>
      </c>
      <c r="AF928" t="s">
        <v>3</v>
      </c>
      <c r="AG928" t="s">
        <v>3</v>
      </c>
      <c r="AH928" t="s">
        <v>3</v>
      </c>
      <c r="AI928" t="s">
        <v>3</v>
      </c>
      <c r="AJ928" t="s">
        <v>3</v>
      </c>
      <c r="AK928" t="s">
        <v>7</v>
      </c>
      <c r="AL928">
        <v>0</v>
      </c>
      <c r="AM928">
        <v>0</v>
      </c>
      <c r="AN928">
        <v>0</v>
      </c>
      <c r="AO928">
        <v>0</v>
      </c>
      <c r="AP928">
        <v>0</v>
      </c>
      <c r="AQ928" t="s">
        <v>9</v>
      </c>
      <c r="AR928" s="1">
        <v>5.1361611300000003E-6</v>
      </c>
      <c r="AS928" s="1">
        <v>2.7974266899999998E-28</v>
      </c>
      <c r="AT928">
        <v>40</v>
      </c>
      <c r="AU928" t="s">
        <v>10</v>
      </c>
      <c r="AV928">
        <v>0</v>
      </c>
      <c r="AW928">
        <v>3</v>
      </c>
      <c r="AX928">
        <v>0</v>
      </c>
      <c r="AY928">
        <v>3</v>
      </c>
      <c r="AZ928">
        <v>0</v>
      </c>
      <c r="BA928" t="s">
        <v>8</v>
      </c>
      <c r="BB928" t="s">
        <v>4</v>
      </c>
      <c r="BC928" t="s">
        <v>10</v>
      </c>
      <c r="BD928">
        <v>0</v>
      </c>
      <c r="BE928">
        <v>0</v>
      </c>
      <c r="BF928">
        <v>0</v>
      </c>
      <c r="BG928">
        <v>0</v>
      </c>
      <c r="BH928">
        <v>0</v>
      </c>
      <c r="BI928" t="s">
        <v>9</v>
      </c>
      <c r="BJ928">
        <v>-2.5100000000000001E-6</v>
      </c>
      <c r="BK928">
        <v>0</v>
      </c>
      <c r="BL928">
        <v>4.4800000000000003E-6</v>
      </c>
      <c r="BM928" s="2">
        <f t="shared" si="14"/>
        <v>1.6846497404857952E-9</v>
      </c>
    </row>
    <row r="929" spans="1:65" x14ac:dyDescent="0.35">
      <c r="A929">
        <v>0</v>
      </c>
      <c r="B929" t="s">
        <v>11</v>
      </c>
      <c r="C929" t="s">
        <v>4</v>
      </c>
      <c r="D929">
        <v>0</v>
      </c>
      <c r="E929" t="s">
        <v>3</v>
      </c>
      <c r="F929" t="s">
        <v>5</v>
      </c>
      <c r="G929">
        <v>3599.7782520000001</v>
      </c>
      <c r="H929" t="s">
        <v>4</v>
      </c>
      <c r="I929">
        <v>990.16341899999998</v>
      </c>
      <c r="J929">
        <v>2609.6148330000001</v>
      </c>
      <c r="K929" t="s">
        <v>6</v>
      </c>
      <c r="L929" t="s">
        <v>7</v>
      </c>
      <c r="M929" t="s">
        <v>8</v>
      </c>
      <c r="N929" t="s">
        <v>6</v>
      </c>
      <c r="O929" t="s">
        <v>3</v>
      </c>
      <c r="P929" t="s">
        <v>3</v>
      </c>
      <c r="Q929" t="s">
        <v>3</v>
      </c>
      <c r="R929" t="s">
        <v>3</v>
      </c>
      <c r="S929" t="s">
        <v>11</v>
      </c>
      <c r="T929" t="s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 t="s">
        <v>28</v>
      </c>
      <c r="AA929" t="s">
        <v>4</v>
      </c>
      <c r="AB929" t="s">
        <v>6</v>
      </c>
      <c r="AC929" t="s">
        <v>7</v>
      </c>
      <c r="AD929" t="s">
        <v>8</v>
      </c>
      <c r="AE929" t="s">
        <v>6</v>
      </c>
      <c r="AF929" t="s">
        <v>3</v>
      </c>
      <c r="AG929" t="s">
        <v>3</v>
      </c>
      <c r="AH929" t="s">
        <v>3</v>
      </c>
      <c r="AI929" t="s">
        <v>3</v>
      </c>
      <c r="AJ929" t="s">
        <v>3</v>
      </c>
      <c r="AK929" t="s">
        <v>7</v>
      </c>
      <c r="AL929">
        <v>0</v>
      </c>
      <c r="AM929">
        <v>0</v>
      </c>
      <c r="AN929">
        <v>0</v>
      </c>
      <c r="AO929">
        <v>0</v>
      </c>
      <c r="AP929">
        <v>0</v>
      </c>
      <c r="AQ929" t="s">
        <v>9</v>
      </c>
      <c r="AR929" s="1">
        <v>1.1769055599999999E-4</v>
      </c>
      <c r="AS929" s="1">
        <v>9.7112321999999999E-26</v>
      </c>
      <c r="AT929">
        <v>38</v>
      </c>
      <c r="AU929" t="s">
        <v>10</v>
      </c>
      <c r="AV929">
        <v>0</v>
      </c>
      <c r="AW929">
        <v>0</v>
      </c>
      <c r="AX929">
        <v>0</v>
      </c>
      <c r="AY929">
        <v>0</v>
      </c>
      <c r="AZ929">
        <v>0</v>
      </c>
      <c r="BA929" t="s">
        <v>28</v>
      </c>
      <c r="BB929" t="s">
        <v>4</v>
      </c>
      <c r="BC929" t="s">
        <v>10</v>
      </c>
      <c r="BD929">
        <v>0</v>
      </c>
      <c r="BE929">
        <v>0</v>
      </c>
      <c r="BF929">
        <v>0</v>
      </c>
      <c r="BG929">
        <v>0</v>
      </c>
      <c r="BH929">
        <v>0</v>
      </c>
      <c r="BI929" t="s">
        <v>9</v>
      </c>
      <c r="BJ929">
        <v>0</v>
      </c>
      <c r="BK929">
        <v>1.1769000000000001E-4</v>
      </c>
      <c r="BL929">
        <v>0</v>
      </c>
      <c r="BM929" s="2">
        <f t="shared" si="14"/>
        <v>5.8482407649893754E-7</v>
      </c>
    </row>
    <row r="930" spans="1:65" x14ac:dyDescent="0.35">
      <c r="A930">
        <v>0</v>
      </c>
      <c r="B930" t="s">
        <v>11</v>
      </c>
      <c r="C930" t="s">
        <v>4</v>
      </c>
      <c r="D930">
        <v>0</v>
      </c>
      <c r="E930" t="s">
        <v>3</v>
      </c>
      <c r="F930" t="s">
        <v>5</v>
      </c>
      <c r="G930">
        <v>2560.7193900000002</v>
      </c>
      <c r="H930" t="s">
        <v>4</v>
      </c>
      <c r="I930">
        <v>990.16341899999998</v>
      </c>
      <c r="J930">
        <v>1570.555971</v>
      </c>
      <c r="K930" t="s">
        <v>6</v>
      </c>
      <c r="L930" t="s">
        <v>7</v>
      </c>
      <c r="M930" t="s">
        <v>8</v>
      </c>
      <c r="N930" t="s">
        <v>6</v>
      </c>
      <c r="O930" t="s">
        <v>3</v>
      </c>
      <c r="P930" t="s">
        <v>3</v>
      </c>
      <c r="Q930" t="s">
        <v>3</v>
      </c>
      <c r="R930" t="s">
        <v>3</v>
      </c>
      <c r="S930" t="s">
        <v>11</v>
      </c>
      <c r="T930" t="s">
        <v>7</v>
      </c>
      <c r="U930">
        <v>1</v>
      </c>
      <c r="V930">
        <v>0</v>
      </c>
      <c r="W930">
        <v>0</v>
      </c>
      <c r="X930">
        <v>3</v>
      </c>
      <c r="Y930">
        <v>0</v>
      </c>
      <c r="Z930" t="s">
        <v>18</v>
      </c>
      <c r="AA930" t="s">
        <v>4</v>
      </c>
      <c r="AB930" t="s">
        <v>6</v>
      </c>
      <c r="AC930" t="s">
        <v>7</v>
      </c>
      <c r="AD930" t="s">
        <v>8</v>
      </c>
      <c r="AE930" t="s">
        <v>6</v>
      </c>
      <c r="AF930" t="s">
        <v>3</v>
      </c>
      <c r="AG930" t="s">
        <v>3</v>
      </c>
      <c r="AH930" t="s">
        <v>3</v>
      </c>
      <c r="AI930" t="s">
        <v>3</v>
      </c>
      <c r="AJ930" t="s">
        <v>3</v>
      </c>
      <c r="AK930" t="s">
        <v>7</v>
      </c>
      <c r="AL930">
        <v>0</v>
      </c>
      <c r="AM930">
        <v>0</v>
      </c>
      <c r="AN930">
        <v>0</v>
      </c>
      <c r="AO930">
        <v>0</v>
      </c>
      <c r="AP930">
        <v>0</v>
      </c>
      <c r="AQ930" t="s">
        <v>9</v>
      </c>
      <c r="AR930" s="1">
        <v>2.4514604599999999E-6</v>
      </c>
      <c r="AS930" s="1">
        <v>2.5345343899999998E-29</v>
      </c>
      <c r="AT930">
        <v>38</v>
      </c>
      <c r="AU930" t="s">
        <v>10</v>
      </c>
      <c r="AV930">
        <v>1</v>
      </c>
      <c r="AW930">
        <v>0</v>
      </c>
      <c r="AX930">
        <v>0</v>
      </c>
      <c r="AY930">
        <v>3</v>
      </c>
      <c r="AZ930">
        <v>0</v>
      </c>
      <c r="BA930" t="s">
        <v>18</v>
      </c>
      <c r="BB930" t="s">
        <v>4</v>
      </c>
      <c r="BC930" t="s">
        <v>10</v>
      </c>
      <c r="BD930">
        <v>0</v>
      </c>
      <c r="BE930">
        <v>0</v>
      </c>
      <c r="BF930">
        <v>0</v>
      </c>
      <c r="BG930">
        <v>0</v>
      </c>
      <c r="BH930">
        <v>0</v>
      </c>
      <c r="BI930" t="s">
        <v>9</v>
      </c>
      <c r="BJ930">
        <v>0</v>
      </c>
      <c r="BK930">
        <v>-2.4499999999999998E-6</v>
      </c>
      <c r="BL930">
        <v>0</v>
      </c>
      <c r="BM930" s="2">
        <f t="shared" si="14"/>
        <v>1.5263322959022109E-10</v>
      </c>
    </row>
    <row r="931" spans="1:65" x14ac:dyDescent="0.35">
      <c r="A931">
        <v>0</v>
      </c>
      <c r="B931" t="s">
        <v>3</v>
      </c>
      <c r="C931" t="s">
        <v>4</v>
      </c>
      <c r="D931">
        <v>0</v>
      </c>
      <c r="E931" t="s">
        <v>3</v>
      </c>
      <c r="F931" t="s">
        <v>5</v>
      </c>
      <c r="G931">
        <v>4709.6302800000003</v>
      </c>
      <c r="H931" t="s">
        <v>4</v>
      </c>
      <c r="I931">
        <v>990.16341899999998</v>
      </c>
      <c r="J931">
        <v>3719.46686</v>
      </c>
      <c r="K931" t="s">
        <v>6</v>
      </c>
      <c r="L931" t="s">
        <v>7</v>
      </c>
      <c r="M931" t="s">
        <v>8</v>
      </c>
      <c r="N931" t="s">
        <v>6</v>
      </c>
      <c r="O931" t="s">
        <v>3</v>
      </c>
      <c r="P931" t="s">
        <v>3</v>
      </c>
      <c r="Q931" t="s">
        <v>3</v>
      </c>
      <c r="R931" t="s">
        <v>3</v>
      </c>
      <c r="S931" t="s">
        <v>3</v>
      </c>
      <c r="T931" t="s">
        <v>7</v>
      </c>
      <c r="U931">
        <v>1</v>
      </c>
      <c r="V931">
        <v>1</v>
      </c>
      <c r="W931">
        <v>0</v>
      </c>
      <c r="X931">
        <v>6</v>
      </c>
      <c r="Y931">
        <v>0</v>
      </c>
      <c r="Z931" t="s">
        <v>8</v>
      </c>
      <c r="AA931" t="s">
        <v>4</v>
      </c>
      <c r="AB931" t="s">
        <v>6</v>
      </c>
      <c r="AC931" t="s">
        <v>7</v>
      </c>
      <c r="AD931" t="s">
        <v>8</v>
      </c>
      <c r="AE931" t="s">
        <v>6</v>
      </c>
      <c r="AF931" t="s">
        <v>3</v>
      </c>
      <c r="AG931" t="s">
        <v>3</v>
      </c>
      <c r="AH931" t="s">
        <v>3</v>
      </c>
      <c r="AI931" t="s">
        <v>3</v>
      </c>
      <c r="AJ931" t="s">
        <v>3</v>
      </c>
      <c r="AK931" t="s">
        <v>7</v>
      </c>
      <c r="AL931">
        <v>0</v>
      </c>
      <c r="AM931">
        <v>0</v>
      </c>
      <c r="AN931">
        <v>0</v>
      </c>
      <c r="AO931">
        <v>0</v>
      </c>
      <c r="AP931">
        <v>0</v>
      </c>
      <c r="AQ931" t="s">
        <v>9</v>
      </c>
      <c r="AR931" s="1">
        <v>8.4010279900000005E-5</v>
      </c>
      <c r="AS931" s="1">
        <v>7.0528023499999999E-26</v>
      </c>
      <c r="AT931">
        <v>39</v>
      </c>
      <c r="AU931" t="s">
        <v>10</v>
      </c>
      <c r="AV931">
        <v>1</v>
      </c>
      <c r="AW931">
        <v>1</v>
      </c>
      <c r="AX931">
        <v>0</v>
      </c>
      <c r="AY931">
        <v>6</v>
      </c>
      <c r="AZ931">
        <v>0</v>
      </c>
      <c r="BA931" t="s">
        <v>8</v>
      </c>
      <c r="BB931" t="s">
        <v>4</v>
      </c>
      <c r="BC931" t="s">
        <v>10</v>
      </c>
      <c r="BD931">
        <v>0</v>
      </c>
      <c r="BE931">
        <v>0</v>
      </c>
      <c r="BF931">
        <v>0</v>
      </c>
      <c r="BG931">
        <v>0</v>
      </c>
      <c r="BH931">
        <v>0</v>
      </c>
      <c r="BI931" t="s">
        <v>9</v>
      </c>
      <c r="BJ931">
        <v>-4.2370000000000003E-5</v>
      </c>
      <c r="BK931">
        <v>0</v>
      </c>
      <c r="BL931">
        <v>7.2539999999999993E-5</v>
      </c>
      <c r="BM931" s="2">
        <f t="shared" si="14"/>
        <v>4.2472968786270877E-7</v>
      </c>
    </row>
    <row r="932" spans="1:65" x14ac:dyDescent="0.35">
      <c r="A932">
        <v>0</v>
      </c>
      <c r="B932" t="s">
        <v>11</v>
      </c>
      <c r="C932" t="s">
        <v>4</v>
      </c>
      <c r="D932">
        <v>0</v>
      </c>
      <c r="E932" t="s">
        <v>3</v>
      </c>
      <c r="F932" t="s">
        <v>5</v>
      </c>
      <c r="G932">
        <v>4871.4776929999998</v>
      </c>
      <c r="H932" t="s">
        <v>4</v>
      </c>
      <c r="I932">
        <v>990.16341899999998</v>
      </c>
      <c r="J932">
        <v>3881.3142739999998</v>
      </c>
      <c r="K932" t="s">
        <v>6</v>
      </c>
      <c r="L932" t="s">
        <v>7</v>
      </c>
      <c r="M932" t="s">
        <v>8</v>
      </c>
      <c r="N932" t="s">
        <v>6</v>
      </c>
      <c r="O932" t="s">
        <v>3</v>
      </c>
      <c r="P932" t="s">
        <v>3</v>
      </c>
      <c r="Q932" t="s">
        <v>3</v>
      </c>
      <c r="R932" t="s">
        <v>3</v>
      </c>
      <c r="S932" t="s">
        <v>11</v>
      </c>
      <c r="T932" t="s">
        <v>7</v>
      </c>
      <c r="U932">
        <v>0</v>
      </c>
      <c r="V932">
        <v>1</v>
      </c>
      <c r="W932">
        <v>0</v>
      </c>
      <c r="X932">
        <v>0</v>
      </c>
      <c r="Y932">
        <v>0</v>
      </c>
      <c r="Z932" t="s">
        <v>28</v>
      </c>
      <c r="AA932" t="s">
        <v>4</v>
      </c>
      <c r="AB932" t="s">
        <v>6</v>
      </c>
      <c r="AC932" t="s">
        <v>7</v>
      </c>
      <c r="AD932" t="s">
        <v>8</v>
      </c>
      <c r="AE932" t="s">
        <v>6</v>
      </c>
      <c r="AF932" t="s">
        <v>3</v>
      </c>
      <c r="AG932" t="s">
        <v>3</v>
      </c>
      <c r="AH932" t="s">
        <v>3</v>
      </c>
      <c r="AI932" t="s">
        <v>3</v>
      </c>
      <c r="AJ932" t="s">
        <v>3</v>
      </c>
      <c r="AK932" t="s">
        <v>7</v>
      </c>
      <c r="AL932">
        <v>0</v>
      </c>
      <c r="AM932">
        <v>0</v>
      </c>
      <c r="AN932">
        <v>0</v>
      </c>
      <c r="AO932">
        <v>0</v>
      </c>
      <c r="AP932">
        <v>0</v>
      </c>
      <c r="AQ932" t="s">
        <v>9</v>
      </c>
      <c r="AR932" s="1">
        <v>1.33180168E-5</v>
      </c>
      <c r="AS932" s="1">
        <v>1.84958412E-27</v>
      </c>
      <c r="AT932">
        <v>40</v>
      </c>
      <c r="AU932" t="s">
        <v>10</v>
      </c>
      <c r="AV932">
        <v>0</v>
      </c>
      <c r="AW932">
        <v>1</v>
      </c>
      <c r="AX932">
        <v>0</v>
      </c>
      <c r="AY932">
        <v>0</v>
      </c>
      <c r="AZ932">
        <v>0</v>
      </c>
      <c r="BA932" t="s">
        <v>28</v>
      </c>
      <c r="BB932" t="s">
        <v>4</v>
      </c>
      <c r="BC932" t="s">
        <v>10</v>
      </c>
      <c r="BD932">
        <v>0</v>
      </c>
      <c r="BE932">
        <v>0</v>
      </c>
      <c r="BF932">
        <v>0</v>
      </c>
      <c r="BG932">
        <v>0</v>
      </c>
      <c r="BH932">
        <v>0</v>
      </c>
      <c r="BI932" t="s">
        <v>9</v>
      </c>
      <c r="BJ932">
        <v>0</v>
      </c>
      <c r="BK932">
        <v>-1.332E-5</v>
      </c>
      <c r="BL932">
        <v>0</v>
      </c>
      <c r="BM932" s="2">
        <f t="shared" si="14"/>
        <v>1.1138455992084095E-8</v>
      </c>
    </row>
    <row r="933" spans="1:65" x14ac:dyDescent="0.35">
      <c r="A933">
        <v>0</v>
      </c>
      <c r="B933" t="s">
        <v>3</v>
      </c>
      <c r="C933" t="s">
        <v>4</v>
      </c>
      <c r="D933">
        <v>0</v>
      </c>
      <c r="E933" t="s">
        <v>3</v>
      </c>
      <c r="F933" t="s">
        <v>5</v>
      </c>
      <c r="G933">
        <v>3966.8839469999998</v>
      </c>
      <c r="H933" t="s">
        <v>4</v>
      </c>
      <c r="I933">
        <v>990.16341899999998</v>
      </c>
      <c r="J933">
        <v>2976.7205279999998</v>
      </c>
      <c r="K933" t="s">
        <v>6</v>
      </c>
      <c r="L933" t="s">
        <v>7</v>
      </c>
      <c r="M933" t="s">
        <v>8</v>
      </c>
      <c r="N933" t="s">
        <v>6</v>
      </c>
      <c r="O933" t="s">
        <v>3</v>
      </c>
      <c r="P933" t="s">
        <v>3</v>
      </c>
      <c r="Q933" t="s">
        <v>3</v>
      </c>
      <c r="R933" t="s">
        <v>3</v>
      </c>
      <c r="S933" t="s">
        <v>3</v>
      </c>
      <c r="T933" t="s">
        <v>7</v>
      </c>
      <c r="U933">
        <v>0</v>
      </c>
      <c r="V933">
        <v>0</v>
      </c>
      <c r="W933">
        <v>0</v>
      </c>
      <c r="X933">
        <v>7</v>
      </c>
      <c r="Y933">
        <v>0</v>
      </c>
      <c r="Z933" t="s">
        <v>15</v>
      </c>
      <c r="AA933" t="s">
        <v>4</v>
      </c>
      <c r="AB933" t="s">
        <v>6</v>
      </c>
      <c r="AC933" t="s">
        <v>7</v>
      </c>
      <c r="AD933" t="s">
        <v>8</v>
      </c>
      <c r="AE933" t="s">
        <v>6</v>
      </c>
      <c r="AF933" t="s">
        <v>3</v>
      </c>
      <c r="AG933" t="s">
        <v>3</v>
      </c>
      <c r="AH933" t="s">
        <v>3</v>
      </c>
      <c r="AI933" t="s">
        <v>3</v>
      </c>
      <c r="AJ933" t="s">
        <v>3</v>
      </c>
      <c r="AK933" t="s">
        <v>7</v>
      </c>
      <c r="AL933">
        <v>0</v>
      </c>
      <c r="AM933">
        <v>0</v>
      </c>
      <c r="AN933">
        <v>0</v>
      </c>
      <c r="AO933">
        <v>0</v>
      </c>
      <c r="AP933">
        <v>0</v>
      </c>
      <c r="AQ933" t="s">
        <v>9</v>
      </c>
      <c r="AR933" s="1">
        <v>1.07530428E-5</v>
      </c>
      <c r="AS933" s="1">
        <v>9.2473378599999997E-28</v>
      </c>
      <c r="AT933">
        <v>38</v>
      </c>
      <c r="AU933" t="s">
        <v>10</v>
      </c>
      <c r="AV933">
        <v>0</v>
      </c>
      <c r="AW933">
        <v>0</v>
      </c>
      <c r="AX933">
        <v>0</v>
      </c>
      <c r="AY933">
        <v>7</v>
      </c>
      <c r="AZ933">
        <v>0</v>
      </c>
      <c r="BA933" t="s">
        <v>15</v>
      </c>
      <c r="BB933" t="s">
        <v>4</v>
      </c>
      <c r="BC933" t="s">
        <v>10</v>
      </c>
      <c r="BD933">
        <v>0</v>
      </c>
      <c r="BE933">
        <v>0</v>
      </c>
      <c r="BF933">
        <v>0</v>
      </c>
      <c r="BG933">
        <v>0</v>
      </c>
      <c r="BH933">
        <v>0</v>
      </c>
      <c r="BI933" t="s">
        <v>9</v>
      </c>
      <c r="BJ933">
        <v>-5.5500000000000002E-6</v>
      </c>
      <c r="BK933">
        <v>0</v>
      </c>
      <c r="BL933">
        <v>-9.2099999999999999E-6</v>
      </c>
      <c r="BM933" s="2">
        <f t="shared" si="14"/>
        <v>5.5688770618090684E-9</v>
      </c>
    </row>
    <row r="934" spans="1:65" x14ac:dyDescent="0.35">
      <c r="A934">
        <v>0</v>
      </c>
      <c r="B934" t="s">
        <v>3</v>
      </c>
      <c r="C934" t="s">
        <v>4</v>
      </c>
      <c r="D934">
        <v>0</v>
      </c>
      <c r="E934" t="s">
        <v>3</v>
      </c>
      <c r="F934" t="s">
        <v>5</v>
      </c>
      <c r="G934">
        <v>2870.605</v>
      </c>
      <c r="H934" t="s">
        <v>4</v>
      </c>
      <c r="I934">
        <v>990.16341899999998</v>
      </c>
      <c r="J934">
        <v>1880.441581</v>
      </c>
      <c r="K934" t="s">
        <v>6</v>
      </c>
      <c r="L934" t="s">
        <v>7</v>
      </c>
      <c r="M934" t="s">
        <v>8</v>
      </c>
      <c r="N934" t="s">
        <v>6</v>
      </c>
      <c r="O934" t="s">
        <v>3</v>
      </c>
      <c r="P934" t="s">
        <v>3</v>
      </c>
      <c r="Q934" t="s">
        <v>3</v>
      </c>
      <c r="R934" t="s">
        <v>3</v>
      </c>
      <c r="S934" t="s">
        <v>3</v>
      </c>
      <c r="T934" t="s">
        <v>7</v>
      </c>
      <c r="U934">
        <v>2</v>
      </c>
      <c r="V934">
        <v>0</v>
      </c>
      <c r="W934">
        <v>0</v>
      </c>
      <c r="X934">
        <v>3</v>
      </c>
      <c r="Y934">
        <v>0</v>
      </c>
      <c r="Z934" t="s">
        <v>8</v>
      </c>
      <c r="AA934" t="s">
        <v>4</v>
      </c>
      <c r="AB934" t="s">
        <v>6</v>
      </c>
      <c r="AC934" t="s">
        <v>7</v>
      </c>
      <c r="AD934" t="s">
        <v>8</v>
      </c>
      <c r="AE934" t="s">
        <v>6</v>
      </c>
      <c r="AF934" t="s">
        <v>3</v>
      </c>
      <c r="AG934" t="s">
        <v>3</v>
      </c>
      <c r="AH934" t="s">
        <v>3</v>
      </c>
      <c r="AI934" t="s">
        <v>3</v>
      </c>
      <c r="AJ934" t="s">
        <v>3</v>
      </c>
      <c r="AK934" t="s">
        <v>7</v>
      </c>
      <c r="AL934">
        <v>0</v>
      </c>
      <c r="AM934">
        <v>0</v>
      </c>
      <c r="AN934">
        <v>0</v>
      </c>
      <c r="AO934">
        <v>0</v>
      </c>
      <c r="AP934">
        <v>0</v>
      </c>
      <c r="AQ934" t="s">
        <v>9</v>
      </c>
      <c r="AR934" s="1">
        <v>3.1779224900000002E-6</v>
      </c>
      <c r="AS934" s="1">
        <v>5.1016784000000004E-29</v>
      </c>
      <c r="AT934">
        <v>38</v>
      </c>
      <c r="AU934" t="s">
        <v>10</v>
      </c>
      <c r="AV934">
        <v>2</v>
      </c>
      <c r="AW934">
        <v>0</v>
      </c>
      <c r="AX934">
        <v>0</v>
      </c>
      <c r="AY934">
        <v>3</v>
      </c>
      <c r="AZ934">
        <v>0</v>
      </c>
      <c r="BA934" t="s">
        <v>8</v>
      </c>
      <c r="BB934" t="s">
        <v>4</v>
      </c>
      <c r="BC934" t="s">
        <v>10</v>
      </c>
      <c r="BD934">
        <v>0</v>
      </c>
      <c r="BE934">
        <v>0</v>
      </c>
      <c r="BF934">
        <v>0</v>
      </c>
      <c r="BG934">
        <v>0</v>
      </c>
      <c r="BH934">
        <v>0</v>
      </c>
      <c r="BI934" t="s">
        <v>9</v>
      </c>
      <c r="BJ934">
        <v>2.8200000000000001E-6</v>
      </c>
      <c r="BK934">
        <v>0</v>
      </c>
      <c r="BL934">
        <v>-1.46E-6</v>
      </c>
      <c r="BM934" s="2">
        <f t="shared" si="14"/>
        <v>3.0723025641118722E-10</v>
      </c>
    </row>
    <row r="935" spans="1:65" x14ac:dyDescent="0.35">
      <c r="A935">
        <v>0</v>
      </c>
      <c r="B935" t="s">
        <v>11</v>
      </c>
      <c r="C935" t="s">
        <v>4</v>
      </c>
      <c r="D935">
        <v>0</v>
      </c>
      <c r="E935" t="s">
        <v>3</v>
      </c>
      <c r="F935" t="s">
        <v>5</v>
      </c>
      <c r="G935">
        <v>4089.3930380000002</v>
      </c>
      <c r="H935" t="s">
        <v>4</v>
      </c>
      <c r="I935">
        <v>990.16341899999998</v>
      </c>
      <c r="J935">
        <v>3099.2296190000002</v>
      </c>
      <c r="K935" t="s">
        <v>6</v>
      </c>
      <c r="L935" t="s">
        <v>7</v>
      </c>
      <c r="M935" t="s">
        <v>8</v>
      </c>
      <c r="N935" t="s">
        <v>6</v>
      </c>
      <c r="O935" t="s">
        <v>3</v>
      </c>
      <c r="P935" t="s">
        <v>3</v>
      </c>
      <c r="Q935" t="s">
        <v>3</v>
      </c>
      <c r="R935" t="s">
        <v>3</v>
      </c>
      <c r="S935" t="s">
        <v>11</v>
      </c>
      <c r="T935" t="s">
        <v>7</v>
      </c>
      <c r="U935">
        <v>0</v>
      </c>
      <c r="V935">
        <v>1</v>
      </c>
      <c r="W935">
        <v>0</v>
      </c>
      <c r="X935">
        <v>0</v>
      </c>
      <c r="Y935">
        <v>0</v>
      </c>
      <c r="Z935" t="s">
        <v>23</v>
      </c>
      <c r="AA935" t="s">
        <v>4</v>
      </c>
      <c r="AB935" t="s">
        <v>6</v>
      </c>
      <c r="AC935" t="s">
        <v>7</v>
      </c>
      <c r="AD935" t="s">
        <v>8</v>
      </c>
      <c r="AE935" t="s">
        <v>6</v>
      </c>
      <c r="AF935" t="s">
        <v>3</v>
      </c>
      <c r="AG935" t="s">
        <v>3</v>
      </c>
      <c r="AH935" t="s">
        <v>3</v>
      </c>
      <c r="AI935" t="s">
        <v>3</v>
      </c>
      <c r="AJ935" t="s">
        <v>3</v>
      </c>
      <c r="AK935" t="s">
        <v>7</v>
      </c>
      <c r="AL935">
        <v>0</v>
      </c>
      <c r="AM935">
        <v>0</v>
      </c>
      <c r="AN935">
        <v>0</v>
      </c>
      <c r="AO935">
        <v>0</v>
      </c>
      <c r="AP935">
        <v>0</v>
      </c>
      <c r="AQ935" t="s">
        <v>9</v>
      </c>
      <c r="AR935" s="1">
        <v>3.7123494199999998E-5</v>
      </c>
      <c r="AS935" s="1">
        <v>1.1475390499999999E-26</v>
      </c>
      <c r="AT935">
        <v>40</v>
      </c>
      <c r="AU935" t="s">
        <v>10</v>
      </c>
      <c r="AV935">
        <v>0</v>
      </c>
      <c r="AW935">
        <v>1</v>
      </c>
      <c r="AX935">
        <v>0</v>
      </c>
      <c r="AY935">
        <v>0</v>
      </c>
      <c r="AZ935">
        <v>0</v>
      </c>
      <c r="BA935" t="s">
        <v>23</v>
      </c>
      <c r="BB935" t="s">
        <v>4</v>
      </c>
      <c r="BC935" t="s">
        <v>10</v>
      </c>
      <c r="BD935">
        <v>0</v>
      </c>
      <c r="BE935">
        <v>0</v>
      </c>
      <c r="BF935">
        <v>0</v>
      </c>
      <c r="BG935">
        <v>0</v>
      </c>
      <c r="BH935">
        <v>0</v>
      </c>
      <c r="BI935" t="s">
        <v>9</v>
      </c>
      <c r="BJ935">
        <v>0</v>
      </c>
      <c r="BK935">
        <v>3.7119999999999997E-5</v>
      </c>
      <c r="BL935">
        <v>0</v>
      </c>
      <c r="BM935" s="2">
        <f t="shared" si="14"/>
        <v>6.9106417325982391E-8</v>
      </c>
    </row>
    <row r="936" spans="1:65" x14ac:dyDescent="0.35">
      <c r="A936">
        <v>0</v>
      </c>
      <c r="B936" t="s">
        <v>3</v>
      </c>
      <c r="C936" t="s">
        <v>4</v>
      </c>
      <c r="D936">
        <v>0</v>
      </c>
      <c r="E936" t="s">
        <v>3</v>
      </c>
      <c r="F936" t="s">
        <v>5</v>
      </c>
      <c r="G936">
        <v>4573.6205019999998</v>
      </c>
      <c r="H936" t="s">
        <v>4</v>
      </c>
      <c r="I936">
        <v>990.16341899999998</v>
      </c>
      <c r="J936">
        <v>3583.4570829999998</v>
      </c>
      <c r="K936" t="s">
        <v>6</v>
      </c>
      <c r="L936" t="s">
        <v>7</v>
      </c>
      <c r="M936" t="s">
        <v>8</v>
      </c>
      <c r="N936" t="s">
        <v>6</v>
      </c>
      <c r="O936" t="s">
        <v>3</v>
      </c>
      <c r="P936" t="s">
        <v>3</v>
      </c>
      <c r="Q936" t="s">
        <v>3</v>
      </c>
      <c r="R936" t="s">
        <v>3</v>
      </c>
      <c r="S936" t="s">
        <v>3</v>
      </c>
      <c r="T936" t="s">
        <v>7</v>
      </c>
      <c r="U936">
        <v>5</v>
      </c>
      <c r="V936">
        <v>0</v>
      </c>
      <c r="W936">
        <v>0</v>
      </c>
      <c r="X936">
        <v>1</v>
      </c>
      <c r="Y936">
        <v>0</v>
      </c>
      <c r="Z936" t="s">
        <v>8</v>
      </c>
      <c r="AA936" t="s">
        <v>4</v>
      </c>
      <c r="AB936" t="s">
        <v>6</v>
      </c>
      <c r="AC936" t="s">
        <v>7</v>
      </c>
      <c r="AD936" t="s">
        <v>8</v>
      </c>
      <c r="AE936" t="s">
        <v>6</v>
      </c>
      <c r="AF936" t="s">
        <v>3</v>
      </c>
      <c r="AG936" t="s">
        <v>3</v>
      </c>
      <c r="AH936" t="s">
        <v>3</v>
      </c>
      <c r="AI936" t="s">
        <v>3</v>
      </c>
      <c r="AJ936" t="s">
        <v>3</v>
      </c>
      <c r="AK936" t="s">
        <v>7</v>
      </c>
      <c r="AL936">
        <v>0</v>
      </c>
      <c r="AM936">
        <v>0</v>
      </c>
      <c r="AN936">
        <v>0</v>
      </c>
      <c r="AO936">
        <v>0</v>
      </c>
      <c r="AP936">
        <v>0</v>
      </c>
      <c r="AQ936" t="s">
        <v>9</v>
      </c>
      <c r="AR936" s="1">
        <v>6.7021223299999999E-5</v>
      </c>
      <c r="AS936" s="1">
        <v>4.3245712600000002E-26</v>
      </c>
      <c r="AT936">
        <v>38</v>
      </c>
      <c r="AU936" t="s">
        <v>10</v>
      </c>
      <c r="AV936">
        <v>5</v>
      </c>
      <c r="AW936">
        <v>0</v>
      </c>
      <c r="AX936">
        <v>0</v>
      </c>
      <c r="AY936">
        <v>1</v>
      </c>
      <c r="AZ936">
        <v>0</v>
      </c>
      <c r="BA936" t="s">
        <v>8</v>
      </c>
      <c r="BB936" t="s">
        <v>4</v>
      </c>
      <c r="BC936" t="s">
        <v>10</v>
      </c>
      <c r="BD936">
        <v>0</v>
      </c>
      <c r="BE936">
        <v>0</v>
      </c>
      <c r="BF936">
        <v>0</v>
      </c>
      <c r="BG936">
        <v>0</v>
      </c>
      <c r="BH936">
        <v>0</v>
      </c>
      <c r="BI936" t="s">
        <v>9</v>
      </c>
      <c r="BJ936">
        <v>-5.9339999999999998E-5</v>
      </c>
      <c r="BK936">
        <v>0</v>
      </c>
      <c r="BL936">
        <v>3.1149999999999998E-5</v>
      </c>
      <c r="BM936" s="2">
        <f t="shared" si="14"/>
        <v>2.6043177027353407E-7</v>
      </c>
    </row>
    <row r="937" spans="1:65" x14ac:dyDescent="0.35">
      <c r="A937">
        <v>0</v>
      </c>
      <c r="B937" t="s">
        <v>3</v>
      </c>
      <c r="C937" t="s">
        <v>4</v>
      </c>
      <c r="D937">
        <v>0</v>
      </c>
      <c r="E937" t="s">
        <v>3</v>
      </c>
      <c r="F937" t="s">
        <v>5</v>
      </c>
      <c r="G937">
        <v>4356.3663960000003</v>
      </c>
      <c r="H937" t="s">
        <v>4</v>
      </c>
      <c r="I937">
        <v>990.16341899999998</v>
      </c>
      <c r="J937">
        <v>3366.2029769999999</v>
      </c>
      <c r="K937" t="s">
        <v>6</v>
      </c>
      <c r="L937" t="s">
        <v>7</v>
      </c>
      <c r="M937" t="s">
        <v>8</v>
      </c>
      <c r="N937" t="s">
        <v>6</v>
      </c>
      <c r="O937" t="s">
        <v>3</v>
      </c>
      <c r="P937" t="s">
        <v>3</v>
      </c>
      <c r="Q937" t="s">
        <v>3</v>
      </c>
      <c r="R937" t="s">
        <v>3</v>
      </c>
      <c r="S937" t="s">
        <v>3</v>
      </c>
      <c r="T937" t="s">
        <v>7</v>
      </c>
      <c r="U937">
        <v>3</v>
      </c>
      <c r="V937">
        <v>0</v>
      </c>
      <c r="W937">
        <v>0</v>
      </c>
      <c r="X937">
        <v>0</v>
      </c>
      <c r="Y937">
        <v>0</v>
      </c>
      <c r="Z937" t="s">
        <v>21</v>
      </c>
      <c r="AA937" t="s">
        <v>4</v>
      </c>
      <c r="AB937" t="s">
        <v>6</v>
      </c>
      <c r="AC937" t="s">
        <v>7</v>
      </c>
      <c r="AD937" t="s">
        <v>8</v>
      </c>
      <c r="AE937" t="s">
        <v>6</v>
      </c>
      <c r="AF937" t="s">
        <v>3</v>
      </c>
      <c r="AG937" t="s">
        <v>3</v>
      </c>
      <c r="AH937" t="s">
        <v>3</v>
      </c>
      <c r="AI937" t="s">
        <v>3</v>
      </c>
      <c r="AJ937" t="s">
        <v>3</v>
      </c>
      <c r="AK937" t="s">
        <v>7</v>
      </c>
      <c r="AL937">
        <v>0</v>
      </c>
      <c r="AM937">
        <v>0</v>
      </c>
      <c r="AN937">
        <v>0</v>
      </c>
      <c r="AO937">
        <v>0</v>
      </c>
      <c r="AP937">
        <v>0</v>
      </c>
      <c r="AQ937" t="s">
        <v>9</v>
      </c>
      <c r="AR937" s="1">
        <v>6.0319942200000003E-5</v>
      </c>
      <c r="AS937" s="1">
        <v>3.2906239799999999E-26</v>
      </c>
      <c r="AT937">
        <v>39</v>
      </c>
      <c r="AU937" t="s">
        <v>10</v>
      </c>
      <c r="AV937">
        <v>3</v>
      </c>
      <c r="AW937">
        <v>0</v>
      </c>
      <c r="AX937">
        <v>0</v>
      </c>
      <c r="AY937">
        <v>0</v>
      </c>
      <c r="AZ937">
        <v>0</v>
      </c>
      <c r="BA937" t="s">
        <v>21</v>
      </c>
      <c r="BB937" t="s">
        <v>4</v>
      </c>
      <c r="BC937" t="s">
        <v>10</v>
      </c>
      <c r="BD937">
        <v>0</v>
      </c>
      <c r="BE937">
        <v>0</v>
      </c>
      <c r="BF937">
        <v>0</v>
      </c>
      <c r="BG937">
        <v>0</v>
      </c>
      <c r="BH937">
        <v>0</v>
      </c>
      <c r="BI937" t="s">
        <v>9</v>
      </c>
      <c r="BJ937">
        <v>5.9729999999999999E-5</v>
      </c>
      <c r="BK937">
        <v>0</v>
      </c>
      <c r="BL937">
        <v>8.4200000000000007E-6</v>
      </c>
      <c r="BM937" s="2">
        <f t="shared" si="14"/>
        <v>1.9816600927416382E-7</v>
      </c>
    </row>
    <row r="938" spans="1:65" x14ac:dyDescent="0.35">
      <c r="A938">
        <v>0</v>
      </c>
      <c r="B938" t="s">
        <v>11</v>
      </c>
      <c r="C938" t="s">
        <v>4</v>
      </c>
      <c r="D938">
        <v>0</v>
      </c>
      <c r="E938" t="s">
        <v>3</v>
      </c>
      <c r="F938" t="s">
        <v>5</v>
      </c>
      <c r="G938">
        <v>4278.6723019999999</v>
      </c>
      <c r="H938" t="s">
        <v>4</v>
      </c>
      <c r="I938">
        <v>990.16341899999998</v>
      </c>
      <c r="J938">
        <v>3288.508883</v>
      </c>
      <c r="K938" t="s">
        <v>6</v>
      </c>
      <c r="L938" t="s">
        <v>7</v>
      </c>
      <c r="M938" t="s">
        <v>8</v>
      </c>
      <c r="N938" t="s">
        <v>6</v>
      </c>
      <c r="O938" t="s">
        <v>3</v>
      </c>
      <c r="P938" t="s">
        <v>3</v>
      </c>
      <c r="Q938" t="s">
        <v>3</v>
      </c>
      <c r="R938" t="s">
        <v>3</v>
      </c>
      <c r="S938" t="s">
        <v>11</v>
      </c>
      <c r="T938" t="s">
        <v>7</v>
      </c>
      <c r="U938">
        <v>0</v>
      </c>
      <c r="V938">
        <v>3</v>
      </c>
      <c r="W938">
        <v>0</v>
      </c>
      <c r="X938">
        <v>0</v>
      </c>
      <c r="Y938">
        <v>0</v>
      </c>
      <c r="Z938" t="s">
        <v>18</v>
      </c>
      <c r="AA938" t="s">
        <v>4</v>
      </c>
      <c r="AB938" t="s">
        <v>6</v>
      </c>
      <c r="AC938" t="s">
        <v>7</v>
      </c>
      <c r="AD938" t="s">
        <v>8</v>
      </c>
      <c r="AE938" t="s">
        <v>6</v>
      </c>
      <c r="AF938" t="s">
        <v>3</v>
      </c>
      <c r="AG938" t="s">
        <v>3</v>
      </c>
      <c r="AH938" t="s">
        <v>3</v>
      </c>
      <c r="AI938" t="s">
        <v>3</v>
      </c>
      <c r="AJ938" t="s">
        <v>3</v>
      </c>
      <c r="AK938" t="s">
        <v>7</v>
      </c>
      <c r="AL938">
        <v>0</v>
      </c>
      <c r="AM938">
        <v>0</v>
      </c>
      <c r="AN938">
        <v>0</v>
      </c>
      <c r="AO938">
        <v>0</v>
      </c>
      <c r="AP938">
        <v>0</v>
      </c>
      <c r="AQ938" t="s">
        <v>9</v>
      </c>
      <c r="AR938" s="1">
        <v>8.7977289999999998E-6</v>
      </c>
      <c r="AS938" s="1">
        <v>6.8384281299999996E-28</v>
      </c>
      <c r="AT938">
        <v>39</v>
      </c>
      <c r="AU938" t="s">
        <v>10</v>
      </c>
      <c r="AV938">
        <v>0</v>
      </c>
      <c r="AW938">
        <v>3</v>
      </c>
      <c r="AX938">
        <v>0</v>
      </c>
      <c r="AY938">
        <v>0</v>
      </c>
      <c r="AZ938">
        <v>0</v>
      </c>
      <c r="BA938" t="s">
        <v>18</v>
      </c>
      <c r="BB938" t="s">
        <v>4</v>
      </c>
      <c r="BC938" t="s">
        <v>10</v>
      </c>
      <c r="BD938">
        <v>0</v>
      </c>
      <c r="BE938">
        <v>0</v>
      </c>
      <c r="BF938">
        <v>0</v>
      </c>
      <c r="BG938">
        <v>0</v>
      </c>
      <c r="BH938">
        <v>0</v>
      </c>
      <c r="BI938" t="s">
        <v>9</v>
      </c>
      <c r="BJ938">
        <v>0</v>
      </c>
      <c r="BK938">
        <v>8.8000000000000004E-6</v>
      </c>
      <c r="BL938">
        <v>0</v>
      </c>
      <c r="BM938" s="2">
        <f t="shared" si="14"/>
        <v>4.1181977049540701E-9</v>
      </c>
    </row>
    <row r="939" spans="1:65" x14ac:dyDescent="0.35">
      <c r="A939">
        <v>0</v>
      </c>
      <c r="B939" t="s">
        <v>3</v>
      </c>
      <c r="C939" t="s">
        <v>4</v>
      </c>
      <c r="D939">
        <v>0</v>
      </c>
      <c r="E939" t="s">
        <v>3</v>
      </c>
      <c r="F939" t="s">
        <v>5</v>
      </c>
      <c r="G939">
        <v>4465.8285610000003</v>
      </c>
      <c r="H939" t="s">
        <v>4</v>
      </c>
      <c r="I939">
        <v>990.16341899999998</v>
      </c>
      <c r="J939">
        <v>3475.6651419999998</v>
      </c>
      <c r="K939" t="s">
        <v>6</v>
      </c>
      <c r="L939" t="s">
        <v>7</v>
      </c>
      <c r="M939" t="s">
        <v>8</v>
      </c>
      <c r="N939" t="s">
        <v>6</v>
      </c>
      <c r="O939" t="s">
        <v>3</v>
      </c>
      <c r="P939" t="s">
        <v>3</v>
      </c>
      <c r="Q939" t="s">
        <v>3</v>
      </c>
      <c r="R939" t="s">
        <v>3</v>
      </c>
      <c r="S939" t="s">
        <v>3</v>
      </c>
      <c r="T939" t="s">
        <v>7</v>
      </c>
      <c r="U939">
        <v>0</v>
      </c>
      <c r="V939">
        <v>0</v>
      </c>
      <c r="W939">
        <v>0</v>
      </c>
      <c r="X939">
        <v>0</v>
      </c>
      <c r="Y939">
        <v>1</v>
      </c>
      <c r="Z939" t="s">
        <v>17</v>
      </c>
      <c r="AA939" t="s">
        <v>4</v>
      </c>
      <c r="AB939" t="s">
        <v>6</v>
      </c>
      <c r="AC939" t="s">
        <v>7</v>
      </c>
      <c r="AD939" t="s">
        <v>8</v>
      </c>
      <c r="AE939" t="s">
        <v>6</v>
      </c>
      <c r="AF939" t="s">
        <v>3</v>
      </c>
      <c r="AG939" t="s">
        <v>3</v>
      </c>
      <c r="AH939" t="s">
        <v>3</v>
      </c>
      <c r="AI939" t="s">
        <v>3</v>
      </c>
      <c r="AJ939" t="s">
        <v>3</v>
      </c>
      <c r="AK939" t="s">
        <v>7</v>
      </c>
      <c r="AL939">
        <v>0</v>
      </c>
      <c r="AM939">
        <v>0</v>
      </c>
      <c r="AN939">
        <v>0</v>
      </c>
      <c r="AO939">
        <v>0</v>
      </c>
      <c r="AP939">
        <v>0</v>
      </c>
      <c r="AQ939" t="s">
        <v>9</v>
      </c>
      <c r="AR939" s="1">
        <v>5.32624278E-5</v>
      </c>
      <c r="AS939" s="1">
        <v>2.6490855699999997E-26</v>
      </c>
      <c r="AT939">
        <v>25</v>
      </c>
      <c r="AU939" t="s">
        <v>10</v>
      </c>
      <c r="AV939">
        <v>0</v>
      </c>
      <c r="AW939">
        <v>0</v>
      </c>
      <c r="AX939">
        <v>0</v>
      </c>
      <c r="AY939">
        <v>0</v>
      </c>
      <c r="AZ939">
        <v>1</v>
      </c>
      <c r="BA939" t="s">
        <v>17</v>
      </c>
      <c r="BB939" t="s">
        <v>4</v>
      </c>
      <c r="BC939" t="s">
        <v>10</v>
      </c>
      <c r="BD939">
        <v>0</v>
      </c>
      <c r="BE939">
        <v>0</v>
      </c>
      <c r="BF939">
        <v>0</v>
      </c>
      <c r="BG939">
        <v>0</v>
      </c>
      <c r="BH939">
        <v>0</v>
      </c>
      <c r="BI939" t="s">
        <v>9</v>
      </c>
      <c r="BJ939">
        <v>3.561E-5</v>
      </c>
      <c r="BK939">
        <v>0</v>
      </c>
      <c r="BL939">
        <v>3.9610000000000002E-5</v>
      </c>
      <c r="BM939" s="2">
        <f t="shared" si="14"/>
        <v>1.5953166293788252E-7</v>
      </c>
    </row>
    <row r="940" spans="1:65" x14ac:dyDescent="0.35">
      <c r="A940">
        <v>0</v>
      </c>
      <c r="B940" t="s">
        <v>3</v>
      </c>
      <c r="C940" t="s">
        <v>4</v>
      </c>
      <c r="D940">
        <v>0</v>
      </c>
      <c r="E940" t="s">
        <v>3</v>
      </c>
      <c r="F940" t="s">
        <v>5</v>
      </c>
      <c r="G940">
        <v>4819.861793</v>
      </c>
      <c r="H940" t="s">
        <v>4</v>
      </c>
      <c r="I940">
        <v>990.16341899999998</v>
      </c>
      <c r="J940">
        <v>3829.6983740000001</v>
      </c>
      <c r="K940" t="s">
        <v>6</v>
      </c>
      <c r="L940" t="s">
        <v>7</v>
      </c>
      <c r="M940" t="s">
        <v>8</v>
      </c>
      <c r="N940" t="s">
        <v>6</v>
      </c>
      <c r="O940" t="s">
        <v>3</v>
      </c>
      <c r="P940" t="s">
        <v>3</v>
      </c>
      <c r="Q940" t="s">
        <v>3</v>
      </c>
      <c r="R940" t="s">
        <v>3</v>
      </c>
      <c r="S940" t="s">
        <v>3</v>
      </c>
      <c r="T940" t="s">
        <v>7</v>
      </c>
      <c r="U940">
        <v>2</v>
      </c>
      <c r="V940">
        <v>1</v>
      </c>
      <c r="W940">
        <v>0</v>
      </c>
      <c r="X940">
        <v>0</v>
      </c>
      <c r="Y940">
        <v>0</v>
      </c>
      <c r="Z940" t="s">
        <v>21</v>
      </c>
      <c r="AA940" t="s">
        <v>4</v>
      </c>
      <c r="AB940" t="s">
        <v>6</v>
      </c>
      <c r="AC940" t="s">
        <v>7</v>
      </c>
      <c r="AD940" t="s">
        <v>8</v>
      </c>
      <c r="AE940" t="s">
        <v>6</v>
      </c>
      <c r="AF940" t="s">
        <v>3</v>
      </c>
      <c r="AG940" t="s">
        <v>3</v>
      </c>
      <c r="AH940" t="s">
        <v>3</v>
      </c>
      <c r="AI940" t="s">
        <v>3</v>
      </c>
      <c r="AJ940" t="s">
        <v>3</v>
      </c>
      <c r="AK940" t="s">
        <v>7</v>
      </c>
      <c r="AL940">
        <v>0</v>
      </c>
      <c r="AM940">
        <v>0</v>
      </c>
      <c r="AN940">
        <v>0</v>
      </c>
      <c r="AO940">
        <v>0</v>
      </c>
      <c r="AP940">
        <v>0</v>
      </c>
      <c r="AQ940" t="s">
        <v>9</v>
      </c>
      <c r="AR940" s="1">
        <v>9.6899762400000006E-5</v>
      </c>
      <c r="AS940" s="1">
        <v>9.6610905799999995E-26</v>
      </c>
      <c r="AT940">
        <v>41</v>
      </c>
      <c r="AU940" t="s">
        <v>10</v>
      </c>
      <c r="AV940">
        <v>2</v>
      </c>
      <c r="AW940">
        <v>1</v>
      </c>
      <c r="AX940">
        <v>0</v>
      </c>
      <c r="AY940">
        <v>0</v>
      </c>
      <c r="AZ940">
        <v>0</v>
      </c>
      <c r="BA940" t="s">
        <v>21</v>
      </c>
      <c r="BB940" t="s">
        <v>4</v>
      </c>
      <c r="BC940" t="s">
        <v>10</v>
      </c>
      <c r="BD940">
        <v>0</v>
      </c>
      <c r="BE940">
        <v>0</v>
      </c>
      <c r="BF940">
        <v>0</v>
      </c>
      <c r="BG940">
        <v>0</v>
      </c>
      <c r="BH940">
        <v>0</v>
      </c>
      <c r="BI940" t="s">
        <v>9</v>
      </c>
      <c r="BJ940">
        <v>5.7729999999999998E-5</v>
      </c>
      <c r="BK940">
        <v>0</v>
      </c>
      <c r="BL940">
        <v>-7.7830000000000005E-5</v>
      </c>
      <c r="BM940" s="2">
        <f t="shared" si="14"/>
        <v>5.8180447754313661E-7</v>
      </c>
    </row>
    <row r="941" spans="1:65" x14ac:dyDescent="0.35">
      <c r="A941">
        <v>0</v>
      </c>
      <c r="B941" t="s">
        <v>11</v>
      </c>
      <c r="C941" t="s">
        <v>4</v>
      </c>
      <c r="D941">
        <v>0</v>
      </c>
      <c r="E941" t="s">
        <v>3</v>
      </c>
      <c r="F941" t="s">
        <v>5</v>
      </c>
      <c r="G941">
        <v>4771.2776400000002</v>
      </c>
      <c r="H941" t="s">
        <v>4</v>
      </c>
      <c r="I941">
        <v>990.16341899999998</v>
      </c>
      <c r="J941">
        <v>3781.1142209999998</v>
      </c>
      <c r="K941" t="s">
        <v>6</v>
      </c>
      <c r="L941" t="s">
        <v>7</v>
      </c>
      <c r="M941" t="s">
        <v>8</v>
      </c>
      <c r="N941" t="s">
        <v>6</v>
      </c>
      <c r="O941" t="s">
        <v>3</v>
      </c>
      <c r="P941" t="s">
        <v>3</v>
      </c>
      <c r="Q941" t="s">
        <v>3</v>
      </c>
      <c r="R941" t="s">
        <v>3</v>
      </c>
      <c r="S941" t="s">
        <v>11</v>
      </c>
      <c r="T941" t="s">
        <v>7</v>
      </c>
      <c r="U941">
        <v>4</v>
      </c>
      <c r="V941">
        <v>0</v>
      </c>
      <c r="W941">
        <v>0</v>
      </c>
      <c r="X941">
        <v>0</v>
      </c>
      <c r="Y941">
        <v>0</v>
      </c>
      <c r="Z941" t="s">
        <v>14</v>
      </c>
      <c r="AA941" t="s">
        <v>4</v>
      </c>
      <c r="AB941" t="s">
        <v>6</v>
      </c>
      <c r="AC941" t="s">
        <v>7</v>
      </c>
      <c r="AD941" t="s">
        <v>8</v>
      </c>
      <c r="AE941" t="s">
        <v>6</v>
      </c>
      <c r="AF941" t="s">
        <v>3</v>
      </c>
      <c r="AG941" t="s">
        <v>3</v>
      </c>
      <c r="AH941" t="s">
        <v>3</v>
      </c>
      <c r="AI941" t="s">
        <v>3</v>
      </c>
      <c r="AJ941" t="s">
        <v>3</v>
      </c>
      <c r="AK941" t="s">
        <v>7</v>
      </c>
      <c r="AL941">
        <v>0</v>
      </c>
      <c r="AM941">
        <v>0</v>
      </c>
      <c r="AN941">
        <v>0</v>
      </c>
      <c r="AO941">
        <v>0</v>
      </c>
      <c r="AP941">
        <v>0</v>
      </c>
      <c r="AQ941" t="s">
        <v>9</v>
      </c>
      <c r="AR941" s="1">
        <v>3.9171300999999998E-5</v>
      </c>
      <c r="AS941" s="1">
        <v>1.55873378E-26</v>
      </c>
      <c r="AT941">
        <v>39</v>
      </c>
      <c r="AU941" t="s">
        <v>10</v>
      </c>
      <c r="AV941">
        <v>4</v>
      </c>
      <c r="AW941">
        <v>0</v>
      </c>
      <c r="AX941">
        <v>0</v>
      </c>
      <c r="AY941">
        <v>0</v>
      </c>
      <c r="AZ941">
        <v>0</v>
      </c>
      <c r="BA941" t="s">
        <v>14</v>
      </c>
      <c r="BB941" t="s">
        <v>4</v>
      </c>
      <c r="BC941" t="s">
        <v>10</v>
      </c>
      <c r="BD941">
        <v>0</v>
      </c>
      <c r="BE941">
        <v>0</v>
      </c>
      <c r="BF941">
        <v>0</v>
      </c>
      <c r="BG941">
        <v>0</v>
      </c>
      <c r="BH941">
        <v>0</v>
      </c>
      <c r="BI941" t="s">
        <v>9</v>
      </c>
      <c r="BJ941">
        <v>0</v>
      </c>
      <c r="BK941">
        <v>-3.9169999999999999E-5</v>
      </c>
      <c r="BL941">
        <v>0</v>
      </c>
      <c r="BM941" s="2">
        <f t="shared" si="14"/>
        <v>9.3869142928762234E-8</v>
      </c>
    </row>
    <row r="942" spans="1:65" x14ac:dyDescent="0.35">
      <c r="A942">
        <v>0</v>
      </c>
      <c r="B942" t="s">
        <v>3</v>
      </c>
      <c r="C942" t="s">
        <v>4</v>
      </c>
      <c r="D942">
        <v>0</v>
      </c>
      <c r="E942" t="s">
        <v>3</v>
      </c>
      <c r="F942" t="s">
        <v>5</v>
      </c>
      <c r="G942">
        <v>3113.347479</v>
      </c>
      <c r="H942" t="s">
        <v>4</v>
      </c>
      <c r="I942">
        <v>990.16341899999998</v>
      </c>
      <c r="J942">
        <v>2123.18406</v>
      </c>
      <c r="K942" t="s">
        <v>6</v>
      </c>
      <c r="L942" t="s">
        <v>7</v>
      </c>
      <c r="M942" t="s">
        <v>8</v>
      </c>
      <c r="N942" t="s">
        <v>6</v>
      </c>
      <c r="O942" t="s">
        <v>3</v>
      </c>
      <c r="P942" t="s">
        <v>3</v>
      </c>
      <c r="Q942" t="s">
        <v>3</v>
      </c>
      <c r="R942" t="s">
        <v>3</v>
      </c>
      <c r="S942" t="s">
        <v>3</v>
      </c>
      <c r="T942" t="s">
        <v>7</v>
      </c>
      <c r="U942">
        <v>1</v>
      </c>
      <c r="V942">
        <v>1</v>
      </c>
      <c r="W942">
        <v>0</v>
      </c>
      <c r="X942">
        <v>0</v>
      </c>
      <c r="Y942">
        <v>0</v>
      </c>
      <c r="Z942" t="s">
        <v>9</v>
      </c>
      <c r="AA942" t="s">
        <v>4</v>
      </c>
      <c r="AB942" t="s">
        <v>6</v>
      </c>
      <c r="AC942" t="s">
        <v>7</v>
      </c>
      <c r="AD942" t="s">
        <v>8</v>
      </c>
      <c r="AE942" t="s">
        <v>6</v>
      </c>
      <c r="AF942" t="s">
        <v>3</v>
      </c>
      <c r="AG942" t="s">
        <v>3</v>
      </c>
      <c r="AH942" t="s">
        <v>3</v>
      </c>
      <c r="AI942" t="s">
        <v>3</v>
      </c>
      <c r="AJ942" t="s">
        <v>3</v>
      </c>
      <c r="AK942" t="s">
        <v>7</v>
      </c>
      <c r="AL942">
        <v>0</v>
      </c>
      <c r="AM942">
        <v>0</v>
      </c>
      <c r="AN942">
        <v>0</v>
      </c>
      <c r="AO942">
        <v>0</v>
      </c>
      <c r="AP942">
        <v>0</v>
      </c>
      <c r="AQ942" t="s">
        <v>9</v>
      </c>
      <c r="AR942" s="1">
        <v>3.7884730699999998E-3</v>
      </c>
      <c r="AS942" s="1">
        <v>8.1868507899999996E-23</v>
      </c>
      <c r="AT942">
        <v>41</v>
      </c>
      <c r="AU942" t="s">
        <v>10</v>
      </c>
      <c r="AV942">
        <v>1</v>
      </c>
      <c r="AW942">
        <v>1</v>
      </c>
      <c r="AX942">
        <v>0</v>
      </c>
      <c r="AY942">
        <v>0</v>
      </c>
      <c r="AZ942">
        <v>0</v>
      </c>
      <c r="BA942" t="s">
        <v>9</v>
      </c>
      <c r="BB942" t="s">
        <v>4</v>
      </c>
      <c r="BC942" t="s">
        <v>10</v>
      </c>
      <c r="BD942">
        <v>0</v>
      </c>
      <c r="BE942">
        <v>0</v>
      </c>
      <c r="BF942">
        <v>0</v>
      </c>
      <c r="BG942">
        <v>0</v>
      </c>
      <c r="BH942">
        <v>0</v>
      </c>
      <c r="BI942" t="s">
        <v>9</v>
      </c>
      <c r="BJ942">
        <v>-3.4857E-3</v>
      </c>
      <c r="BK942">
        <v>0</v>
      </c>
      <c r="BL942">
        <v>-1.48405E-3</v>
      </c>
      <c r="BM942" s="2">
        <f t="shared" si="14"/>
        <v>4.9302368165971239E-4</v>
      </c>
    </row>
    <row r="943" spans="1:65" x14ac:dyDescent="0.35">
      <c r="A943">
        <v>0</v>
      </c>
      <c r="B943" t="s">
        <v>11</v>
      </c>
      <c r="C943" t="s">
        <v>4</v>
      </c>
      <c r="D943">
        <v>0</v>
      </c>
      <c r="E943" t="s">
        <v>3</v>
      </c>
      <c r="F943" t="s">
        <v>5</v>
      </c>
      <c r="G943">
        <v>4414.9828879999995</v>
      </c>
      <c r="H943" t="s">
        <v>4</v>
      </c>
      <c r="I943">
        <v>990.16341899999998</v>
      </c>
      <c r="J943">
        <v>3424.819469</v>
      </c>
      <c r="K943" t="s">
        <v>6</v>
      </c>
      <c r="L943" t="s">
        <v>7</v>
      </c>
      <c r="M943" t="s">
        <v>8</v>
      </c>
      <c r="N943" t="s">
        <v>6</v>
      </c>
      <c r="O943" t="s">
        <v>3</v>
      </c>
      <c r="P943" t="s">
        <v>3</v>
      </c>
      <c r="Q943" t="s">
        <v>3</v>
      </c>
      <c r="R943" t="s">
        <v>3</v>
      </c>
      <c r="S943" t="s">
        <v>11</v>
      </c>
      <c r="T943" t="s">
        <v>7</v>
      </c>
      <c r="U943">
        <v>2</v>
      </c>
      <c r="V943">
        <v>1</v>
      </c>
      <c r="W943">
        <v>0</v>
      </c>
      <c r="X943">
        <v>0</v>
      </c>
      <c r="Y943">
        <v>0</v>
      </c>
      <c r="Z943" t="s">
        <v>14</v>
      </c>
      <c r="AA943" t="s">
        <v>4</v>
      </c>
      <c r="AB943" t="s">
        <v>6</v>
      </c>
      <c r="AC943" t="s">
        <v>7</v>
      </c>
      <c r="AD943" t="s">
        <v>8</v>
      </c>
      <c r="AE943" t="s">
        <v>6</v>
      </c>
      <c r="AF943" t="s">
        <v>3</v>
      </c>
      <c r="AG943" t="s">
        <v>3</v>
      </c>
      <c r="AH943" t="s">
        <v>3</v>
      </c>
      <c r="AI943" t="s">
        <v>3</v>
      </c>
      <c r="AJ943" t="s">
        <v>3</v>
      </c>
      <c r="AK943" t="s">
        <v>7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9</v>
      </c>
      <c r="AR943" s="1">
        <v>1.35244223E-5</v>
      </c>
      <c r="AS943" s="1">
        <v>1.6830277000000001E-27</v>
      </c>
      <c r="AT943">
        <v>39</v>
      </c>
      <c r="AU943" t="s">
        <v>10</v>
      </c>
      <c r="AV943">
        <v>2</v>
      </c>
      <c r="AW943">
        <v>1</v>
      </c>
      <c r="AX943">
        <v>0</v>
      </c>
      <c r="AY943">
        <v>0</v>
      </c>
      <c r="AZ943">
        <v>0</v>
      </c>
      <c r="BA943" t="s">
        <v>14</v>
      </c>
      <c r="BB943" t="s">
        <v>4</v>
      </c>
      <c r="BC943" t="s">
        <v>10</v>
      </c>
      <c r="BD943">
        <v>0</v>
      </c>
      <c r="BE943">
        <v>0</v>
      </c>
      <c r="BF943">
        <v>0</v>
      </c>
      <c r="BG943">
        <v>0</v>
      </c>
      <c r="BH943">
        <v>0</v>
      </c>
      <c r="BI943" t="s">
        <v>9</v>
      </c>
      <c r="BJ943">
        <v>0</v>
      </c>
      <c r="BK943">
        <v>1.3519999999999999E-5</v>
      </c>
      <c r="BL943">
        <v>0</v>
      </c>
      <c r="BM943" s="2">
        <f t="shared" si="14"/>
        <v>1.0135429779700161E-8</v>
      </c>
    </row>
    <row r="944" spans="1:65" x14ac:dyDescent="0.35">
      <c r="A944">
        <v>0</v>
      </c>
      <c r="B944" t="s">
        <v>11</v>
      </c>
      <c r="C944" t="s">
        <v>4</v>
      </c>
      <c r="D944">
        <v>0</v>
      </c>
      <c r="E944" t="s">
        <v>3</v>
      </c>
      <c r="F944" t="s">
        <v>5</v>
      </c>
      <c r="G944">
        <v>3891.7700129999998</v>
      </c>
      <c r="H944" t="s">
        <v>4</v>
      </c>
      <c r="I944">
        <v>990.16341899999998</v>
      </c>
      <c r="J944">
        <v>2901.6065939999999</v>
      </c>
      <c r="K944" t="s">
        <v>6</v>
      </c>
      <c r="L944" t="s">
        <v>7</v>
      </c>
      <c r="M944" t="s">
        <v>8</v>
      </c>
      <c r="N944" t="s">
        <v>6</v>
      </c>
      <c r="O944" t="s">
        <v>3</v>
      </c>
      <c r="P944" t="s">
        <v>3</v>
      </c>
      <c r="Q944" t="s">
        <v>3</v>
      </c>
      <c r="R944" t="s">
        <v>3</v>
      </c>
      <c r="S944" t="s">
        <v>11</v>
      </c>
      <c r="T944" t="s">
        <v>7</v>
      </c>
      <c r="U944">
        <v>4</v>
      </c>
      <c r="V944">
        <v>0</v>
      </c>
      <c r="W944">
        <v>0</v>
      </c>
      <c r="X944">
        <v>0</v>
      </c>
      <c r="Y944">
        <v>0</v>
      </c>
      <c r="Z944" t="s">
        <v>18</v>
      </c>
      <c r="AA944" t="s">
        <v>4</v>
      </c>
      <c r="AB944" t="s">
        <v>6</v>
      </c>
      <c r="AC944" t="s">
        <v>7</v>
      </c>
      <c r="AD944" t="s">
        <v>8</v>
      </c>
      <c r="AE944" t="s">
        <v>6</v>
      </c>
      <c r="AF944" t="s">
        <v>3</v>
      </c>
      <c r="AG944" t="s">
        <v>3</v>
      </c>
      <c r="AH944" t="s">
        <v>3</v>
      </c>
      <c r="AI944" t="s">
        <v>3</v>
      </c>
      <c r="AJ944" t="s">
        <v>3</v>
      </c>
      <c r="AK944" t="s">
        <v>7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9</v>
      </c>
      <c r="AR944" s="1">
        <v>2.4334555399999999E-4</v>
      </c>
      <c r="AS944" s="1">
        <v>4.6163759200000004E-25</v>
      </c>
      <c r="AT944">
        <v>39</v>
      </c>
      <c r="AU944" t="s">
        <v>10</v>
      </c>
      <c r="AV944">
        <v>4</v>
      </c>
      <c r="AW944">
        <v>0</v>
      </c>
      <c r="AX944">
        <v>0</v>
      </c>
      <c r="AY944">
        <v>0</v>
      </c>
      <c r="AZ944">
        <v>0</v>
      </c>
      <c r="BA944" t="s">
        <v>18</v>
      </c>
      <c r="BB944" t="s">
        <v>4</v>
      </c>
      <c r="BC944" t="s">
        <v>10</v>
      </c>
      <c r="BD944">
        <v>0</v>
      </c>
      <c r="BE944">
        <v>0</v>
      </c>
      <c r="BF944">
        <v>0</v>
      </c>
      <c r="BG944">
        <v>0</v>
      </c>
      <c r="BH944">
        <v>0</v>
      </c>
      <c r="BI944" t="s">
        <v>9</v>
      </c>
      <c r="BJ944">
        <v>0</v>
      </c>
      <c r="BK944">
        <v>-2.4335000000000001E-4</v>
      </c>
      <c r="BL944">
        <v>0</v>
      </c>
      <c r="BM944" s="2">
        <f t="shared" si="14"/>
        <v>2.7800465775969536E-6</v>
      </c>
    </row>
    <row r="945" spans="1:65" x14ac:dyDescent="0.35">
      <c r="A945">
        <v>0</v>
      </c>
      <c r="B945" t="s">
        <v>3</v>
      </c>
      <c r="C945" t="s">
        <v>4</v>
      </c>
      <c r="D945">
        <v>0</v>
      </c>
      <c r="E945" t="s">
        <v>3</v>
      </c>
      <c r="F945" t="s">
        <v>5</v>
      </c>
      <c r="G945">
        <v>4937.7381660000001</v>
      </c>
      <c r="H945" t="s">
        <v>4</v>
      </c>
      <c r="I945">
        <v>990.16341899999998</v>
      </c>
      <c r="J945">
        <v>3947.5747470000001</v>
      </c>
      <c r="K945" t="s">
        <v>6</v>
      </c>
      <c r="L945" t="s">
        <v>7</v>
      </c>
      <c r="M945" t="s">
        <v>8</v>
      </c>
      <c r="N945" t="s">
        <v>6</v>
      </c>
      <c r="O945" t="s">
        <v>3</v>
      </c>
      <c r="P945" t="s">
        <v>3</v>
      </c>
      <c r="Q945" t="s">
        <v>3</v>
      </c>
      <c r="R945" t="s">
        <v>3</v>
      </c>
      <c r="S945" t="s">
        <v>3</v>
      </c>
      <c r="T945" t="s">
        <v>7</v>
      </c>
      <c r="U945">
        <v>2</v>
      </c>
      <c r="V945">
        <v>0</v>
      </c>
      <c r="W945">
        <v>0</v>
      </c>
      <c r="X945">
        <v>0</v>
      </c>
      <c r="Y945">
        <v>0</v>
      </c>
      <c r="Z945" t="s">
        <v>17</v>
      </c>
      <c r="AA945" t="s">
        <v>4</v>
      </c>
      <c r="AB945" t="s">
        <v>6</v>
      </c>
      <c r="AC945" t="s">
        <v>7</v>
      </c>
      <c r="AD945" t="s">
        <v>8</v>
      </c>
      <c r="AE945" t="s">
        <v>6</v>
      </c>
      <c r="AF945" t="s">
        <v>3</v>
      </c>
      <c r="AG945" t="s">
        <v>3</v>
      </c>
      <c r="AH945" t="s">
        <v>3</v>
      </c>
      <c r="AI945" t="s">
        <v>3</v>
      </c>
      <c r="AJ945" t="s">
        <v>3</v>
      </c>
      <c r="AK945" t="s">
        <v>7</v>
      </c>
      <c r="AL945">
        <v>0</v>
      </c>
      <c r="AM945">
        <v>0</v>
      </c>
      <c r="AN945">
        <v>0</v>
      </c>
      <c r="AO945">
        <v>0</v>
      </c>
      <c r="AP945">
        <v>0</v>
      </c>
      <c r="AQ945" t="s">
        <v>9</v>
      </c>
      <c r="AR945" s="1">
        <v>7.4093506299999996E-5</v>
      </c>
      <c r="AS945" s="1">
        <v>5.8224640699999999E-26</v>
      </c>
      <c r="AT945">
        <v>41</v>
      </c>
      <c r="AU945" t="s">
        <v>10</v>
      </c>
      <c r="AV945">
        <v>2</v>
      </c>
      <c r="AW945">
        <v>0</v>
      </c>
      <c r="AX945">
        <v>0</v>
      </c>
      <c r="AY945">
        <v>0</v>
      </c>
      <c r="AZ945">
        <v>0</v>
      </c>
      <c r="BA945" t="s">
        <v>17</v>
      </c>
      <c r="BB945" t="s">
        <v>4</v>
      </c>
      <c r="BC945" t="s">
        <v>10</v>
      </c>
      <c r="BD945">
        <v>0</v>
      </c>
      <c r="BE945">
        <v>0</v>
      </c>
      <c r="BF945">
        <v>0</v>
      </c>
      <c r="BG945">
        <v>0</v>
      </c>
      <c r="BH945">
        <v>0</v>
      </c>
      <c r="BI945" t="s">
        <v>9</v>
      </c>
      <c r="BJ945">
        <v>-3.7150000000000002E-5</v>
      </c>
      <c r="BK945">
        <v>0</v>
      </c>
      <c r="BL945">
        <v>6.4109999999999994E-5</v>
      </c>
      <c r="BM945" s="2">
        <f t="shared" si="14"/>
        <v>3.5063698432481055E-7</v>
      </c>
    </row>
    <row r="946" spans="1:65" x14ac:dyDescent="0.35">
      <c r="A946">
        <v>0</v>
      </c>
      <c r="B946" t="s">
        <v>11</v>
      </c>
      <c r="C946" t="s">
        <v>4</v>
      </c>
      <c r="D946">
        <v>0</v>
      </c>
      <c r="E946" t="s">
        <v>3</v>
      </c>
      <c r="F946" t="s">
        <v>5</v>
      </c>
      <c r="G946">
        <v>2575.0238979999999</v>
      </c>
      <c r="H946" t="s">
        <v>4</v>
      </c>
      <c r="I946">
        <v>990.16341899999998</v>
      </c>
      <c r="J946">
        <v>1584.8604789999999</v>
      </c>
      <c r="K946" t="s">
        <v>6</v>
      </c>
      <c r="L946" t="s">
        <v>7</v>
      </c>
      <c r="M946" t="s">
        <v>8</v>
      </c>
      <c r="N946" t="s">
        <v>6</v>
      </c>
      <c r="O946" t="s">
        <v>3</v>
      </c>
      <c r="P946" t="s">
        <v>3</v>
      </c>
      <c r="Q946" t="s">
        <v>3</v>
      </c>
      <c r="R946" t="s">
        <v>3</v>
      </c>
      <c r="S946" t="s">
        <v>11</v>
      </c>
      <c r="T946" t="s">
        <v>7</v>
      </c>
      <c r="U946">
        <v>0</v>
      </c>
      <c r="V946">
        <v>1</v>
      </c>
      <c r="W946">
        <v>0</v>
      </c>
      <c r="X946">
        <v>2</v>
      </c>
      <c r="Y946">
        <v>0</v>
      </c>
      <c r="Z946" t="s">
        <v>18</v>
      </c>
      <c r="AA946" t="s">
        <v>4</v>
      </c>
      <c r="AB946" t="s">
        <v>6</v>
      </c>
      <c r="AC946" t="s">
        <v>7</v>
      </c>
      <c r="AD946" t="s">
        <v>8</v>
      </c>
      <c r="AE946" t="s">
        <v>6</v>
      </c>
      <c r="AF946" t="s">
        <v>3</v>
      </c>
      <c r="AG946" t="s">
        <v>3</v>
      </c>
      <c r="AH946" t="s">
        <v>3</v>
      </c>
      <c r="AI946" t="s">
        <v>3</v>
      </c>
      <c r="AJ946" t="s">
        <v>3</v>
      </c>
      <c r="AK946" t="s">
        <v>7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9</v>
      </c>
      <c r="AR946" s="1">
        <v>9.2433909000000008E-6</v>
      </c>
      <c r="AS946" s="1">
        <v>3.6363311300000002E-28</v>
      </c>
      <c r="AT946">
        <v>39</v>
      </c>
      <c r="AU946" t="s">
        <v>10</v>
      </c>
      <c r="AV946">
        <v>0</v>
      </c>
      <c r="AW946">
        <v>1</v>
      </c>
      <c r="AX946">
        <v>0</v>
      </c>
      <c r="AY946">
        <v>2</v>
      </c>
      <c r="AZ946">
        <v>0</v>
      </c>
      <c r="BA946" t="s">
        <v>18</v>
      </c>
      <c r="BB946" t="s">
        <v>4</v>
      </c>
      <c r="BC946" t="s">
        <v>10</v>
      </c>
      <c r="BD946">
        <v>0</v>
      </c>
      <c r="BE946">
        <v>0</v>
      </c>
      <c r="BF946">
        <v>0</v>
      </c>
      <c r="BG946">
        <v>0</v>
      </c>
      <c r="BH946">
        <v>0</v>
      </c>
      <c r="BI946" t="s">
        <v>9</v>
      </c>
      <c r="BJ946">
        <v>0</v>
      </c>
      <c r="BK946">
        <v>-9.2399999999999996E-6</v>
      </c>
      <c r="BL946">
        <v>0</v>
      </c>
      <c r="BM946" s="2">
        <f t="shared" si="14"/>
        <v>2.1898498060283105E-9</v>
      </c>
    </row>
    <row r="947" spans="1:65" x14ac:dyDescent="0.35">
      <c r="A947">
        <v>0</v>
      </c>
      <c r="B947" t="s">
        <v>3</v>
      </c>
      <c r="C947" t="s">
        <v>4</v>
      </c>
      <c r="D947">
        <v>0</v>
      </c>
      <c r="E947" t="s">
        <v>3</v>
      </c>
      <c r="F947" t="s">
        <v>5</v>
      </c>
      <c r="G947">
        <v>3601.1232690000002</v>
      </c>
      <c r="H947" t="s">
        <v>4</v>
      </c>
      <c r="I947">
        <v>990.16341899999998</v>
      </c>
      <c r="J947">
        <v>2610.9598500000002</v>
      </c>
      <c r="K947" t="s">
        <v>6</v>
      </c>
      <c r="L947" t="s">
        <v>7</v>
      </c>
      <c r="M947" t="s">
        <v>8</v>
      </c>
      <c r="N947" t="s">
        <v>6</v>
      </c>
      <c r="O947" t="s">
        <v>3</v>
      </c>
      <c r="P947" t="s">
        <v>3</v>
      </c>
      <c r="Q947" t="s">
        <v>3</v>
      </c>
      <c r="R947" t="s">
        <v>3</v>
      </c>
      <c r="S947" t="s">
        <v>3</v>
      </c>
      <c r="T947" t="s">
        <v>7</v>
      </c>
      <c r="U947">
        <v>1</v>
      </c>
      <c r="V947">
        <v>0</v>
      </c>
      <c r="W947">
        <v>0</v>
      </c>
      <c r="X947">
        <v>2</v>
      </c>
      <c r="Y947">
        <v>1</v>
      </c>
      <c r="Z947" t="s">
        <v>9</v>
      </c>
      <c r="AA947" t="s">
        <v>4</v>
      </c>
      <c r="AB947" t="s">
        <v>6</v>
      </c>
      <c r="AC947" t="s">
        <v>7</v>
      </c>
      <c r="AD947" t="s">
        <v>8</v>
      </c>
      <c r="AE947" t="s">
        <v>6</v>
      </c>
      <c r="AF947" t="s">
        <v>3</v>
      </c>
      <c r="AG947" t="s">
        <v>3</v>
      </c>
      <c r="AH947" t="s">
        <v>3</v>
      </c>
      <c r="AI947" t="s">
        <v>3</v>
      </c>
      <c r="AJ947" t="s">
        <v>3</v>
      </c>
      <c r="AK947" t="s">
        <v>7</v>
      </c>
      <c r="AL947">
        <v>0</v>
      </c>
      <c r="AM947">
        <v>0</v>
      </c>
      <c r="AN947">
        <v>0</v>
      </c>
      <c r="AO947">
        <v>0</v>
      </c>
      <c r="AP947">
        <v>0</v>
      </c>
      <c r="AQ947" t="s">
        <v>9</v>
      </c>
      <c r="AR947" s="1">
        <v>2.0185162299999999E-4</v>
      </c>
      <c r="AS947" s="1">
        <v>2.8581129800000001E-25</v>
      </c>
      <c r="AT947">
        <v>39</v>
      </c>
      <c r="AU947" t="s">
        <v>10</v>
      </c>
      <c r="AV947">
        <v>1</v>
      </c>
      <c r="AW947">
        <v>0</v>
      </c>
      <c r="AX947">
        <v>0</v>
      </c>
      <c r="AY947">
        <v>2</v>
      </c>
      <c r="AZ947">
        <v>1</v>
      </c>
      <c r="BA947" t="s">
        <v>9</v>
      </c>
      <c r="BB947" t="s">
        <v>4</v>
      </c>
      <c r="BC947" t="s">
        <v>10</v>
      </c>
      <c r="BD947">
        <v>0</v>
      </c>
      <c r="BE947">
        <v>0</v>
      </c>
      <c r="BF947">
        <v>0</v>
      </c>
      <c r="BG947">
        <v>0</v>
      </c>
      <c r="BH947">
        <v>0</v>
      </c>
      <c r="BI947" t="s">
        <v>9</v>
      </c>
      <c r="BJ947">
        <v>-7.9909999999999999E-5</v>
      </c>
      <c r="BK947">
        <v>0</v>
      </c>
      <c r="BL947">
        <v>1.8536E-4</v>
      </c>
      <c r="BM947" s="2">
        <f t="shared" si="14"/>
        <v>1.7211958787867583E-6</v>
      </c>
    </row>
    <row r="948" spans="1:65" x14ac:dyDescent="0.35">
      <c r="A948">
        <v>0</v>
      </c>
      <c r="B948" t="s">
        <v>3</v>
      </c>
      <c r="C948" t="s">
        <v>4</v>
      </c>
      <c r="D948">
        <v>0</v>
      </c>
      <c r="E948" t="s">
        <v>3</v>
      </c>
      <c r="F948" t="s">
        <v>5</v>
      </c>
      <c r="G948">
        <v>4872.7008820000001</v>
      </c>
      <c r="H948" t="s">
        <v>4</v>
      </c>
      <c r="I948">
        <v>990.16341899999998</v>
      </c>
      <c r="J948">
        <v>3882.5374630000001</v>
      </c>
      <c r="K948" t="s">
        <v>6</v>
      </c>
      <c r="L948" t="s">
        <v>7</v>
      </c>
      <c r="M948" t="s">
        <v>8</v>
      </c>
      <c r="N948" t="s">
        <v>6</v>
      </c>
      <c r="O948" t="s">
        <v>3</v>
      </c>
      <c r="P948" t="s">
        <v>3</v>
      </c>
      <c r="Q948" t="s">
        <v>3</v>
      </c>
      <c r="R948" t="s">
        <v>3</v>
      </c>
      <c r="S948" t="s">
        <v>3</v>
      </c>
      <c r="T948" t="s">
        <v>7</v>
      </c>
      <c r="U948">
        <v>3</v>
      </c>
      <c r="V948">
        <v>0</v>
      </c>
      <c r="W948">
        <v>0</v>
      </c>
      <c r="X948">
        <v>3</v>
      </c>
      <c r="Y948">
        <v>0</v>
      </c>
      <c r="Z948" t="s">
        <v>9</v>
      </c>
      <c r="AA948" t="s">
        <v>4</v>
      </c>
      <c r="AB948" t="s">
        <v>6</v>
      </c>
      <c r="AC948" t="s">
        <v>7</v>
      </c>
      <c r="AD948" t="s">
        <v>8</v>
      </c>
      <c r="AE948" t="s">
        <v>6</v>
      </c>
      <c r="AF948" t="s">
        <v>3</v>
      </c>
      <c r="AG948" t="s">
        <v>3</v>
      </c>
      <c r="AH948" t="s">
        <v>3</v>
      </c>
      <c r="AI948" t="s">
        <v>3</v>
      </c>
      <c r="AJ948" t="s">
        <v>3</v>
      </c>
      <c r="AK948" t="s">
        <v>7</v>
      </c>
      <c r="AL948">
        <v>0</v>
      </c>
      <c r="AM948">
        <v>0</v>
      </c>
      <c r="AN948">
        <v>0</v>
      </c>
      <c r="AO948">
        <v>0</v>
      </c>
      <c r="AP948">
        <v>0</v>
      </c>
      <c r="AQ948" t="s">
        <v>9</v>
      </c>
      <c r="AR948" s="1">
        <v>6.4746744299999998E-6</v>
      </c>
      <c r="AS948" s="1">
        <v>4.3728812700000003E-28</v>
      </c>
      <c r="AT948">
        <v>41</v>
      </c>
      <c r="AU948" t="s">
        <v>10</v>
      </c>
      <c r="AV948">
        <v>3</v>
      </c>
      <c r="AW948">
        <v>0</v>
      </c>
      <c r="AX948">
        <v>0</v>
      </c>
      <c r="AY948">
        <v>3</v>
      </c>
      <c r="AZ948">
        <v>0</v>
      </c>
      <c r="BA948" t="s">
        <v>9</v>
      </c>
      <c r="BB948" t="s">
        <v>4</v>
      </c>
      <c r="BC948" t="s">
        <v>10</v>
      </c>
      <c r="BD948">
        <v>0</v>
      </c>
      <c r="BE948">
        <v>0</v>
      </c>
      <c r="BF948">
        <v>0</v>
      </c>
      <c r="BG948">
        <v>0</v>
      </c>
      <c r="BH948">
        <v>0</v>
      </c>
      <c r="BI948" t="s">
        <v>9</v>
      </c>
      <c r="BJ948">
        <v>-1.13E-6</v>
      </c>
      <c r="BK948">
        <v>0</v>
      </c>
      <c r="BL948">
        <v>-6.3799999999999999E-6</v>
      </c>
      <c r="BM948" s="2">
        <f t="shared" si="14"/>
        <v>2.6334106709622813E-9</v>
      </c>
    </row>
    <row r="949" spans="1:65" x14ac:dyDescent="0.35">
      <c r="A949">
        <v>0</v>
      </c>
      <c r="B949" t="s">
        <v>3</v>
      </c>
      <c r="C949" t="s">
        <v>4</v>
      </c>
      <c r="D949">
        <v>0</v>
      </c>
      <c r="E949" t="s">
        <v>3</v>
      </c>
      <c r="F949" t="s">
        <v>5</v>
      </c>
      <c r="G949">
        <v>4710.8084559999998</v>
      </c>
      <c r="H949" t="s">
        <v>4</v>
      </c>
      <c r="I949">
        <v>990.16341899999998</v>
      </c>
      <c r="J949">
        <v>3720.6450369999998</v>
      </c>
      <c r="K949" t="s">
        <v>6</v>
      </c>
      <c r="L949" t="s">
        <v>7</v>
      </c>
      <c r="M949" t="s">
        <v>8</v>
      </c>
      <c r="N949" t="s">
        <v>6</v>
      </c>
      <c r="O949" t="s">
        <v>3</v>
      </c>
      <c r="P949" t="s">
        <v>3</v>
      </c>
      <c r="Q949" t="s">
        <v>3</v>
      </c>
      <c r="R949" t="s">
        <v>3</v>
      </c>
      <c r="S949" t="s">
        <v>3</v>
      </c>
      <c r="T949" t="s">
        <v>7</v>
      </c>
      <c r="U949">
        <v>1</v>
      </c>
      <c r="V949">
        <v>1</v>
      </c>
      <c r="W949">
        <v>0</v>
      </c>
      <c r="X949">
        <v>0</v>
      </c>
      <c r="Y949">
        <v>0</v>
      </c>
      <c r="Z949" t="s">
        <v>22</v>
      </c>
      <c r="AA949" t="s">
        <v>4</v>
      </c>
      <c r="AB949" t="s">
        <v>6</v>
      </c>
      <c r="AC949" t="s">
        <v>7</v>
      </c>
      <c r="AD949" t="s">
        <v>8</v>
      </c>
      <c r="AE949" t="s">
        <v>6</v>
      </c>
      <c r="AF949" t="s">
        <v>3</v>
      </c>
      <c r="AG949" t="s">
        <v>3</v>
      </c>
      <c r="AH949" t="s">
        <v>3</v>
      </c>
      <c r="AI949" t="s">
        <v>3</v>
      </c>
      <c r="AJ949" t="s">
        <v>3</v>
      </c>
      <c r="AK949" t="s">
        <v>7</v>
      </c>
      <c r="AL949">
        <v>0</v>
      </c>
      <c r="AM949">
        <v>0</v>
      </c>
      <c r="AN949">
        <v>0</v>
      </c>
      <c r="AO949">
        <v>0</v>
      </c>
      <c r="AP949">
        <v>0</v>
      </c>
      <c r="AQ949" t="s">
        <v>9</v>
      </c>
      <c r="AR949" s="1">
        <v>5.2652566500000003E-5</v>
      </c>
      <c r="AS949" s="1">
        <v>2.7712358300000002E-26</v>
      </c>
      <c r="AT949">
        <v>40</v>
      </c>
      <c r="AU949" t="s">
        <v>10</v>
      </c>
      <c r="AV949">
        <v>1</v>
      </c>
      <c r="AW949">
        <v>1</v>
      </c>
      <c r="AX949">
        <v>0</v>
      </c>
      <c r="AY949">
        <v>0</v>
      </c>
      <c r="AZ949">
        <v>0</v>
      </c>
      <c r="BA949" t="s">
        <v>22</v>
      </c>
      <c r="BB949" t="s">
        <v>4</v>
      </c>
      <c r="BC949" t="s">
        <v>10</v>
      </c>
      <c r="BD949">
        <v>0</v>
      </c>
      <c r="BE949">
        <v>0</v>
      </c>
      <c r="BF949">
        <v>0</v>
      </c>
      <c r="BG949">
        <v>0</v>
      </c>
      <c r="BH949">
        <v>0</v>
      </c>
      <c r="BI949" t="s">
        <v>9</v>
      </c>
      <c r="BJ949">
        <v>2.4579999999999998E-5</v>
      </c>
      <c r="BK949">
        <v>0</v>
      </c>
      <c r="BL949">
        <v>-4.6560000000000001E-5</v>
      </c>
      <c r="BM949" s="2">
        <f t="shared" si="14"/>
        <v>1.6688772358264864E-7</v>
      </c>
    </row>
    <row r="950" spans="1:65" x14ac:dyDescent="0.35">
      <c r="A950">
        <v>0</v>
      </c>
      <c r="B950" t="s">
        <v>3</v>
      </c>
      <c r="C950" t="s">
        <v>4</v>
      </c>
      <c r="D950">
        <v>0</v>
      </c>
      <c r="E950" t="s">
        <v>3</v>
      </c>
      <c r="F950" t="s">
        <v>5</v>
      </c>
      <c r="G950">
        <v>3970.5034409999998</v>
      </c>
      <c r="H950" t="s">
        <v>4</v>
      </c>
      <c r="I950">
        <v>990.16341899999998</v>
      </c>
      <c r="J950">
        <v>2980.3400219999999</v>
      </c>
      <c r="K950" t="s">
        <v>6</v>
      </c>
      <c r="L950" t="s">
        <v>7</v>
      </c>
      <c r="M950" t="s">
        <v>8</v>
      </c>
      <c r="N950" t="s">
        <v>6</v>
      </c>
      <c r="O950" t="s">
        <v>3</v>
      </c>
      <c r="P950" t="s">
        <v>3</v>
      </c>
      <c r="Q950" t="s">
        <v>3</v>
      </c>
      <c r="R950" t="s">
        <v>3</v>
      </c>
      <c r="S950" t="s">
        <v>3</v>
      </c>
      <c r="T950" t="s">
        <v>7</v>
      </c>
      <c r="U950">
        <v>0</v>
      </c>
      <c r="V950">
        <v>2</v>
      </c>
      <c r="W950">
        <v>0</v>
      </c>
      <c r="X950">
        <v>1</v>
      </c>
      <c r="Y950">
        <v>0</v>
      </c>
      <c r="Z950" t="s">
        <v>9</v>
      </c>
      <c r="AA950" t="s">
        <v>4</v>
      </c>
      <c r="AB950" t="s">
        <v>6</v>
      </c>
      <c r="AC950" t="s">
        <v>7</v>
      </c>
      <c r="AD950" t="s">
        <v>8</v>
      </c>
      <c r="AE950" t="s">
        <v>6</v>
      </c>
      <c r="AF950" t="s">
        <v>3</v>
      </c>
      <c r="AG950" t="s">
        <v>3</v>
      </c>
      <c r="AH950" t="s">
        <v>3</v>
      </c>
      <c r="AI950" t="s">
        <v>3</v>
      </c>
      <c r="AJ950" t="s">
        <v>3</v>
      </c>
      <c r="AK950" t="s">
        <v>7</v>
      </c>
      <c r="AL950">
        <v>0</v>
      </c>
      <c r="AM950">
        <v>0</v>
      </c>
      <c r="AN950">
        <v>0</v>
      </c>
      <c r="AO950">
        <v>0</v>
      </c>
      <c r="AP950">
        <v>0</v>
      </c>
      <c r="AQ950" t="s">
        <v>9</v>
      </c>
      <c r="AR950" s="1">
        <v>3.5123544100000001E-4</v>
      </c>
      <c r="AS950" s="1">
        <v>9.8782132099999997E-25</v>
      </c>
      <c r="AT950">
        <v>39</v>
      </c>
      <c r="AU950" t="s">
        <v>10</v>
      </c>
      <c r="AV950">
        <v>0</v>
      </c>
      <c r="AW950">
        <v>2</v>
      </c>
      <c r="AX950">
        <v>0</v>
      </c>
      <c r="AY950">
        <v>1</v>
      </c>
      <c r="AZ950">
        <v>0</v>
      </c>
      <c r="BA950" t="s">
        <v>9</v>
      </c>
      <c r="BB950" t="s">
        <v>4</v>
      </c>
      <c r="BC950" t="s">
        <v>10</v>
      </c>
      <c r="BD950">
        <v>0</v>
      </c>
      <c r="BE950">
        <v>0</v>
      </c>
      <c r="BF950">
        <v>0</v>
      </c>
      <c r="BG950">
        <v>0</v>
      </c>
      <c r="BH950">
        <v>0</v>
      </c>
      <c r="BI950" t="s">
        <v>9</v>
      </c>
      <c r="BJ950">
        <v>-1.5409000000000001E-4</v>
      </c>
      <c r="BK950">
        <v>0</v>
      </c>
      <c r="BL950">
        <v>-3.1563000000000001E-4</v>
      </c>
      <c r="BM950" s="2">
        <f t="shared" si="14"/>
        <v>5.9487990803039965E-6</v>
      </c>
    </row>
    <row r="951" spans="1:65" x14ac:dyDescent="0.35">
      <c r="A951">
        <v>0</v>
      </c>
      <c r="B951" t="s">
        <v>3</v>
      </c>
      <c r="C951" t="s">
        <v>4</v>
      </c>
      <c r="D951">
        <v>0</v>
      </c>
      <c r="E951" t="s">
        <v>3</v>
      </c>
      <c r="F951" t="s">
        <v>5</v>
      </c>
      <c r="G951">
        <v>4090.623932</v>
      </c>
      <c r="H951" t="s">
        <v>4</v>
      </c>
      <c r="I951">
        <v>990.16341899999998</v>
      </c>
      <c r="J951">
        <v>3100.460513</v>
      </c>
      <c r="K951" t="s">
        <v>6</v>
      </c>
      <c r="L951" t="s">
        <v>7</v>
      </c>
      <c r="M951" t="s">
        <v>8</v>
      </c>
      <c r="N951" t="s">
        <v>6</v>
      </c>
      <c r="O951" t="s">
        <v>3</v>
      </c>
      <c r="P951" t="s">
        <v>3</v>
      </c>
      <c r="Q951" t="s">
        <v>3</v>
      </c>
      <c r="R951" t="s">
        <v>3</v>
      </c>
      <c r="S951" t="s">
        <v>3</v>
      </c>
      <c r="T951" t="s">
        <v>7</v>
      </c>
      <c r="U951">
        <v>0</v>
      </c>
      <c r="V951">
        <v>2</v>
      </c>
      <c r="W951">
        <v>0</v>
      </c>
      <c r="X951">
        <v>4</v>
      </c>
      <c r="Y951">
        <v>0</v>
      </c>
      <c r="Z951" t="s">
        <v>8</v>
      </c>
      <c r="AA951" t="s">
        <v>4</v>
      </c>
      <c r="AB951" t="s">
        <v>6</v>
      </c>
      <c r="AC951" t="s">
        <v>7</v>
      </c>
      <c r="AD951" t="s">
        <v>8</v>
      </c>
      <c r="AE951" t="s">
        <v>6</v>
      </c>
      <c r="AF951" t="s">
        <v>3</v>
      </c>
      <c r="AG951" t="s">
        <v>3</v>
      </c>
      <c r="AH951" t="s">
        <v>3</v>
      </c>
      <c r="AI951" t="s">
        <v>3</v>
      </c>
      <c r="AJ951" t="s">
        <v>3</v>
      </c>
      <c r="AK951" t="s">
        <v>7</v>
      </c>
      <c r="AL951">
        <v>0</v>
      </c>
      <c r="AM951">
        <v>0</v>
      </c>
      <c r="AN951">
        <v>0</v>
      </c>
      <c r="AO951">
        <v>0</v>
      </c>
      <c r="AP951">
        <v>0</v>
      </c>
      <c r="AQ951" t="s">
        <v>9</v>
      </c>
      <c r="AR951" s="1">
        <v>7.1480269200000002E-6</v>
      </c>
      <c r="AS951" s="1">
        <v>4.2561270999999998E-28</v>
      </c>
      <c r="AT951">
        <v>41</v>
      </c>
      <c r="AU951" t="s">
        <v>10</v>
      </c>
      <c r="AV951">
        <v>0</v>
      </c>
      <c r="AW951">
        <v>2</v>
      </c>
      <c r="AX951">
        <v>0</v>
      </c>
      <c r="AY951">
        <v>4</v>
      </c>
      <c r="AZ951">
        <v>0</v>
      </c>
      <c r="BA951" t="s">
        <v>8</v>
      </c>
      <c r="BB951" t="s">
        <v>4</v>
      </c>
      <c r="BC951" t="s">
        <v>10</v>
      </c>
      <c r="BD951">
        <v>0</v>
      </c>
      <c r="BE951">
        <v>0</v>
      </c>
      <c r="BF951">
        <v>0</v>
      </c>
      <c r="BG951">
        <v>0</v>
      </c>
      <c r="BH951">
        <v>0</v>
      </c>
      <c r="BI951" t="s">
        <v>9</v>
      </c>
      <c r="BJ951">
        <v>6.8700000000000003E-6</v>
      </c>
      <c r="BK951">
        <v>0</v>
      </c>
      <c r="BL951">
        <v>1.9700000000000002E-6</v>
      </c>
      <c r="BM951" s="2">
        <f t="shared" si="14"/>
        <v>2.5630996658895683E-9</v>
      </c>
    </row>
    <row r="952" spans="1:65" x14ac:dyDescent="0.35">
      <c r="A952">
        <v>0</v>
      </c>
      <c r="B952" t="s">
        <v>3</v>
      </c>
      <c r="C952" t="s">
        <v>4</v>
      </c>
      <c r="D952">
        <v>0</v>
      </c>
      <c r="E952" t="s">
        <v>3</v>
      </c>
      <c r="F952" t="s">
        <v>5</v>
      </c>
      <c r="G952">
        <v>2873.4119099999998</v>
      </c>
      <c r="H952" t="s">
        <v>4</v>
      </c>
      <c r="I952">
        <v>990.16341899999998</v>
      </c>
      <c r="J952">
        <v>1883.2484910000001</v>
      </c>
      <c r="K952" t="s">
        <v>6</v>
      </c>
      <c r="L952" t="s">
        <v>7</v>
      </c>
      <c r="M952" t="s">
        <v>8</v>
      </c>
      <c r="N952" t="s">
        <v>6</v>
      </c>
      <c r="O952" t="s">
        <v>3</v>
      </c>
      <c r="P952" t="s">
        <v>3</v>
      </c>
      <c r="Q952" t="s">
        <v>3</v>
      </c>
      <c r="R952" t="s">
        <v>3</v>
      </c>
      <c r="S952" t="s">
        <v>3</v>
      </c>
      <c r="T952" t="s">
        <v>7</v>
      </c>
      <c r="U952">
        <v>0</v>
      </c>
      <c r="V952">
        <v>0</v>
      </c>
      <c r="W952">
        <v>0</v>
      </c>
      <c r="X952">
        <v>2</v>
      </c>
      <c r="Y952">
        <v>1</v>
      </c>
      <c r="Z952" t="s">
        <v>15</v>
      </c>
      <c r="AA952" t="s">
        <v>4</v>
      </c>
      <c r="AB952" t="s">
        <v>6</v>
      </c>
      <c r="AC952" t="s">
        <v>7</v>
      </c>
      <c r="AD952" t="s">
        <v>8</v>
      </c>
      <c r="AE952" t="s">
        <v>6</v>
      </c>
      <c r="AF952" t="s">
        <v>3</v>
      </c>
      <c r="AG952" t="s">
        <v>3</v>
      </c>
      <c r="AH952" t="s">
        <v>3</v>
      </c>
      <c r="AI952" t="s">
        <v>3</v>
      </c>
      <c r="AJ952" t="s">
        <v>3</v>
      </c>
      <c r="AK952" t="s">
        <v>7</v>
      </c>
      <c r="AL952">
        <v>0</v>
      </c>
      <c r="AM952">
        <v>0</v>
      </c>
      <c r="AN952">
        <v>0</v>
      </c>
      <c r="AO952">
        <v>0</v>
      </c>
      <c r="AP952">
        <v>0</v>
      </c>
      <c r="AQ952" t="s">
        <v>9</v>
      </c>
      <c r="AR952" s="1">
        <v>1.3222441500000001E-4</v>
      </c>
      <c r="AS952" s="1">
        <v>8.8450080999999997E-26</v>
      </c>
      <c r="AT952">
        <v>39</v>
      </c>
      <c r="AU952" t="s">
        <v>10</v>
      </c>
      <c r="AV952">
        <v>0</v>
      </c>
      <c r="AW952">
        <v>0</v>
      </c>
      <c r="AX952">
        <v>0</v>
      </c>
      <c r="AY952">
        <v>2</v>
      </c>
      <c r="AZ952">
        <v>1</v>
      </c>
      <c r="BA952" t="s">
        <v>15</v>
      </c>
      <c r="BB952" t="s">
        <v>4</v>
      </c>
      <c r="BC952" t="s">
        <v>10</v>
      </c>
      <c r="BD952">
        <v>0</v>
      </c>
      <c r="BE952">
        <v>0</v>
      </c>
      <c r="BF952">
        <v>0</v>
      </c>
      <c r="BG952">
        <v>0</v>
      </c>
      <c r="BH952">
        <v>0</v>
      </c>
      <c r="BI952" t="s">
        <v>9</v>
      </c>
      <c r="BJ952">
        <v>9.8939999999999998E-5</v>
      </c>
      <c r="BK952">
        <v>0</v>
      </c>
      <c r="BL952">
        <v>-8.7719999999999994E-5</v>
      </c>
      <c r="BM952" s="2">
        <f t="shared" si="14"/>
        <v>5.3265884155340473E-7</v>
      </c>
    </row>
    <row r="953" spans="1:65" x14ac:dyDescent="0.35">
      <c r="A953">
        <v>0</v>
      </c>
      <c r="B953" t="s">
        <v>11</v>
      </c>
      <c r="C953" t="s">
        <v>4</v>
      </c>
      <c r="D953">
        <v>0</v>
      </c>
      <c r="E953" t="s">
        <v>3</v>
      </c>
      <c r="F953" t="s">
        <v>5</v>
      </c>
      <c r="G953">
        <v>4356.6694010000001</v>
      </c>
      <c r="H953" t="s">
        <v>4</v>
      </c>
      <c r="I953">
        <v>990.16341899999998</v>
      </c>
      <c r="J953">
        <v>3366.5059820000001</v>
      </c>
      <c r="K953" t="s">
        <v>6</v>
      </c>
      <c r="L953" t="s">
        <v>7</v>
      </c>
      <c r="M953" t="s">
        <v>8</v>
      </c>
      <c r="N953" t="s">
        <v>6</v>
      </c>
      <c r="O953" t="s">
        <v>3</v>
      </c>
      <c r="P953" t="s">
        <v>3</v>
      </c>
      <c r="Q953" t="s">
        <v>3</v>
      </c>
      <c r="R953" t="s">
        <v>3</v>
      </c>
      <c r="S953" t="s">
        <v>11</v>
      </c>
      <c r="T953" t="s">
        <v>7</v>
      </c>
      <c r="U953">
        <v>1</v>
      </c>
      <c r="V953">
        <v>1</v>
      </c>
      <c r="W953">
        <v>0</v>
      </c>
      <c r="X953">
        <v>3</v>
      </c>
      <c r="Y953">
        <v>0</v>
      </c>
      <c r="Z953" t="s">
        <v>18</v>
      </c>
      <c r="AA953" t="s">
        <v>4</v>
      </c>
      <c r="AB953" t="s">
        <v>6</v>
      </c>
      <c r="AC953" t="s">
        <v>7</v>
      </c>
      <c r="AD953" t="s">
        <v>8</v>
      </c>
      <c r="AE953" t="s">
        <v>6</v>
      </c>
      <c r="AF953" t="s">
        <v>3</v>
      </c>
      <c r="AG953" t="s">
        <v>3</v>
      </c>
      <c r="AH953" t="s">
        <v>3</v>
      </c>
      <c r="AI953" t="s">
        <v>3</v>
      </c>
      <c r="AJ953" t="s">
        <v>3</v>
      </c>
      <c r="AK953" t="s">
        <v>7</v>
      </c>
      <c r="AL953">
        <v>0</v>
      </c>
      <c r="AM953">
        <v>0</v>
      </c>
      <c r="AN953">
        <v>0</v>
      </c>
      <c r="AO953">
        <v>0</v>
      </c>
      <c r="AP953">
        <v>0</v>
      </c>
      <c r="AQ953" t="s">
        <v>9</v>
      </c>
      <c r="AR953" s="1">
        <v>6.8962918199999999E-6</v>
      </c>
      <c r="AS953" s="1">
        <v>4.3015678399999998E-28</v>
      </c>
      <c r="AT953">
        <v>40</v>
      </c>
      <c r="AU953" t="s">
        <v>10</v>
      </c>
      <c r="AV953">
        <v>1</v>
      </c>
      <c r="AW953">
        <v>1</v>
      </c>
      <c r="AX953">
        <v>0</v>
      </c>
      <c r="AY953">
        <v>3</v>
      </c>
      <c r="AZ953">
        <v>0</v>
      </c>
      <c r="BA953" t="s">
        <v>18</v>
      </c>
      <c r="BB953" t="s">
        <v>4</v>
      </c>
      <c r="BC953" t="s">
        <v>10</v>
      </c>
      <c r="BD953">
        <v>0</v>
      </c>
      <c r="BE953">
        <v>0</v>
      </c>
      <c r="BF953">
        <v>0</v>
      </c>
      <c r="BG953">
        <v>0</v>
      </c>
      <c r="BH953">
        <v>0</v>
      </c>
      <c r="BI953" t="s">
        <v>9</v>
      </c>
      <c r="BJ953">
        <v>0</v>
      </c>
      <c r="BK953">
        <v>-6.9E-6</v>
      </c>
      <c r="BL953">
        <v>0</v>
      </c>
      <c r="BM953" s="2">
        <f t="shared" si="14"/>
        <v>2.5904647193231869E-9</v>
      </c>
    </row>
    <row r="954" spans="1:65" x14ac:dyDescent="0.35">
      <c r="A954">
        <v>0</v>
      </c>
      <c r="B954" t="s">
        <v>3</v>
      </c>
      <c r="C954" t="s">
        <v>4</v>
      </c>
      <c r="D954">
        <v>0</v>
      </c>
      <c r="E954" t="s">
        <v>3</v>
      </c>
      <c r="F954" t="s">
        <v>5</v>
      </c>
      <c r="G954">
        <v>4574.3376449999996</v>
      </c>
      <c r="H954" t="s">
        <v>4</v>
      </c>
      <c r="I954">
        <v>990.16341899999998</v>
      </c>
      <c r="J954">
        <v>3584.1742260000001</v>
      </c>
      <c r="K954" t="s">
        <v>6</v>
      </c>
      <c r="L954" t="s">
        <v>7</v>
      </c>
      <c r="M954" t="s">
        <v>8</v>
      </c>
      <c r="N954" t="s">
        <v>6</v>
      </c>
      <c r="O954" t="s">
        <v>3</v>
      </c>
      <c r="P954" t="s">
        <v>3</v>
      </c>
      <c r="Q954" t="s">
        <v>3</v>
      </c>
      <c r="R954" t="s">
        <v>3</v>
      </c>
      <c r="S954" t="s">
        <v>3</v>
      </c>
      <c r="T954" t="s">
        <v>7</v>
      </c>
      <c r="U954">
        <v>1</v>
      </c>
      <c r="V954">
        <v>0</v>
      </c>
      <c r="W954">
        <v>0</v>
      </c>
      <c r="X954">
        <v>6</v>
      </c>
      <c r="Y954">
        <v>1</v>
      </c>
      <c r="Z954" t="s">
        <v>8</v>
      </c>
      <c r="AA954" t="s">
        <v>4</v>
      </c>
      <c r="AB954" t="s">
        <v>6</v>
      </c>
      <c r="AC954" t="s">
        <v>7</v>
      </c>
      <c r="AD954" t="s">
        <v>8</v>
      </c>
      <c r="AE954" t="s">
        <v>6</v>
      </c>
      <c r="AF954" t="s">
        <v>3</v>
      </c>
      <c r="AG954" t="s">
        <v>3</v>
      </c>
      <c r="AH954" t="s">
        <v>3</v>
      </c>
      <c r="AI954" t="s">
        <v>3</v>
      </c>
      <c r="AJ954" t="s">
        <v>3</v>
      </c>
      <c r="AK954" t="s">
        <v>7</v>
      </c>
      <c r="AL954">
        <v>0</v>
      </c>
      <c r="AM954">
        <v>0</v>
      </c>
      <c r="AN954">
        <v>0</v>
      </c>
      <c r="AO954">
        <v>0</v>
      </c>
      <c r="AP954">
        <v>0</v>
      </c>
      <c r="AQ954" t="s">
        <v>9</v>
      </c>
      <c r="AR954" s="1">
        <v>1.06148264E-4</v>
      </c>
      <c r="AS954" s="1">
        <v>1.08500329E-25</v>
      </c>
      <c r="AT954">
        <v>39</v>
      </c>
      <c r="AU954" t="s">
        <v>10</v>
      </c>
      <c r="AV954">
        <v>1</v>
      </c>
      <c r="AW954">
        <v>0</v>
      </c>
      <c r="AX954">
        <v>0</v>
      </c>
      <c r="AY954">
        <v>6</v>
      </c>
      <c r="AZ954">
        <v>1</v>
      </c>
      <c r="BA954" t="s">
        <v>8</v>
      </c>
      <c r="BB954" t="s">
        <v>4</v>
      </c>
      <c r="BC954" t="s">
        <v>10</v>
      </c>
      <c r="BD954">
        <v>0</v>
      </c>
      <c r="BE954">
        <v>0</v>
      </c>
      <c r="BF954">
        <v>0</v>
      </c>
      <c r="BG954">
        <v>0</v>
      </c>
      <c r="BH954">
        <v>0</v>
      </c>
      <c r="BI954" t="s">
        <v>9</v>
      </c>
      <c r="BJ954">
        <v>-7.8620000000000003E-5</v>
      </c>
      <c r="BK954">
        <v>0</v>
      </c>
      <c r="BL954">
        <v>7.1320000000000002E-5</v>
      </c>
      <c r="BM954" s="2">
        <f t="shared" si="14"/>
        <v>6.5340425808432314E-7</v>
      </c>
    </row>
    <row r="955" spans="1:65" x14ac:dyDescent="0.35">
      <c r="A955">
        <v>0</v>
      </c>
      <c r="B955" t="s">
        <v>11</v>
      </c>
      <c r="C955" t="s">
        <v>4</v>
      </c>
      <c r="D955">
        <v>0</v>
      </c>
      <c r="E955" t="s">
        <v>3</v>
      </c>
      <c r="F955" t="s">
        <v>5</v>
      </c>
      <c r="G955">
        <v>4280.0416340000002</v>
      </c>
      <c r="H955" t="s">
        <v>4</v>
      </c>
      <c r="I955">
        <v>990.16341899999998</v>
      </c>
      <c r="J955">
        <v>3289.8782150000002</v>
      </c>
      <c r="K955" t="s">
        <v>6</v>
      </c>
      <c r="L955" t="s">
        <v>7</v>
      </c>
      <c r="M955" t="s">
        <v>8</v>
      </c>
      <c r="N955" t="s">
        <v>6</v>
      </c>
      <c r="O955" t="s">
        <v>3</v>
      </c>
      <c r="P955" t="s">
        <v>3</v>
      </c>
      <c r="Q955" t="s">
        <v>3</v>
      </c>
      <c r="R955" t="s">
        <v>3</v>
      </c>
      <c r="S955" t="s">
        <v>11</v>
      </c>
      <c r="T955" t="s">
        <v>7</v>
      </c>
      <c r="U955">
        <v>1</v>
      </c>
      <c r="V955">
        <v>1</v>
      </c>
      <c r="W955">
        <v>0</v>
      </c>
      <c r="X955">
        <v>0</v>
      </c>
      <c r="Y955">
        <v>2</v>
      </c>
      <c r="Z955" t="s">
        <v>18</v>
      </c>
      <c r="AA955" t="s">
        <v>4</v>
      </c>
      <c r="AB955" t="s">
        <v>6</v>
      </c>
      <c r="AC955" t="s">
        <v>7</v>
      </c>
      <c r="AD955" t="s">
        <v>8</v>
      </c>
      <c r="AE955" t="s">
        <v>6</v>
      </c>
      <c r="AF955" t="s">
        <v>3</v>
      </c>
      <c r="AG955" t="s">
        <v>3</v>
      </c>
      <c r="AH955" t="s">
        <v>3</v>
      </c>
      <c r="AI955" t="s">
        <v>3</v>
      </c>
      <c r="AJ955" t="s">
        <v>3</v>
      </c>
      <c r="AK955" t="s">
        <v>7</v>
      </c>
      <c r="AL955">
        <v>0</v>
      </c>
      <c r="AM955">
        <v>0</v>
      </c>
      <c r="AN955">
        <v>0</v>
      </c>
      <c r="AO955">
        <v>0</v>
      </c>
      <c r="AP955">
        <v>0</v>
      </c>
      <c r="AQ955" t="s">
        <v>9</v>
      </c>
      <c r="AR955" s="1">
        <v>1.01841358E-6</v>
      </c>
      <c r="AS955" s="1">
        <v>9.1673602300000002E-30</v>
      </c>
      <c r="AT955">
        <v>40</v>
      </c>
      <c r="AU955" t="s">
        <v>10</v>
      </c>
      <c r="AV955">
        <v>1</v>
      </c>
      <c r="AW955">
        <v>1</v>
      </c>
      <c r="AX955">
        <v>0</v>
      </c>
      <c r="AY955">
        <v>0</v>
      </c>
      <c r="AZ955">
        <v>2</v>
      </c>
      <c r="BA955" t="s">
        <v>18</v>
      </c>
      <c r="BB955" t="s">
        <v>4</v>
      </c>
      <c r="BC955" t="s">
        <v>10</v>
      </c>
      <c r="BD955">
        <v>0</v>
      </c>
      <c r="BE955">
        <v>0</v>
      </c>
      <c r="BF955">
        <v>0</v>
      </c>
      <c r="BG955">
        <v>0</v>
      </c>
      <c r="BH955">
        <v>0</v>
      </c>
      <c r="BI955" t="s">
        <v>9</v>
      </c>
      <c r="BJ955">
        <v>0</v>
      </c>
      <c r="BK955">
        <v>-1.02E-6</v>
      </c>
      <c r="BL955">
        <v>0</v>
      </c>
      <c r="BM955" s="2">
        <f t="shared" si="14"/>
        <v>5.5207134069380384E-11</v>
      </c>
    </row>
    <row r="956" spans="1:65" x14ac:dyDescent="0.35">
      <c r="A956">
        <v>0</v>
      </c>
      <c r="B956" t="s">
        <v>11</v>
      </c>
      <c r="C956" t="s">
        <v>4</v>
      </c>
      <c r="D956">
        <v>0</v>
      </c>
      <c r="E956" t="s">
        <v>3</v>
      </c>
      <c r="F956" t="s">
        <v>5</v>
      </c>
      <c r="G956">
        <v>4824.1420589999998</v>
      </c>
      <c r="H956" t="s">
        <v>4</v>
      </c>
      <c r="I956">
        <v>990.16341899999998</v>
      </c>
      <c r="J956">
        <v>3833.9786399999998</v>
      </c>
      <c r="K956" t="s">
        <v>6</v>
      </c>
      <c r="L956" t="s">
        <v>7</v>
      </c>
      <c r="M956" t="s">
        <v>8</v>
      </c>
      <c r="N956" t="s">
        <v>6</v>
      </c>
      <c r="O956" t="s">
        <v>3</v>
      </c>
      <c r="P956" t="s">
        <v>3</v>
      </c>
      <c r="Q956" t="s">
        <v>3</v>
      </c>
      <c r="R956" t="s">
        <v>3</v>
      </c>
      <c r="S956" t="s">
        <v>11</v>
      </c>
      <c r="T956" t="s">
        <v>7</v>
      </c>
      <c r="U956">
        <v>0</v>
      </c>
      <c r="V956">
        <v>0</v>
      </c>
      <c r="W956">
        <v>0</v>
      </c>
      <c r="X956">
        <v>2</v>
      </c>
      <c r="Y956">
        <v>1</v>
      </c>
      <c r="Z956" t="s">
        <v>25</v>
      </c>
      <c r="AA956" t="s">
        <v>4</v>
      </c>
      <c r="AB956" t="s">
        <v>6</v>
      </c>
      <c r="AC956" t="s">
        <v>7</v>
      </c>
      <c r="AD956" t="s">
        <v>8</v>
      </c>
      <c r="AE956" t="s">
        <v>6</v>
      </c>
      <c r="AF956" t="s">
        <v>3</v>
      </c>
      <c r="AG956" t="s">
        <v>3</v>
      </c>
      <c r="AH956" t="s">
        <v>3</v>
      </c>
      <c r="AI956" t="s">
        <v>3</v>
      </c>
      <c r="AJ956" t="s">
        <v>3</v>
      </c>
      <c r="AK956" t="s">
        <v>7</v>
      </c>
      <c r="AL956">
        <v>0</v>
      </c>
      <c r="AM956">
        <v>0</v>
      </c>
      <c r="AN956">
        <v>0</v>
      </c>
      <c r="AO956">
        <v>0</v>
      </c>
      <c r="AP956">
        <v>0</v>
      </c>
      <c r="AQ956" t="s">
        <v>9</v>
      </c>
      <c r="AR956" s="1">
        <v>3.9099042199999998E-5</v>
      </c>
      <c r="AS956" s="1">
        <v>1.5747009399999999E-26</v>
      </c>
      <c r="AT956">
        <v>42</v>
      </c>
      <c r="AU956" t="s">
        <v>10</v>
      </c>
      <c r="AV956">
        <v>0</v>
      </c>
      <c r="AW956">
        <v>0</v>
      </c>
      <c r="AX956">
        <v>0</v>
      </c>
      <c r="AY956">
        <v>2</v>
      </c>
      <c r="AZ956">
        <v>1</v>
      </c>
      <c r="BA956" t="s">
        <v>25</v>
      </c>
      <c r="BB956" t="s">
        <v>4</v>
      </c>
      <c r="BC956" t="s">
        <v>10</v>
      </c>
      <c r="BD956">
        <v>0</v>
      </c>
      <c r="BE956">
        <v>0</v>
      </c>
      <c r="BF956">
        <v>0</v>
      </c>
      <c r="BG956">
        <v>0</v>
      </c>
      <c r="BH956">
        <v>0</v>
      </c>
      <c r="BI956" t="s">
        <v>9</v>
      </c>
      <c r="BJ956">
        <v>0</v>
      </c>
      <c r="BK956">
        <v>-3.9100000000000002E-5</v>
      </c>
      <c r="BL956">
        <v>0</v>
      </c>
      <c r="BM956" s="2">
        <f t="shared" si="14"/>
        <v>9.4830707785723518E-8</v>
      </c>
    </row>
    <row r="957" spans="1:65" x14ac:dyDescent="0.35">
      <c r="A957">
        <v>0</v>
      </c>
      <c r="B957" t="s">
        <v>11</v>
      </c>
      <c r="C957" t="s">
        <v>4</v>
      </c>
      <c r="D957">
        <v>0</v>
      </c>
      <c r="E957" t="s">
        <v>3</v>
      </c>
      <c r="F957" t="s">
        <v>5</v>
      </c>
      <c r="G957">
        <v>4468.2160450000001</v>
      </c>
      <c r="H957" t="s">
        <v>4</v>
      </c>
      <c r="I957">
        <v>990.16341899999998</v>
      </c>
      <c r="J957">
        <v>3478.0526260000001</v>
      </c>
      <c r="K957" t="s">
        <v>6</v>
      </c>
      <c r="L957" t="s">
        <v>7</v>
      </c>
      <c r="M957" t="s">
        <v>8</v>
      </c>
      <c r="N957" t="s">
        <v>6</v>
      </c>
      <c r="O957" t="s">
        <v>3</v>
      </c>
      <c r="P957" t="s">
        <v>3</v>
      </c>
      <c r="Q957" t="s">
        <v>3</v>
      </c>
      <c r="R957" t="s">
        <v>3</v>
      </c>
      <c r="S957" t="s">
        <v>11</v>
      </c>
      <c r="T957" t="s">
        <v>7</v>
      </c>
      <c r="U957">
        <v>2</v>
      </c>
      <c r="V957">
        <v>0</v>
      </c>
      <c r="W957">
        <v>0</v>
      </c>
      <c r="X957">
        <v>0</v>
      </c>
      <c r="Y957">
        <v>0</v>
      </c>
      <c r="Z957" t="s">
        <v>23</v>
      </c>
      <c r="AA957" t="s">
        <v>4</v>
      </c>
      <c r="AB957" t="s">
        <v>6</v>
      </c>
      <c r="AC957" t="s">
        <v>7</v>
      </c>
      <c r="AD957" t="s">
        <v>8</v>
      </c>
      <c r="AE957" t="s">
        <v>6</v>
      </c>
      <c r="AF957" t="s">
        <v>3</v>
      </c>
      <c r="AG957" t="s">
        <v>3</v>
      </c>
      <c r="AH957" t="s">
        <v>3</v>
      </c>
      <c r="AI957" t="s">
        <v>3</v>
      </c>
      <c r="AJ957" t="s">
        <v>3</v>
      </c>
      <c r="AK957" t="s">
        <v>7</v>
      </c>
      <c r="AL957">
        <v>0</v>
      </c>
      <c r="AM957">
        <v>0</v>
      </c>
      <c r="AN957">
        <v>0</v>
      </c>
      <c r="AO957">
        <v>0</v>
      </c>
      <c r="AP957">
        <v>0</v>
      </c>
      <c r="AQ957" t="s">
        <v>9</v>
      </c>
      <c r="AR957" s="1">
        <v>6.6273969999999994E-5</v>
      </c>
      <c r="AS957" s="1">
        <v>4.1042921200000001E-26</v>
      </c>
      <c r="AT957">
        <v>26</v>
      </c>
      <c r="AU957" t="s">
        <v>10</v>
      </c>
      <c r="AV957">
        <v>2</v>
      </c>
      <c r="AW957">
        <v>0</v>
      </c>
      <c r="AX957">
        <v>0</v>
      </c>
      <c r="AY957">
        <v>0</v>
      </c>
      <c r="AZ957">
        <v>0</v>
      </c>
      <c r="BA957" t="s">
        <v>23</v>
      </c>
      <c r="BB957" t="s">
        <v>4</v>
      </c>
      <c r="BC957" t="s">
        <v>10</v>
      </c>
      <c r="BD957">
        <v>0</v>
      </c>
      <c r="BE957">
        <v>0</v>
      </c>
      <c r="BF957">
        <v>0</v>
      </c>
      <c r="BG957">
        <v>0</v>
      </c>
      <c r="BH957">
        <v>0</v>
      </c>
      <c r="BI957" t="s">
        <v>9</v>
      </c>
      <c r="BJ957">
        <v>0</v>
      </c>
      <c r="BK957">
        <v>6.6270000000000001E-5</v>
      </c>
      <c r="BL957">
        <v>0</v>
      </c>
      <c r="BM957" s="2">
        <f t="shared" si="14"/>
        <v>2.4716625030970496E-7</v>
      </c>
    </row>
    <row r="958" spans="1:65" x14ac:dyDescent="0.35">
      <c r="A958">
        <v>0</v>
      </c>
      <c r="B958" t="s">
        <v>11</v>
      </c>
      <c r="C958" t="s">
        <v>4</v>
      </c>
      <c r="D958">
        <v>0</v>
      </c>
      <c r="E958" t="s">
        <v>3</v>
      </c>
      <c r="F958" t="s">
        <v>5</v>
      </c>
      <c r="G958">
        <v>3115.4572429999998</v>
      </c>
      <c r="H958" t="s">
        <v>4</v>
      </c>
      <c r="I958">
        <v>990.16341899999998</v>
      </c>
      <c r="J958">
        <v>2125.2938239999999</v>
      </c>
      <c r="K958" t="s">
        <v>6</v>
      </c>
      <c r="L958" t="s">
        <v>7</v>
      </c>
      <c r="M958" t="s">
        <v>8</v>
      </c>
      <c r="N958" t="s">
        <v>6</v>
      </c>
      <c r="O958" t="s">
        <v>3</v>
      </c>
      <c r="P958" t="s">
        <v>3</v>
      </c>
      <c r="Q958" t="s">
        <v>3</v>
      </c>
      <c r="R958" t="s">
        <v>3</v>
      </c>
      <c r="S958" t="s">
        <v>11</v>
      </c>
      <c r="T958" t="s">
        <v>7</v>
      </c>
      <c r="U958">
        <v>0</v>
      </c>
      <c r="V958">
        <v>0</v>
      </c>
      <c r="W958">
        <v>0</v>
      </c>
      <c r="X958">
        <v>0</v>
      </c>
      <c r="Y958">
        <v>1</v>
      </c>
      <c r="Z958" t="s">
        <v>19</v>
      </c>
      <c r="AA958" t="s">
        <v>4</v>
      </c>
      <c r="AB958" t="s">
        <v>6</v>
      </c>
      <c r="AC958" t="s">
        <v>7</v>
      </c>
      <c r="AD958" t="s">
        <v>8</v>
      </c>
      <c r="AE958" t="s">
        <v>6</v>
      </c>
      <c r="AF958" t="s">
        <v>3</v>
      </c>
      <c r="AG958" t="s">
        <v>3</v>
      </c>
      <c r="AH958" t="s">
        <v>3</v>
      </c>
      <c r="AI958" t="s">
        <v>3</v>
      </c>
      <c r="AJ958" t="s">
        <v>3</v>
      </c>
      <c r="AK958" t="s">
        <v>7</v>
      </c>
      <c r="AL958">
        <v>0</v>
      </c>
      <c r="AM958">
        <v>0</v>
      </c>
      <c r="AN958">
        <v>0</v>
      </c>
      <c r="AO958">
        <v>0</v>
      </c>
      <c r="AP958">
        <v>0</v>
      </c>
      <c r="AQ958" t="s">
        <v>9</v>
      </c>
      <c r="AR958" s="1">
        <v>3.8707153700000001E-3</v>
      </c>
      <c r="AS958" s="1">
        <v>8.5546536600000001E-23</v>
      </c>
      <c r="AT958">
        <v>42</v>
      </c>
      <c r="AU958" t="s">
        <v>10</v>
      </c>
      <c r="AV958">
        <v>0</v>
      </c>
      <c r="AW958">
        <v>0</v>
      </c>
      <c r="AX958">
        <v>0</v>
      </c>
      <c r="AY958">
        <v>0</v>
      </c>
      <c r="AZ958">
        <v>1</v>
      </c>
      <c r="BA958" t="s">
        <v>19</v>
      </c>
      <c r="BB958" t="s">
        <v>4</v>
      </c>
      <c r="BC958" t="s">
        <v>10</v>
      </c>
      <c r="BD958">
        <v>0</v>
      </c>
      <c r="BE958">
        <v>0</v>
      </c>
      <c r="BF958">
        <v>0</v>
      </c>
      <c r="BG958">
        <v>0</v>
      </c>
      <c r="BH958">
        <v>0</v>
      </c>
      <c r="BI958" t="s">
        <v>9</v>
      </c>
      <c r="BJ958">
        <v>0</v>
      </c>
      <c r="BK958">
        <v>-3.8707199999999998E-3</v>
      </c>
      <c r="BL958">
        <v>0</v>
      </c>
      <c r="BM958" s="2">
        <f t="shared" si="14"/>
        <v>5.1517328835755328E-4</v>
      </c>
    </row>
    <row r="959" spans="1:65" x14ac:dyDescent="0.35">
      <c r="A959">
        <v>0</v>
      </c>
      <c r="B959" t="s">
        <v>11</v>
      </c>
      <c r="C959" t="s">
        <v>4</v>
      </c>
      <c r="D959">
        <v>0</v>
      </c>
      <c r="E959" t="s">
        <v>3</v>
      </c>
      <c r="F959" t="s">
        <v>5</v>
      </c>
      <c r="G959">
        <v>4772.6863739999999</v>
      </c>
      <c r="H959" t="s">
        <v>4</v>
      </c>
      <c r="I959">
        <v>990.16341899999998</v>
      </c>
      <c r="J959">
        <v>3782.5229549999999</v>
      </c>
      <c r="K959" t="s">
        <v>6</v>
      </c>
      <c r="L959" t="s">
        <v>7</v>
      </c>
      <c r="M959" t="s">
        <v>8</v>
      </c>
      <c r="N959" t="s">
        <v>6</v>
      </c>
      <c r="O959" t="s">
        <v>3</v>
      </c>
      <c r="P959" t="s">
        <v>3</v>
      </c>
      <c r="Q959" t="s">
        <v>3</v>
      </c>
      <c r="R959" t="s">
        <v>3</v>
      </c>
      <c r="S959" t="s">
        <v>11</v>
      </c>
      <c r="T959" t="s">
        <v>7</v>
      </c>
      <c r="U959">
        <v>4</v>
      </c>
      <c r="V959">
        <v>0</v>
      </c>
      <c r="W959">
        <v>0</v>
      </c>
      <c r="X959">
        <v>0</v>
      </c>
      <c r="Y959">
        <v>0</v>
      </c>
      <c r="Z959" t="s">
        <v>14</v>
      </c>
      <c r="AA959" t="s">
        <v>4</v>
      </c>
      <c r="AB959" t="s">
        <v>6</v>
      </c>
      <c r="AC959" t="s">
        <v>7</v>
      </c>
      <c r="AD959" t="s">
        <v>8</v>
      </c>
      <c r="AE959" t="s">
        <v>6</v>
      </c>
      <c r="AF959" t="s">
        <v>3</v>
      </c>
      <c r="AG959" t="s">
        <v>3</v>
      </c>
      <c r="AH959" t="s">
        <v>3</v>
      </c>
      <c r="AI959" t="s">
        <v>3</v>
      </c>
      <c r="AJ959" t="s">
        <v>3</v>
      </c>
      <c r="AK959" t="s">
        <v>7</v>
      </c>
      <c r="AL959">
        <v>0</v>
      </c>
      <c r="AM959">
        <v>0</v>
      </c>
      <c r="AN959">
        <v>0</v>
      </c>
      <c r="AO959">
        <v>0</v>
      </c>
      <c r="AP959">
        <v>0</v>
      </c>
      <c r="AQ959" t="s">
        <v>9</v>
      </c>
      <c r="AR959" s="1">
        <v>4.0470281600000002E-5</v>
      </c>
      <c r="AS959" s="1">
        <v>1.66444781E-26</v>
      </c>
      <c r="AT959">
        <v>40</v>
      </c>
      <c r="AU959" t="s">
        <v>10</v>
      </c>
      <c r="AV959">
        <v>4</v>
      </c>
      <c r="AW959">
        <v>0</v>
      </c>
      <c r="AX959">
        <v>0</v>
      </c>
      <c r="AY959">
        <v>0</v>
      </c>
      <c r="AZ959">
        <v>0</v>
      </c>
      <c r="BA959" t="s">
        <v>14</v>
      </c>
      <c r="BB959" t="s">
        <v>4</v>
      </c>
      <c r="BC959" t="s">
        <v>10</v>
      </c>
      <c r="BD959">
        <v>0</v>
      </c>
      <c r="BE959">
        <v>0</v>
      </c>
      <c r="BF959">
        <v>0</v>
      </c>
      <c r="BG959">
        <v>0</v>
      </c>
      <c r="BH959">
        <v>0</v>
      </c>
      <c r="BI959" t="s">
        <v>9</v>
      </c>
      <c r="BJ959">
        <v>0</v>
      </c>
      <c r="BK959">
        <v>4.0469999999999997E-5</v>
      </c>
      <c r="BL959">
        <v>0</v>
      </c>
      <c r="BM959" s="2">
        <f t="shared" si="14"/>
        <v>1.0023539066071648E-7</v>
      </c>
    </row>
    <row r="960" spans="1:65" x14ac:dyDescent="0.35">
      <c r="A960">
        <v>0</v>
      </c>
      <c r="B960" t="s">
        <v>11</v>
      </c>
      <c r="C960" t="s">
        <v>4</v>
      </c>
      <c r="D960">
        <v>0</v>
      </c>
      <c r="E960" t="s">
        <v>3</v>
      </c>
      <c r="F960" t="s">
        <v>5</v>
      </c>
      <c r="G960">
        <v>4939.3577420000001</v>
      </c>
      <c r="H960" t="s">
        <v>4</v>
      </c>
      <c r="I960">
        <v>990.16341899999998</v>
      </c>
      <c r="J960">
        <v>3949.1943230000002</v>
      </c>
      <c r="K960" t="s">
        <v>6</v>
      </c>
      <c r="L960" t="s">
        <v>7</v>
      </c>
      <c r="M960" t="s">
        <v>8</v>
      </c>
      <c r="N960" t="s">
        <v>6</v>
      </c>
      <c r="O960" t="s">
        <v>3</v>
      </c>
      <c r="P960" t="s">
        <v>3</v>
      </c>
      <c r="Q960" t="s">
        <v>3</v>
      </c>
      <c r="R960" t="s">
        <v>3</v>
      </c>
      <c r="S960" t="s">
        <v>11</v>
      </c>
      <c r="T960" t="s">
        <v>7</v>
      </c>
      <c r="U960">
        <v>0</v>
      </c>
      <c r="V960">
        <v>2</v>
      </c>
      <c r="W960">
        <v>0</v>
      </c>
      <c r="X960">
        <v>0</v>
      </c>
      <c r="Y960">
        <v>1</v>
      </c>
      <c r="Z960" t="s">
        <v>14</v>
      </c>
      <c r="AA960" t="s">
        <v>4</v>
      </c>
      <c r="AB960" t="s">
        <v>6</v>
      </c>
      <c r="AC960" t="s">
        <v>7</v>
      </c>
      <c r="AD960" t="s">
        <v>8</v>
      </c>
      <c r="AE960" t="s">
        <v>6</v>
      </c>
      <c r="AF960" t="s">
        <v>3</v>
      </c>
      <c r="AG960" t="s">
        <v>3</v>
      </c>
      <c r="AH960" t="s">
        <v>3</v>
      </c>
      <c r="AI960" t="s">
        <v>3</v>
      </c>
      <c r="AJ960" t="s">
        <v>3</v>
      </c>
      <c r="AK960" t="s">
        <v>7</v>
      </c>
      <c r="AL960">
        <v>0</v>
      </c>
      <c r="AM960">
        <v>0</v>
      </c>
      <c r="AN960">
        <v>0</v>
      </c>
      <c r="AO960">
        <v>0</v>
      </c>
      <c r="AP960">
        <v>0</v>
      </c>
      <c r="AQ960" t="s">
        <v>9</v>
      </c>
      <c r="AR960" s="1">
        <v>1.08953879E-6</v>
      </c>
      <c r="AS960" s="1">
        <v>1.25953447E-29</v>
      </c>
      <c r="AT960">
        <v>42</v>
      </c>
      <c r="AU960" t="s">
        <v>10</v>
      </c>
      <c r="AV960">
        <v>0</v>
      </c>
      <c r="AW960">
        <v>2</v>
      </c>
      <c r="AX960">
        <v>0</v>
      </c>
      <c r="AY960">
        <v>0</v>
      </c>
      <c r="AZ960">
        <v>1</v>
      </c>
      <c r="BA960" t="s">
        <v>14</v>
      </c>
      <c r="BB960" t="s">
        <v>4</v>
      </c>
      <c r="BC960" t="s">
        <v>10</v>
      </c>
      <c r="BD960">
        <v>0</v>
      </c>
      <c r="BE960">
        <v>0</v>
      </c>
      <c r="BF960">
        <v>0</v>
      </c>
      <c r="BG960">
        <v>0</v>
      </c>
      <c r="BH960">
        <v>0</v>
      </c>
      <c r="BI960" t="s">
        <v>9</v>
      </c>
      <c r="BJ960">
        <v>0</v>
      </c>
      <c r="BK960">
        <v>-1.0899999999999999E-6</v>
      </c>
      <c r="BL960">
        <v>0</v>
      </c>
      <c r="BM960" s="2">
        <f t="shared" si="14"/>
        <v>7.5850939207933762E-11</v>
      </c>
    </row>
    <row r="961" spans="1:65" x14ac:dyDescent="0.35">
      <c r="A961">
        <v>0</v>
      </c>
      <c r="B961" t="s">
        <v>11</v>
      </c>
      <c r="C961" t="s">
        <v>4</v>
      </c>
      <c r="D961">
        <v>0</v>
      </c>
      <c r="E961" t="s">
        <v>3</v>
      </c>
      <c r="F961" t="s">
        <v>5</v>
      </c>
      <c r="G961">
        <v>3892.9626090000002</v>
      </c>
      <c r="H961" t="s">
        <v>4</v>
      </c>
      <c r="I961">
        <v>990.16341899999998</v>
      </c>
      <c r="J961">
        <v>2902.7991900000002</v>
      </c>
      <c r="K961" t="s">
        <v>6</v>
      </c>
      <c r="L961" t="s">
        <v>7</v>
      </c>
      <c r="M961" t="s">
        <v>8</v>
      </c>
      <c r="N961" t="s">
        <v>6</v>
      </c>
      <c r="O961" t="s">
        <v>3</v>
      </c>
      <c r="P961" t="s">
        <v>3</v>
      </c>
      <c r="Q961" t="s">
        <v>3</v>
      </c>
      <c r="R961" t="s">
        <v>3</v>
      </c>
      <c r="S961" t="s">
        <v>11</v>
      </c>
      <c r="T961" t="s">
        <v>7</v>
      </c>
      <c r="U961">
        <v>0</v>
      </c>
      <c r="V961">
        <v>1</v>
      </c>
      <c r="W961">
        <v>0</v>
      </c>
      <c r="X961">
        <v>4</v>
      </c>
      <c r="Y961">
        <v>0</v>
      </c>
      <c r="Z961" t="s">
        <v>18</v>
      </c>
      <c r="AA961" t="s">
        <v>4</v>
      </c>
      <c r="AB961" t="s">
        <v>6</v>
      </c>
      <c r="AC961" t="s">
        <v>7</v>
      </c>
      <c r="AD961" t="s">
        <v>8</v>
      </c>
      <c r="AE961" t="s">
        <v>6</v>
      </c>
      <c r="AF961" t="s">
        <v>3</v>
      </c>
      <c r="AG961" t="s">
        <v>3</v>
      </c>
      <c r="AH961" t="s">
        <v>3</v>
      </c>
      <c r="AI961" t="s">
        <v>3</v>
      </c>
      <c r="AJ961" t="s">
        <v>3</v>
      </c>
      <c r="AK961" t="s">
        <v>7</v>
      </c>
      <c r="AL961">
        <v>0</v>
      </c>
      <c r="AM961">
        <v>0</v>
      </c>
      <c r="AN961">
        <v>0</v>
      </c>
      <c r="AO961">
        <v>0</v>
      </c>
      <c r="AP961">
        <v>0</v>
      </c>
      <c r="AQ961" t="s">
        <v>9</v>
      </c>
      <c r="AR961" s="1">
        <v>4.8316736299999998E-5</v>
      </c>
      <c r="AS961" s="1">
        <v>1.8206563600000001E-26</v>
      </c>
      <c r="AT961">
        <v>40</v>
      </c>
      <c r="AU961" t="s">
        <v>10</v>
      </c>
      <c r="AV961">
        <v>0</v>
      </c>
      <c r="AW961">
        <v>1</v>
      </c>
      <c r="AX961">
        <v>0</v>
      </c>
      <c r="AY961">
        <v>4</v>
      </c>
      <c r="AZ961">
        <v>0</v>
      </c>
      <c r="BA961" t="s">
        <v>18</v>
      </c>
      <c r="BB961" t="s">
        <v>4</v>
      </c>
      <c r="BC961" t="s">
        <v>10</v>
      </c>
      <c r="BD961">
        <v>0</v>
      </c>
      <c r="BE961">
        <v>0</v>
      </c>
      <c r="BF961">
        <v>0</v>
      </c>
      <c r="BG961">
        <v>0</v>
      </c>
      <c r="BH961">
        <v>0</v>
      </c>
      <c r="BI961" t="s">
        <v>9</v>
      </c>
      <c r="BJ961">
        <v>0</v>
      </c>
      <c r="BK961">
        <v>4.8319999999999998E-5</v>
      </c>
      <c r="BL961">
        <v>0</v>
      </c>
      <c r="BM961" s="2">
        <f t="shared" si="14"/>
        <v>1.0964248948335489E-7</v>
      </c>
    </row>
    <row r="962" spans="1:65" x14ac:dyDescent="0.35">
      <c r="A962">
        <v>0</v>
      </c>
      <c r="B962" t="s">
        <v>3</v>
      </c>
      <c r="C962" t="s">
        <v>4</v>
      </c>
      <c r="D962">
        <v>0</v>
      </c>
      <c r="E962" t="s">
        <v>3</v>
      </c>
      <c r="F962" t="s">
        <v>5</v>
      </c>
      <c r="G962">
        <v>4417.0460229999999</v>
      </c>
      <c r="H962" t="s">
        <v>4</v>
      </c>
      <c r="I962">
        <v>990.16341899999998</v>
      </c>
      <c r="J962">
        <v>3426.8826039999999</v>
      </c>
      <c r="K962" t="s">
        <v>6</v>
      </c>
      <c r="L962" t="s">
        <v>7</v>
      </c>
      <c r="M962" t="s">
        <v>8</v>
      </c>
      <c r="N962" t="s">
        <v>6</v>
      </c>
      <c r="O962" t="s">
        <v>3</v>
      </c>
      <c r="P962" t="s">
        <v>3</v>
      </c>
      <c r="Q962" t="s">
        <v>3</v>
      </c>
      <c r="R962" t="s">
        <v>3</v>
      </c>
      <c r="S962" t="s">
        <v>3</v>
      </c>
      <c r="T962" t="s">
        <v>7</v>
      </c>
      <c r="U962">
        <v>1</v>
      </c>
      <c r="V962">
        <v>2</v>
      </c>
      <c r="W962">
        <v>0</v>
      </c>
      <c r="X962">
        <v>0</v>
      </c>
      <c r="Y962">
        <v>0</v>
      </c>
      <c r="Z962" t="s">
        <v>9</v>
      </c>
      <c r="AA962" t="s">
        <v>4</v>
      </c>
      <c r="AB962" t="s">
        <v>6</v>
      </c>
      <c r="AC962" t="s">
        <v>7</v>
      </c>
      <c r="AD962" t="s">
        <v>8</v>
      </c>
      <c r="AE962" t="s">
        <v>6</v>
      </c>
      <c r="AF962" t="s">
        <v>3</v>
      </c>
      <c r="AG962" t="s">
        <v>3</v>
      </c>
      <c r="AH962" t="s">
        <v>3</v>
      </c>
      <c r="AI962" t="s">
        <v>3</v>
      </c>
      <c r="AJ962" t="s">
        <v>3</v>
      </c>
      <c r="AK962" t="s">
        <v>7</v>
      </c>
      <c r="AL962">
        <v>0</v>
      </c>
      <c r="AM962">
        <v>0</v>
      </c>
      <c r="AN962">
        <v>0</v>
      </c>
      <c r="AO962">
        <v>0</v>
      </c>
      <c r="AP962">
        <v>0</v>
      </c>
      <c r="AQ962" t="s">
        <v>9</v>
      </c>
      <c r="AR962" s="1">
        <v>1.0701218399999999E-4</v>
      </c>
      <c r="AS962" s="1">
        <v>1.0543427600000001E-25</v>
      </c>
      <c r="AT962">
        <v>40</v>
      </c>
      <c r="AU962" t="s">
        <v>10</v>
      </c>
      <c r="AV962">
        <v>1</v>
      </c>
      <c r="AW962">
        <v>2</v>
      </c>
      <c r="AX962">
        <v>0</v>
      </c>
      <c r="AY962">
        <v>0</v>
      </c>
      <c r="AZ962">
        <v>0</v>
      </c>
      <c r="BA962" t="s">
        <v>9</v>
      </c>
      <c r="BB962" t="s">
        <v>4</v>
      </c>
      <c r="BC962" t="s">
        <v>10</v>
      </c>
      <c r="BD962">
        <v>0</v>
      </c>
      <c r="BE962">
        <v>0</v>
      </c>
      <c r="BF962">
        <v>0</v>
      </c>
      <c r="BG962">
        <v>0</v>
      </c>
      <c r="BH962">
        <v>0</v>
      </c>
      <c r="BI962" t="s">
        <v>9</v>
      </c>
      <c r="BJ962">
        <v>1.0698E-4</v>
      </c>
      <c r="BK962">
        <v>0</v>
      </c>
      <c r="BL962">
        <v>-2.7199999999999998E-6</v>
      </c>
      <c r="BM962" s="2">
        <f t="shared" ref="BM962:BM1013" si="15">AS962*10^(-5)*6.0221408*10^(23)</f>
        <v>6.3494005521806088E-7</v>
      </c>
    </row>
    <row r="963" spans="1:65" x14ac:dyDescent="0.35">
      <c r="A963">
        <v>0</v>
      </c>
      <c r="B963" t="s">
        <v>11</v>
      </c>
      <c r="C963" t="s">
        <v>4</v>
      </c>
      <c r="D963">
        <v>0</v>
      </c>
      <c r="E963" t="s">
        <v>3</v>
      </c>
      <c r="F963" t="s">
        <v>5</v>
      </c>
      <c r="G963">
        <v>2583.973759</v>
      </c>
      <c r="H963" t="s">
        <v>4</v>
      </c>
      <c r="I963">
        <v>990.16341899999998</v>
      </c>
      <c r="J963">
        <v>1593.81034</v>
      </c>
      <c r="K963" t="s">
        <v>6</v>
      </c>
      <c r="L963" t="s">
        <v>7</v>
      </c>
      <c r="M963" t="s">
        <v>8</v>
      </c>
      <c r="N963" t="s">
        <v>6</v>
      </c>
      <c r="O963" t="s">
        <v>3</v>
      </c>
      <c r="P963" t="s">
        <v>3</v>
      </c>
      <c r="Q963" t="s">
        <v>3</v>
      </c>
      <c r="R963" t="s">
        <v>3</v>
      </c>
      <c r="S963" t="s">
        <v>11</v>
      </c>
      <c r="T963" t="s">
        <v>7</v>
      </c>
      <c r="U963">
        <v>0</v>
      </c>
      <c r="V963">
        <v>0</v>
      </c>
      <c r="W963">
        <v>0</v>
      </c>
      <c r="X963">
        <v>0</v>
      </c>
      <c r="Y963">
        <v>1</v>
      </c>
      <c r="Z963" t="s">
        <v>13</v>
      </c>
      <c r="AA963" t="s">
        <v>4</v>
      </c>
      <c r="AB963" t="s">
        <v>6</v>
      </c>
      <c r="AC963" t="s">
        <v>7</v>
      </c>
      <c r="AD963" t="s">
        <v>8</v>
      </c>
      <c r="AE963" t="s">
        <v>6</v>
      </c>
      <c r="AF963" t="s">
        <v>3</v>
      </c>
      <c r="AG963" t="s">
        <v>3</v>
      </c>
      <c r="AH963" t="s">
        <v>3</v>
      </c>
      <c r="AI963" t="s">
        <v>3</v>
      </c>
      <c r="AJ963" t="s">
        <v>3</v>
      </c>
      <c r="AK963" t="s">
        <v>7</v>
      </c>
      <c r="AL963">
        <v>0</v>
      </c>
      <c r="AM963">
        <v>0</v>
      </c>
      <c r="AN963">
        <v>0</v>
      </c>
      <c r="AO963">
        <v>0</v>
      </c>
      <c r="AP963">
        <v>0</v>
      </c>
      <c r="AQ963" t="s">
        <v>9</v>
      </c>
      <c r="AR963" s="1">
        <v>2.63262196E-5</v>
      </c>
      <c r="AS963" s="1">
        <v>2.9664164500000002E-27</v>
      </c>
      <c r="AT963">
        <v>40</v>
      </c>
      <c r="AU963" t="s">
        <v>10</v>
      </c>
      <c r="AV963">
        <v>0</v>
      </c>
      <c r="AW963">
        <v>0</v>
      </c>
      <c r="AX963">
        <v>0</v>
      </c>
      <c r="AY963">
        <v>0</v>
      </c>
      <c r="AZ963">
        <v>1</v>
      </c>
      <c r="BA963" t="s">
        <v>13</v>
      </c>
      <c r="BB963" t="s">
        <v>4</v>
      </c>
      <c r="BC963" t="s">
        <v>10</v>
      </c>
      <c r="BD963">
        <v>0</v>
      </c>
      <c r="BE963">
        <v>0</v>
      </c>
      <c r="BF963">
        <v>0</v>
      </c>
      <c r="BG963">
        <v>0</v>
      </c>
      <c r="BH963">
        <v>0</v>
      </c>
      <c r="BI963" t="s">
        <v>9</v>
      </c>
      <c r="BJ963">
        <v>0</v>
      </c>
      <c r="BK963">
        <v>-2.633E-5</v>
      </c>
      <c r="BL963">
        <v>0</v>
      </c>
      <c r="BM963" s="2">
        <f t="shared" si="15"/>
        <v>1.7864177533336159E-8</v>
      </c>
    </row>
    <row r="964" spans="1:65" x14ac:dyDescent="0.35">
      <c r="A964">
        <v>0</v>
      </c>
      <c r="B964" t="s">
        <v>11</v>
      </c>
      <c r="C964" t="s">
        <v>4</v>
      </c>
      <c r="D964">
        <v>0</v>
      </c>
      <c r="E964" t="s">
        <v>3</v>
      </c>
      <c r="F964" t="s">
        <v>5</v>
      </c>
      <c r="G964">
        <v>4873.4601579999999</v>
      </c>
      <c r="H964" t="s">
        <v>4</v>
      </c>
      <c r="I964">
        <v>990.16341899999998</v>
      </c>
      <c r="J964">
        <v>3883.2967389999999</v>
      </c>
      <c r="K964" t="s">
        <v>6</v>
      </c>
      <c r="L964" t="s">
        <v>7</v>
      </c>
      <c r="M964" t="s">
        <v>8</v>
      </c>
      <c r="N964" t="s">
        <v>6</v>
      </c>
      <c r="O964" t="s">
        <v>3</v>
      </c>
      <c r="P964" t="s">
        <v>3</v>
      </c>
      <c r="Q964" t="s">
        <v>3</v>
      </c>
      <c r="R964" t="s">
        <v>3</v>
      </c>
      <c r="S964" t="s">
        <v>11</v>
      </c>
      <c r="T964" t="s">
        <v>7</v>
      </c>
      <c r="U964">
        <v>0</v>
      </c>
      <c r="V964">
        <v>0</v>
      </c>
      <c r="W964">
        <v>0</v>
      </c>
      <c r="X964">
        <v>1</v>
      </c>
      <c r="Y964">
        <v>1</v>
      </c>
      <c r="Z964" t="s">
        <v>25</v>
      </c>
      <c r="AA964" t="s">
        <v>4</v>
      </c>
      <c r="AB964" t="s">
        <v>6</v>
      </c>
      <c r="AC964" t="s">
        <v>7</v>
      </c>
      <c r="AD964" t="s">
        <v>8</v>
      </c>
      <c r="AE964" t="s">
        <v>6</v>
      </c>
      <c r="AF964" t="s">
        <v>3</v>
      </c>
      <c r="AG964" t="s">
        <v>3</v>
      </c>
      <c r="AH964" t="s">
        <v>3</v>
      </c>
      <c r="AI964" t="s">
        <v>3</v>
      </c>
      <c r="AJ964" t="s">
        <v>3</v>
      </c>
      <c r="AK964" t="s">
        <v>7</v>
      </c>
      <c r="AL964">
        <v>0</v>
      </c>
      <c r="AM964">
        <v>0</v>
      </c>
      <c r="AN964">
        <v>0</v>
      </c>
      <c r="AO964">
        <v>0</v>
      </c>
      <c r="AP964">
        <v>0</v>
      </c>
      <c r="AQ964" t="s">
        <v>9</v>
      </c>
      <c r="AR964" s="1">
        <v>1.4215126899999999E-5</v>
      </c>
      <c r="AS964" s="1">
        <v>2.1082311200000001E-27</v>
      </c>
      <c r="AT964">
        <v>42</v>
      </c>
      <c r="AU964" t="s">
        <v>10</v>
      </c>
      <c r="AV964">
        <v>0</v>
      </c>
      <c r="AW964">
        <v>0</v>
      </c>
      <c r="AX964">
        <v>0</v>
      </c>
      <c r="AY964">
        <v>1</v>
      </c>
      <c r="AZ964">
        <v>1</v>
      </c>
      <c r="BA964" t="s">
        <v>25</v>
      </c>
      <c r="BB964" t="s">
        <v>4</v>
      </c>
      <c r="BC964" t="s">
        <v>10</v>
      </c>
      <c r="BD964">
        <v>0</v>
      </c>
      <c r="BE964">
        <v>0</v>
      </c>
      <c r="BF964">
        <v>0</v>
      </c>
      <c r="BG964">
        <v>0</v>
      </c>
      <c r="BH964">
        <v>0</v>
      </c>
      <c r="BI964" t="s">
        <v>9</v>
      </c>
      <c r="BJ964">
        <v>0</v>
      </c>
      <c r="BK964">
        <v>-1.4219999999999999E-5</v>
      </c>
      <c r="BL964">
        <v>0</v>
      </c>
      <c r="BM964" s="2">
        <f t="shared" si="15"/>
        <v>1.2696064643581695E-8</v>
      </c>
    </row>
    <row r="965" spans="1:65" x14ac:dyDescent="0.35">
      <c r="A965">
        <v>0</v>
      </c>
      <c r="B965" t="s">
        <v>11</v>
      </c>
      <c r="C965" t="s">
        <v>4</v>
      </c>
      <c r="D965">
        <v>0</v>
      </c>
      <c r="E965" t="s">
        <v>3</v>
      </c>
      <c r="F965" t="s">
        <v>5</v>
      </c>
      <c r="G965">
        <v>3605.1541029999998</v>
      </c>
      <c r="H965" t="s">
        <v>4</v>
      </c>
      <c r="I965">
        <v>990.16341899999998</v>
      </c>
      <c r="J965">
        <v>2614.9906839999999</v>
      </c>
      <c r="K965" t="s">
        <v>6</v>
      </c>
      <c r="L965" t="s">
        <v>7</v>
      </c>
      <c r="M965" t="s">
        <v>8</v>
      </c>
      <c r="N965" t="s">
        <v>6</v>
      </c>
      <c r="O965" t="s">
        <v>3</v>
      </c>
      <c r="P965" t="s">
        <v>3</v>
      </c>
      <c r="Q965" t="s">
        <v>3</v>
      </c>
      <c r="R965" t="s">
        <v>3</v>
      </c>
      <c r="S965" t="s">
        <v>11</v>
      </c>
      <c r="T965" t="s">
        <v>7</v>
      </c>
      <c r="U965">
        <v>1</v>
      </c>
      <c r="V965">
        <v>0</v>
      </c>
      <c r="W965">
        <v>0</v>
      </c>
      <c r="X965">
        <v>3</v>
      </c>
      <c r="Y965">
        <v>0</v>
      </c>
      <c r="Z965" t="s">
        <v>13</v>
      </c>
      <c r="AA965" t="s">
        <v>4</v>
      </c>
      <c r="AB965" t="s">
        <v>6</v>
      </c>
      <c r="AC965" t="s">
        <v>7</v>
      </c>
      <c r="AD965" t="s">
        <v>8</v>
      </c>
      <c r="AE965" t="s">
        <v>6</v>
      </c>
      <c r="AF965" t="s">
        <v>3</v>
      </c>
      <c r="AG965" t="s">
        <v>3</v>
      </c>
      <c r="AH965" t="s">
        <v>3</v>
      </c>
      <c r="AI965" t="s">
        <v>3</v>
      </c>
      <c r="AJ965" t="s">
        <v>3</v>
      </c>
      <c r="AK965" t="s">
        <v>7</v>
      </c>
      <c r="AL965">
        <v>0</v>
      </c>
      <c r="AM965">
        <v>0</v>
      </c>
      <c r="AN965">
        <v>0</v>
      </c>
      <c r="AO965">
        <v>0</v>
      </c>
      <c r="AP965">
        <v>0</v>
      </c>
      <c r="AQ965" t="s">
        <v>9</v>
      </c>
      <c r="AR965" s="1">
        <v>6.5647220599999995E-5</v>
      </c>
      <c r="AS965" s="1">
        <v>3.02773295E-26</v>
      </c>
      <c r="AT965">
        <v>40</v>
      </c>
      <c r="AU965" t="s">
        <v>10</v>
      </c>
      <c r="AV965">
        <v>1</v>
      </c>
      <c r="AW965">
        <v>0</v>
      </c>
      <c r="AX965">
        <v>0</v>
      </c>
      <c r="AY965">
        <v>3</v>
      </c>
      <c r="AZ965">
        <v>0</v>
      </c>
      <c r="BA965" t="s">
        <v>13</v>
      </c>
      <c r="BB965" t="s">
        <v>4</v>
      </c>
      <c r="BC965" t="s">
        <v>10</v>
      </c>
      <c r="BD965">
        <v>0</v>
      </c>
      <c r="BE965">
        <v>0</v>
      </c>
      <c r="BF965">
        <v>0</v>
      </c>
      <c r="BG965">
        <v>0</v>
      </c>
      <c r="BH965">
        <v>0</v>
      </c>
      <c r="BI965" t="s">
        <v>9</v>
      </c>
      <c r="BJ965">
        <v>0</v>
      </c>
      <c r="BK965">
        <v>-6.5649999999999997E-5</v>
      </c>
      <c r="BL965">
        <v>0</v>
      </c>
      <c r="BM965" s="2">
        <f t="shared" si="15"/>
        <v>1.8233434129699359E-7</v>
      </c>
    </row>
    <row r="966" spans="1:65" x14ac:dyDescent="0.35">
      <c r="A966">
        <v>0</v>
      </c>
      <c r="B966" t="s">
        <v>11</v>
      </c>
      <c r="C966" t="s">
        <v>4</v>
      </c>
      <c r="D966">
        <v>0</v>
      </c>
      <c r="E966" t="s">
        <v>3</v>
      </c>
      <c r="F966" t="s">
        <v>5</v>
      </c>
      <c r="G966">
        <v>4711.4063130000004</v>
      </c>
      <c r="H966" t="s">
        <v>4</v>
      </c>
      <c r="I966">
        <v>990.16341899999998</v>
      </c>
      <c r="J966">
        <v>3721.242894</v>
      </c>
      <c r="K966" t="s">
        <v>6</v>
      </c>
      <c r="L966" t="s">
        <v>7</v>
      </c>
      <c r="M966" t="s">
        <v>8</v>
      </c>
      <c r="N966" t="s">
        <v>6</v>
      </c>
      <c r="O966" t="s">
        <v>3</v>
      </c>
      <c r="P966" t="s">
        <v>3</v>
      </c>
      <c r="Q966" t="s">
        <v>3</v>
      </c>
      <c r="R966" t="s">
        <v>3</v>
      </c>
      <c r="S966" t="s">
        <v>11</v>
      </c>
      <c r="T966" t="s">
        <v>7</v>
      </c>
      <c r="U966">
        <v>0</v>
      </c>
      <c r="V966">
        <v>1</v>
      </c>
      <c r="W966">
        <v>0</v>
      </c>
      <c r="X966">
        <v>6</v>
      </c>
      <c r="Y966">
        <v>0</v>
      </c>
      <c r="Z966" t="s">
        <v>18</v>
      </c>
      <c r="AA966" t="s">
        <v>4</v>
      </c>
      <c r="AB966" t="s">
        <v>6</v>
      </c>
      <c r="AC966" t="s">
        <v>7</v>
      </c>
      <c r="AD966" t="s">
        <v>8</v>
      </c>
      <c r="AE966" t="s">
        <v>6</v>
      </c>
      <c r="AF966" t="s">
        <v>3</v>
      </c>
      <c r="AG966" t="s">
        <v>3</v>
      </c>
      <c r="AH966" t="s">
        <v>3</v>
      </c>
      <c r="AI966" t="s">
        <v>3</v>
      </c>
      <c r="AJ966" t="s">
        <v>3</v>
      </c>
      <c r="AK966" t="s">
        <v>7</v>
      </c>
      <c r="AL966">
        <v>0</v>
      </c>
      <c r="AM966">
        <v>0</v>
      </c>
      <c r="AN966">
        <v>0</v>
      </c>
      <c r="AO966">
        <v>0</v>
      </c>
      <c r="AP966">
        <v>0</v>
      </c>
      <c r="AQ966" t="s">
        <v>9</v>
      </c>
      <c r="AR966" s="1">
        <v>5.0872826099999998E-6</v>
      </c>
      <c r="AS966" s="1">
        <v>2.5874734600000001E-28</v>
      </c>
      <c r="AT966">
        <v>41</v>
      </c>
      <c r="AU966" t="s">
        <v>10</v>
      </c>
      <c r="AV966">
        <v>0</v>
      </c>
      <c r="AW966">
        <v>1</v>
      </c>
      <c r="AX966">
        <v>0</v>
      </c>
      <c r="AY966">
        <v>6</v>
      </c>
      <c r="AZ966">
        <v>0</v>
      </c>
      <c r="BA966" t="s">
        <v>18</v>
      </c>
      <c r="BB966" t="s">
        <v>4</v>
      </c>
      <c r="BC966" t="s">
        <v>10</v>
      </c>
      <c r="BD966">
        <v>0</v>
      </c>
      <c r="BE966">
        <v>0</v>
      </c>
      <c r="BF966">
        <v>0</v>
      </c>
      <c r="BG966">
        <v>0</v>
      </c>
      <c r="BH966">
        <v>0</v>
      </c>
      <c r="BI966" t="s">
        <v>9</v>
      </c>
      <c r="BJ966">
        <v>0</v>
      </c>
      <c r="BK966">
        <v>5.0900000000000004E-6</v>
      </c>
      <c r="BL966">
        <v>0</v>
      </c>
      <c r="BM966" s="2">
        <f t="shared" si="15"/>
        <v>1.5582129492383166E-9</v>
      </c>
    </row>
    <row r="967" spans="1:65" x14ac:dyDescent="0.35">
      <c r="A967">
        <v>0</v>
      </c>
      <c r="B967" t="s">
        <v>11</v>
      </c>
      <c r="C967" t="s">
        <v>4</v>
      </c>
      <c r="D967">
        <v>0</v>
      </c>
      <c r="E967" t="s">
        <v>3</v>
      </c>
      <c r="F967" t="s">
        <v>5</v>
      </c>
      <c r="G967">
        <v>4093.438611</v>
      </c>
      <c r="H967" t="s">
        <v>4</v>
      </c>
      <c r="I967">
        <v>990.16341899999998</v>
      </c>
      <c r="J967">
        <v>3103.2751920000001</v>
      </c>
      <c r="K967" t="s">
        <v>6</v>
      </c>
      <c r="L967" t="s">
        <v>7</v>
      </c>
      <c r="M967" t="s">
        <v>8</v>
      </c>
      <c r="N967" t="s">
        <v>6</v>
      </c>
      <c r="O967" t="s">
        <v>3</v>
      </c>
      <c r="P967" t="s">
        <v>3</v>
      </c>
      <c r="Q967" t="s">
        <v>3</v>
      </c>
      <c r="R967" t="s">
        <v>3</v>
      </c>
      <c r="S967" t="s">
        <v>11</v>
      </c>
      <c r="T967" t="s">
        <v>7</v>
      </c>
      <c r="U967">
        <v>0</v>
      </c>
      <c r="V967">
        <v>1</v>
      </c>
      <c r="W967">
        <v>0</v>
      </c>
      <c r="X967">
        <v>1</v>
      </c>
      <c r="Y967">
        <v>1</v>
      </c>
      <c r="Z967" t="s">
        <v>14</v>
      </c>
      <c r="AA967" t="s">
        <v>4</v>
      </c>
      <c r="AB967" t="s">
        <v>6</v>
      </c>
      <c r="AC967" t="s">
        <v>7</v>
      </c>
      <c r="AD967" t="s">
        <v>8</v>
      </c>
      <c r="AE967" t="s">
        <v>6</v>
      </c>
      <c r="AF967" t="s">
        <v>3</v>
      </c>
      <c r="AG967" t="s">
        <v>3</v>
      </c>
      <c r="AH967" t="s">
        <v>3</v>
      </c>
      <c r="AI967" t="s">
        <v>3</v>
      </c>
      <c r="AJ967" t="s">
        <v>3</v>
      </c>
      <c r="AK967" t="s">
        <v>7</v>
      </c>
      <c r="AL967">
        <v>0</v>
      </c>
      <c r="AM967">
        <v>0</v>
      </c>
      <c r="AN967">
        <v>0</v>
      </c>
      <c r="AO967">
        <v>0</v>
      </c>
      <c r="AP967">
        <v>0</v>
      </c>
      <c r="AQ967" t="s">
        <v>9</v>
      </c>
      <c r="AR967" s="1">
        <v>2.5695947800000001E-6</v>
      </c>
      <c r="AS967" s="1">
        <v>5.5051048999999997E-29</v>
      </c>
      <c r="AT967">
        <v>42</v>
      </c>
      <c r="AU967" t="s">
        <v>10</v>
      </c>
      <c r="AV967">
        <v>0</v>
      </c>
      <c r="AW967">
        <v>1</v>
      </c>
      <c r="AX967">
        <v>0</v>
      </c>
      <c r="AY967">
        <v>1</v>
      </c>
      <c r="AZ967">
        <v>1</v>
      </c>
      <c r="BA967" t="s">
        <v>14</v>
      </c>
      <c r="BB967" t="s">
        <v>4</v>
      </c>
      <c r="BC967" t="s">
        <v>10</v>
      </c>
      <c r="BD967">
        <v>0</v>
      </c>
      <c r="BE967">
        <v>0</v>
      </c>
      <c r="BF967">
        <v>0</v>
      </c>
      <c r="BG967">
        <v>0</v>
      </c>
      <c r="BH967">
        <v>0</v>
      </c>
      <c r="BI967" t="s">
        <v>9</v>
      </c>
      <c r="BJ967">
        <v>0</v>
      </c>
      <c r="BK967">
        <v>2.57E-6</v>
      </c>
      <c r="BL967">
        <v>0</v>
      </c>
      <c r="BM967" s="2">
        <f t="shared" si="15"/>
        <v>3.3152516826569914E-10</v>
      </c>
    </row>
    <row r="968" spans="1:65" x14ac:dyDescent="0.35">
      <c r="A968">
        <v>0</v>
      </c>
      <c r="B968" t="s">
        <v>3</v>
      </c>
      <c r="C968" t="s">
        <v>4</v>
      </c>
      <c r="D968">
        <v>0</v>
      </c>
      <c r="E968" t="s">
        <v>3</v>
      </c>
      <c r="F968" t="s">
        <v>5</v>
      </c>
      <c r="G968">
        <v>3974.1424160000001</v>
      </c>
      <c r="H968" t="s">
        <v>4</v>
      </c>
      <c r="I968">
        <v>990.16341899999998</v>
      </c>
      <c r="J968">
        <v>2983.9789970000002</v>
      </c>
      <c r="K968" t="s">
        <v>6</v>
      </c>
      <c r="L968" t="s">
        <v>7</v>
      </c>
      <c r="M968" t="s">
        <v>8</v>
      </c>
      <c r="N968" t="s">
        <v>6</v>
      </c>
      <c r="O968" t="s">
        <v>3</v>
      </c>
      <c r="P968" t="s">
        <v>3</v>
      </c>
      <c r="Q968" t="s">
        <v>3</v>
      </c>
      <c r="R968" t="s">
        <v>3</v>
      </c>
      <c r="S968" t="s">
        <v>3</v>
      </c>
      <c r="T968" t="s">
        <v>7</v>
      </c>
      <c r="U968">
        <v>0</v>
      </c>
      <c r="V968">
        <v>0</v>
      </c>
      <c r="W968">
        <v>0</v>
      </c>
      <c r="X968">
        <v>1</v>
      </c>
      <c r="Y968">
        <v>3</v>
      </c>
      <c r="Z968" t="s">
        <v>9</v>
      </c>
      <c r="AA968" t="s">
        <v>4</v>
      </c>
      <c r="AB968" t="s">
        <v>6</v>
      </c>
      <c r="AC968" t="s">
        <v>7</v>
      </c>
      <c r="AD968" t="s">
        <v>8</v>
      </c>
      <c r="AE968" t="s">
        <v>6</v>
      </c>
      <c r="AF968" t="s">
        <v>3</v>
      </c>
      <c r="AG968" t="s">
        <v>3</v>
      </c>
      <c r="AH968" t="s">
        <v>3</v>
      </c>
      <c r="AI968" t="s">
        <v>3</v>
      </c>
      <c r="AJ968" t="s">
        <v>3</v>
      </c>
      <c r="AK968" t="s">
        <v>7</v>
      </c>
      <c r="AL968">
        <v>0</v>
      </c>
      <c r="AM968">
        <v>0</v>
      </c>
      <c r="AN968">
        <v>0</v>
      </c>
      <c r="AO968">
        <v>0</v>
      </c>
      <c r="AP968">
        <v>0</v>
      </c>
      <c r="AQ968" t="s">
        <v>9</v>
      </c>
      <c r="AR968" s="1">
        <v>1.2602729E-4</v>
      </c>
      <c r="AS968" s="1">
        <v>1.2733297300000001E-25</v>
      </c>
      <c r="AT968">
        <v>40</v>
      </c>
      <c r="AU968" t="s">
        <v>10</v>
      </c>
      <c r="AV968">
        <v>0</v>
      </c>
      <c r="AW968">
        <v>0</v>
      </c>
      <c r="AX968">
        <v>0</v>
      </c>
      <c r="AY968">
        <v>1</v>
      </c>
      <c r="AZ968">
        <v>3</v>
      </c>
      <c r="BA968" t="s">
        <v>9</v>
      </c>
      <c r="BB968" t="s">
        <v>4</v>
      </c>
      <c r="BC968" t="s">
        <v>10</v>
      </c>
      <c r="BD968">
        <v>0</v>
      </c>
      <c r="BE968">
        <v>0</v>
      </c>
      <c r="BF968">
        <v>0</v>
      </c>
      <c r="BG968">
        <v>0</v>
      </c>
      <c r="BH968">
        <v>0</v>
      </c>
      <c r="BI968" t="s">
        <v>9</v>
      </c>
      <c r="BJ968">
        <v>-3.9119999999999998E-5</v>
      </c>
      <c r="BK968">
        <v>0</v>
      </c>
      <c r="BL968">
        <v>1.198E-4</v>
      </c>
      <c r="BM968" s="2">
        <f t="shared" si="15"/>
        <v>7.6681709188859841E-7</v>
      </c>
    </row>
    <row r="969" spans="1:65" x14ac:dyDescent="0.35">
      <c r="A969">
        <v>0</v>
      </c>
      <c r="B969" t="s">
        <v>3</v>
      </c>
      <c r="C969" t="s">
        <v>4</v>
      </c>
      <c r="D969">
        <v>0</v>
      </c>
      <c r="E969" t="s">
        <v>3</v>
      </c>
      <c r="F969" t="s">
        <v>5</v>
      </c>
      <c r="G969">
        <v>2890.9340109999998</v>
      </c>
      <c r="H969" t="s">
        <v>4</v>
      </c>
      <c r="I969">
        <v>990.16341899999998</v>
      </c>
      <c r="J969">
        <v>1900.7705920000001</v>
      </c>
      <c r="K969" t="s">
        <v>6</v>
      </c>
      <c r="L969" t="s">
        <v>7</v>
      </c>
      <c r="M969" t="s">
        <v>8</v>
      </c>
      <c r="N969" t="s">
        <v>6</v>
      </c>
      <c r="O969" t="s">
        <v>3</v>
      </c>
      <c r="P969" t="s">
        <v>3</v>
      </c>
      <c r="Q969" t="s">
        <v>3</v>
      </c>
      <c r="R969" t="s">
        <v>3</v>
      </c>
      <c r="S969" t="s">
        <v>3</v>
      </c>
      <c r="T969" t="s">
        <v>7</v>
      </c>
      <c r="U969">
        <v>0</v>
      </c>
      <c r="V969">
        <v>2</v>
      </c>
      <c r="W969">
        <v>0</v>
      </c>
      <c r="X969">
        <v>1</v>
      </c>
      <c r="Y969">
        <v>0</v>
      </c>
      <c r="Z969" t="s">
        <v>8</v>
      </c>
      <c r="AA969" t="s">
        <v>4</v>
      </c>
      <c r="AB969" t="s">
        <v>6</v>
      </c>
      <c r="AC969" t="s">
        <v>7</v>
      </c>
      <c r="AD969" t="s">
        <v>8</v>
      </c>
      <c r="AE969" t="s">
        <v>6</v>
      </c>
      <c r="AF969" t="s">
        <v>3</v>
      </c>
      <c r="AG969" t="s">
        <v>3</v>
      </c>
      <c r="AH969" t="s">
        <v>3</v>
      </c>
      <c r="AI969" t="s">
        <v>3</v>
      </c>
      <c r="AJ969" t="s">
        <v>3</v>
      </c>
      <c r="AK969" t="s">
        <v>7</v>
      </c>
      <c r="AL969">
        <v>0</v>
      </c>
      <c r="AM969">
        <v>0</v>
      </c>
      <c r="AN969">
        <v>0</v>
      </c>
      <c r="AO969">
        <v>0</v>
      </c>
      <c r="AP969">
        <v>0</v>
      </c>
      <c r="AQ969" t="s">
        <v>9</v>
      </c>
      <c r="AR969" s="1">
        <v>1.28404591E-5</v>
      </c>
      <c r="AS969" s="1">
        <v>8.4190302600000007E-28</v>
      </c>
      <c r="AT969">
        <v>40</v>
      </c>
      <c r="AU969" t="s">
        <v>10</v>
      </c>
      <c r="AV969">
        <v>0</v>
      </c>
      <c r="AW969">
        <v>2</v>
      </c>
      <c r="AX969">
        <v>0</v>
      </c>
      <c r="AY969">
        <v>1</v>
      </c>
      <c r="AZ969">
        <v>0</v>
      </c>
      <c r="BA969" t="s">
        <v>8</v>
      </c>
      <c r="BB969" t="s">
        <v>4</v>
      </c>
      <c r="BC969" t="s">
        <v>10</v>
      </c>
      <c r="BD969">
        <v>0</v>
      </c>
      <c r="BE969">
        <v>0</v>
      </c>
      <c r="BF969">
        <v>0</v>
      </c>
      <c r="BG969">
        <v>0</v>
      </c>
      <c r="BH969">
        <v>0</v>
      </c>
      <c r="BI969" t="s">
        <v>9</v>
      </c>
      <c r="BJ969">
        <v>8.8400000000000001E-6</v>
      </c>
      <c r="BK969">
        <v>0</v>
      </c>
      <c r="BL969">
        <v>-9.3100000000000006E-6</v>
      </c>
      <c r="BM969" s="2">
        <f t="shared" si="15"/>
        <v>5.0700585625180622E-9</v>
      </c>
    </row>
    <row r="970" spans="1:65" x14ac:dyDescent="0.35">
      <c r="A970">
        <v>0</v>
      </c>
      <c r="B970" t="s">
        <v>3</v>
      </c>
      <c r="C970" t="s">
        <v>4</v>
      </c>
      <c r="D970">
        <v>0</v>
      </c>
      <c r="E970" t="s">
        <v>3</v>
      </c>
      <c r="F970" t="s">
        <v>5</v>
      </c>
      <c r="G970">
        <v>4358.2366890000003</v>
      </c>
      <c r="H970" t="s">
        <v>4</v>
      </c>
      <c r="I970">
        <v>990.16341899999998</v>
      </c>
      <c r="J970">
        <v>3368.0732699999999</v>
      </c>
      <c r="K970" t="s">
        <v>6</v>
      </c>
      <c r="L970" t="s">
        <v>7</v>
      </c>
      <c r="M970" t="s">
        <v>8</v>
      </c>
      <c r="N970" t="s">
        <v>6</v>
      </c>
      <c r="O970" t="s">
        <v>3</v>
      </c>
      <c r="P970" t="s">
        <v>3</v>
      </c>
      <c r="Q970" t="s">
        <v>3</v>
      </c>
      <c r="R970" t="s">
        <v>3</v>
      </c>
      <c r="S970" t="s">
        <v>3</v>
      </c>
      <c r="T970" t="s">
        <v>7</v>
      </c>
      <c r="U970">
        <v>0</v>
      </c>
      <c r="V970">
        <v>0</v>
      </c>
      <c r="W970">
        <v>1</v>
      </c>
      <c r="X970">
        <v>2</v>
      </c>
      <c r="Y970">
        <v>0</v>
      </c>
      <c r="Z970" t="s">
        <v>8</v>
      </c>
      <c r="AA970" t="s">
        <v>4</v>
      </c>
      <c r="AB970" t="s">
        <v>6</v>
      </c>
      <c r="AC970" t="s">
        <v>7</v>
      </c>
      <c r="AD970" t="s">
        <v>8</v>
      </c>
      <c r="AE970" t="s">
        <v>6</v>
      </c>
      <c r="AF970" t="s">
        <v>3</v>
      </c>
      <c r="AG970" t="s">
        <v>3</v>
      </c>
      <c r="AH970" t="s">
        <v>3</v>
      </c>
      <c r="AI970" t="s">
        <v>3</v>
      </c>
      <c r="AJ970" t="s">
        <v>3</v>
      </c>
      <c r="AK970" t="s">
        <v>7</v>
      </c>
      <c r="AL970">
        <v>0</v>
      </c>
      <c r="AM970">
        <v>0</v>
      </c>
      <c r="AN970">
        <v>0</v>
      </c>
      <c r="AO970">
        <v>0</v>
      </c>
      <c r="AP970">
        <v>0</v>
      </c>
      <c r="AQ970" t="s">
        <v>9</v>
      </c>
      <c r="AR970" s="1">
        <v>3.0912442300000002E-5</v>
      </c>
      <c r="AS970" s="1">
        <v>8.6469767699999996E-27</v>
      </c>
      <c r="AT970">
        <v>41</v>
      </c>
      <c r="AU970" t="s">
        <v>10</v>
      </c>
      <c r="AV970">
        <v>0</v>
      </c>
      <c r="AW970">
        <v>0</v>
      </c>
      <c r="AX970">
        <v>1</v>
      </c>
      <c r="AY970">
        <v>2</v>
      </c>
      <c r="AZ970">
        <v>0</v>
      </c>
      <c r="BA970" t="s">
        <v>8</v>
      </c>
      <c r="BB970" t="s">
        <v>4</v>
      </c>
      <c r="BC970" t="s">
        <v>10</v>
      </c>
      <c r="BD970">
        <v>0</v>
      </c>
      <c r="BE970">
        <v>0</v>
      </c>
      <c r="BF970">
        <v>0</v>
      </c>
      <c r="BG970">
        <v>0</v>
      </c>
      <c r="BH970">
        <v>0</v>
      </c>
      <c r="BI970" t="s">
        <v>9</v>
      </c>
      <c r="BJ970">
        <v>3.0849999999999998E-5</v>
      </c>
      <c r="BK970">
        <v>0</v>
      </c>
      <c r="BL970">
        <v>-1.9700000000000002E-6</v>
      </c>
      <c r="BM970" s="2">
        <f t="shared" si="15"/>
        <v>5.2073311603269209E-8</v>
      </c>
    </row>
    <row r="971" spans="1:65" x14ac:dyDescent="0.35">
      <c r="A971">
        <v>0</v>
      </c>
      <c r="B971" t="s">
        <v>11</v>
      </c>
      <c r="C971" t="s">
        <v>4</v>
      </c>
      <c r="D971">
        <v>0</v>
      </c>
      <c r="E971" t="s">
        <v>3</v>
      </c>
      <c r="F971" t="s">
        <v>5</v>
      </c>
      <c r="G971">
        <v>4280.8296970000001</v>
      </c>
      <c r="H971" t="s">
        <v>4</v>
      </c>
      <c r="I971">
        <v>990.16341899999998</v>
      </c>
      <c r="J971">
        <v>3290.6662780000001</v>
      </c>
      <c r="K971" t="s">
        <v>6</v>
      </c>
      <c r="L971" t="s">
        <v>7</v>
      </c>
      <c r="M971" t="s">
        <v>8</v>
      </c>
      <c r="N971" t="s">
        <v>6</v>
      </c>
      <c r="O971" t="s">
        <v>3</v>
      </c>
      <c r="P971" t="s">
        <v>3</v>
      </c>
      <c r="Q971" t="s">
        <v>3</v>
      </c>
      <c r="R971" t="s">
        <v>3</v>
      </c>
      <c r="S971" t="s">
        <v>11</v>
      </c>
      <c r="T971" t="s">
        <v>7</v>
      </c>
      <c r="U971">
        <v>0</v>
      </c>
      <c r="V971">
        <v>1</v>
      </c>
      <c r="W971">
        <v>0</v>
      </c>
      <c r="X971">
        <v>6</v>
      </c>
      <c r="Y971">
        <v>0</v>
      </c>
      <c r="Z971" t="s">
        <v>18</v>
      </c>
      <c r="AA971" t="s">
        <v>4</v>
      </c>
      <c r="AB971" t="s">
        <v>6</v>
      </c>
      <c r="AC971" t="s">
        <v>7</v>
      </c>
      <c r="AD971" t="s">
        <v>8</v>
      </c>
      <c r="AE971" t="s">
        <v>6</v>
      </c>
      <c r="AF971" t="s">
        <v>3</v>
      </c>
      <c r="AG971" t="s">
        <v>3</v>
      </c>
      <c r="AH971" t="s">
        <v>3</v>
      </c>
      <c r="AI971" t="s">
        <v>3</v>
      </c>
      <c r="AJ971" t="s">
        <v>3</v>
      </c>
      <c r="AK971" t="s">
        <v>7</v>
      </c>
      <c r="AL971">
        <v>0</v>
      </c>
      <c r="AM971">
        <v>0</v>
      </c>
      <c r="AN971">
        <v>0</v>
      </c>
      <c r="AO971">
        <v>0</v>
      </c>
      <c r="AP971">
        <v>0</v>
      </c>
      <c r="AQ971" t="s">
        <v>9</v>
      </c>
      <c r="AR971" s="1">
        <v>2.2305130799999999E-5</v>
      </c>
      <c r="AS971" s="1">
        <v>4.39854962E-27</v>
      </c>
      <c r="AT971">
        <v>41</v>
      </c>
      <c r="AU971" t="s">
        <v>10</v>
      </c>
      <c r="AV971">
        <v>0</v>
      </c>
      <c r="AW971">
        <v>1</v>
      </c>
      <c r="AX971">
        <v>0</v>
      </c>
      <c r="AY971">
        <v>6</v>
      </c>
      <c r="AZ971">
        <v>0</v>
      </c>
      <c r="BA971" t="s">
        <v>18</v>
      </c>
      <c r="BB971" t="s">
        <v>4</v>
      </c>
      <c r="BC971" t="s">
        <v>10</v>
      </c>
      <c r="BD971">
        <v>0</v>
      </c>
      <c r="BE971">
        <v>0</v>
      </c>
      <c r="BF971">
        <v>0</v>
      </c>
      <c r="BG971">
        <v>0</v>
      </c>
      <c r="BH971">
        <v>0</v>
      </c>
      <c r="BI971" t="s">
        <v>9</v>
      </c>
      <c r="BJ971">
        <v>0</v>
      </c>
      <c r="BK971">
        <v>2.2310000000000002E-5</v>
      </c>
      <c r="BL971">
        <v>0</v>
      </c>
      <c r="BM971" s="2">
        <f t="shared" si="15"/>
        <v>2.6488685127426497E-8</v>
      </c>
    </row>
    <row r="972" spans="1:65" x14ac:dyDescent="0.35">
      <c r="A972">
        <v>0</v>
      </c>
      <c r="B972" t="s">
        <v>3</v>
      </c>
      <c r="C972" t="s">
        <v>4</v>
      </c>
      <c r="D972">
        <v>0</v>
      </c>
      <c r="E972" t="s">
        <v>3</v>
      </c>
      <c r="F972" t="s">
        <v>5</v>
      </c>
      <c r="G972">
        <v>4575.7764790000001</v>
      </c>
      <c r="H972" t="s">
        <v>4</v>
      </c>
      <c r="I972">
        <v>990.16341899999998</v>
      </c>
      <c r="J972">
        <v>3585.6130600000001</v>
      </c>
      <c r="K972" t="s">
        <v>6</v>
      </c>
      <c r="L972" t="s">
        <v>7</v>
      </c>
      <c r="M972" t="s">
        <v>8</v>
      </c>
      <c r="N972" t="s">
        <v>6</v>
      </c>
      <c r="O972" t="s">
        <v>3</v>
      </c>
      <c r="P972" t="s">
        <v>3</v>
      </c>
      <c r="Q972" t="s">
        <v>3</v>
      </c>
      <c r="R972" t="s">
        <v>3</v>
      </c>
      <c r="S972" t="s">
        <v>3</v>
      </c>
      <c r="T972" t="s">
        <v>7</v>
      </c>
      <c r="U972">
        <v>0</v>
      </c>
      <c r="V972">
        <v>2</v>
      </c>
      <c r="W972">
        <v>0</v>
      </c>
      <c r="X972">
        <v>4</v>
      </c>
      <c r="Y972">
        <v>1</v>
      </c>
      <c r="Z972" t="s">
        <v>8</v>
      </c>
      <c r="AA972" t="s">
        <v>4</v>
      </c>
      <c r="AB972" t="s">
        <v>6</v>
      </c>
      <c r="AC972" t="s">
        <v>7</v>
      </c>
      <c r="AD972" t="s">
        <v>8</v>
      </c>
      <c r="AE972" t="s">
        <v>6</v>
      </c>
      <c r="AF972" t="s">
        <v>3</v>
      </c>
      <c r="AG972" t="s">
        <v>3</v>
      </c>
      <c r="AH972" t="s">
        <v>3</v>
      </c>
      <c r="AI972" t="s">
        <v>3</v>
      </c>
      <c r="AJ972" t="s">
        <v>3</v>
      </c>
      <c r="AK972" t="s">
        <v>7</v>
      </c>
      <c r="AL972">
        <v>0</v>
      </c>
      <c r="AM972">
        <v>0</v>
      </c>
      <c r="AN972">
        <v>0</v>
      </c>
      <c r="AO972">
        <v>0</v>
      </c>
      <c r="AP972">
        <v>0</v>
      </c>
      <c r="AQ972" t="s">
        <v>9</v>
      </c>
      <c r="AR972" s="1">
        <v>2.14688635E-4</v>
      </c>
      <c r="AS972" s="1">
        <v>4.4401503999999996E-25</v>
      </c>
      <c r="AT972">
        <v>40</v>
      </c>
      <c r="AU972" t="s">
        <v>10</v>
      </c>
      <c r="AV972">
        <v>0</v>
      </c>
      <c r="AW972">
        <v>2</v>
      </c>
      <c r="AX972">
        <v>0</v>
      </c>
      <c r="AY972">
        <v>4</v>
      </c>
      <c r="AZ972">
        <v>1</v>
      </c>
      <c r="BA972" t="s">
        <v>8</v>
      </c>
      <c r="BB972" t="s">
        <v>4</v>
      </c>
      <c r="BC972" t="s">
        <v>10</v>
      </c>
      <c r="BD972">
        <v>0</v>
      </c>
      <c r="BE972">
        <v>0</v>
      </c>
      <c r="BF972">
        <v>0</v>
      </c>
      <c r="BG972">
        <v>0</v>
      </c>
      <c r="BH972">
        <v>0</v>
      </c>
      <c r="BI972" t="s">
        <v>9</v>
      </c>
      <c r="BJ972">
        <v>1.7427E-4</v>
      </c>
      <c r="BK972">
        <v>0</v>
      </c>
      <c r="BL972">
        <v>-1.2538999999999999E-4</v>
      </c>
      <c r="BM972" s="2">
        <f t="shared" si="15"/>
        <v>2.673921088197632E-6</v>
      </c>
    </row>
    <row r="973" spans="1:65" x14ac:dyDescent="0.35">
      <c r="A973">
        <v>0</v>
      </c>
      <c r="B973" t="s">
        <v>3</v>
      </c>
      <c r="C973" t="s">
        <v>4</v>
      </c>
      <c r="D973">
        <v>0</v>
      </c>
      <c r="E973" t="s">
        <v>3</v>
      </c>
      <c r="F973" t="s">
        <v>5</v>
      </c>
      <c r="G973">
        <v>3116.4563950000002</v>
      </c>
      <c r="H973" t="s">
        <v>4</v>
      </c>
      <c r="I973">
        <v>990.16341899999998</v>
      </c>
      <c r="J973">
        <v>2126.2929760000002</v>
      </c>
      <c r="K973" t="s">
        <v>6</v>
      </c>
      <c r="L973" t="s">
        <v>7</v>
      </c>
      <c r="M973" t="s">
        <v>8</v>
      </c>
      <c r="N973" t="s">
        <v>6</v>
      </c>
      <c r="O973" t="s">
        <v>3</v>
      </c>
      <c r="P973" t="s">
        <v>3</v>
      </c>
      <c r="Q973" t="s">
        <v>3</v>
      </c>
      <c r="R973" t="s">
        <v>3</v>
      </c>
      <c r="S973" t="s">
        <v>3</v>
      </c>
      <c r="T973" t="s">
        <v>7</v>
      </c>
      <c r="U973">
        <v>0</v>
      </c>
      <c r="V973">
        <v>1</v>
      </c>
      <c r="W973">
        <v>0</v>
      </c>
      <c r="X973">
        <v>2</v>
      </c>
      <c r="Y973">
        <v>0</v>
      </c>
      <c r="Z973" t="s">
        <v>9</v>
      </c>
      <c r="AA973" t="s">
        <v>4</v>
      </c>
      <c r="AB973" t="s">
        <v>6</v>
      </c>
      <c r="AC973" t="s">
        <v>7</v>
      </c>
      <c r="AD973" t="s">
        <v>8</v>
      </c>
      <c r="AE973" t="s">
        <v>6</v>
      </c>
      <c r="AF973" t="s">
        <v>3</v>
      </c>
      <c r="AG973" t="s">
        <v>3</v>
      </c>
      <c r="AH973" t="s">
        <v>3</v>
      </c>
      <c r="AI973" t="s">
        <v>3</v>
      </c>
      <c r="AJ973" t="s">
        <v>3</v>
      </c>
      <c r="AK973" t="s">
        <v>7</v>
      </c>
      <c r="AL973">
        <v>0</v>
      </c>
      <c r="AM973">
        <v>0</v>
      </c>
      <c r="AN973">
        <v>0</v>
      </c>
      <c r="AO973">
        <v>0</v>
      </c>
      <c r="AP973">
        <v>0</v>
      </c>
      <c r="AQ973" t="s">
        <v>9</v>
      </c>
      <c r="AR973" s="1">
        <v>2.6402117300000001E-3</v>
      </c>
      <c r="AS973" s="1">
        <v>3.9820037800000002E-23</v>
      </c>
      <c r="AT973">
        <v>43</v>
      </c>
      <c r="AU973" t="s">
        <v>10</v>
      </c>
      <c r="AV973">
        <v>0</v>
      </c>
      <c r="AW973">
        <v>1</v>
      </c>
      <c r="AX973">
        <v>0</v>
      </c>
      <c r="AY973">
        <v>2</v>
      </c>
      <c r="AZ973">
        <v>0</v>
      </c>
      <c r="BA973" t="s">
        <v>9</v>
      </c>
      <c r="BB973" t="s">
        <v>4</v>
      </c>
      <c r="BC973" t="s">
        <v>10</v>
      </c>
      <c r="BD973">
        <v>0</v>
      </c>
      <c r="BE973">
        <v>0</v>
      </c>
      <c r="BF973">
        <v>0</v>
      </c>
      <c r="BG973">
        <v>0</v>
      </c>
      <c r="BH973">
        <v>0</v>
      </c>
      <c r="BI973" t="s">
        <v>9</v>
      </c>
      <c r="BJ973">
        <v>-2.3128900000000002E-3</v>
      </c>
      <c r="BK973">
        <v>0</v>
      </c>
      <c r="BL973">
        <v>-1.2732900000000001E-3</v>
      </c>
      <c r="BM973" s="2">
        <f t="shared" si="15"/>
        <v>2.3980187429292226E-4</v>
      </c>
    </row>
    <row r="974" spans="1:65" x14ac:dyDescent="0.35">
      <c r="A974">
        <v>0</v>
      </c>
      <c r="B974" t="s">
        <v>3</v>
      </c>
      <c r="C974" t="s">
        <v>4</v>
      </c>
      <c r="D974">
        <v>0</v>
      </c>
      <c r="E974" t="s">
        <v>3</v>
      </c>
      <c r="F974" t="s">
        <v>5</v>
      </c>
      <c r="G974">
        <v>4469.1961890000002</v>
      </c>
      <c r="H974" t="s">
        <v>4</v>
      </c>
      <c r="I974">
        <v>990.16341899999998</v>
      </c>
      <c r="J974">
        <v>3479.0327699999998</v>
      </c>
      <c r="K974" t="s">
        <v>6</v>
      </c>
      <c r="L974" t="s">
        <v>7</v>
      </c>
      <c r="M974" t="s">
        <v>8</v>
      </c>
      <c r="N974" t="s">
        <v>6</v>
      </c>
      <c r="O974" t="s">
        <v>3</v>
      </c>
      <c r="P974" t="s">
        <v>3</v>
      </c>
      <c r="Q974" t="s">
        <v>3</v>
      </c>
      <c r="R974" t="s">
        <v>3</v>
      </c>
      <c r="S974" t="s">
        <v>3</v>
      </c>
      <c r="T974" t="s">
        <v>7</v>
      </c>
      <c r="U974">
        <v>0</v>
      </c>
      <c r="V974">
        <v>1</v>
      </c>
      <c r="W974">
        <v>0</v>
      </c>
      <c r="X974">
        <v>3</v>
      </c>
      <c r="Y974">
        <v>1</v>
      </c>
      <c r="Z974" t="s">
        <v>9</v>
      </c>
      <c r="AA974" t="s">
        <v>4</v>
      </c>
      <c r="AB974" t="s">
        <v>6</v>
      </c>
      <c r="AC974" t="s">
        <v>7</v>
      </c>
      <c r="AD974" t="s">
        <v>8</v>
      </c>
      <c r="AE974" t="s">
        <v>6</v>
      </c>
      <c r="AF974" t="s">
        <v>3</v>
      </c>
      <c r="AG974" t="s">
        <v>3</v>
      </c>
      <c r="AH974" t="s">
        <v>3</v>
      </c>
      <c r="AI974" t="s">
        <v>3</v>
      </c>
      <c r="AJ974" t="s">
        <v>3</v>
      </c>
      <c r="AK974" t="s">
        <v>7</v>
      </c>
      <c r="AL974">
        <v>0</v>
      </c>
      <c r="AM974">
        <v>0</v>
      </c>
      <c r="AN974">
        <v>0</v>
      </c>
      <c r="AO974">
        <v>0</v>
      </c>
      <c r="AP974">
        <v>0</v>
      </c>
      <c r="AQ974" t="s">
        <v>9</v>
      </c>
      <c r="AR974" s="1">
        <v>1.2650050200000001E-5</v>
      </c>
      <c r="AS974" s="1">
        <v>1.4957505100000001E-27</v>
      </c>
      <c r="AT974">
        <v>27</v>
      </c>
      <c r="AU974" t="s">
        <v>10</v>
      </c>
      <c r="AV974">
        <v>0</v>
      </c>
      <c r="AW974">
        <v>1</v>
      </c>
      <c r="AX974">
        <v>0</v>
      </c>
      <c r="AY974">
        <v>3</v>
      </c>
      <c r="AZ974">
        <v>1</v>
      </c>
      <c r="BA974" t="s">
        <v>9</v>
      </c>
      <c r="BB974" t="s">
        <v>4</v>
      </c>
      <c r="BC974" t="s">
        <v>10</v>
      </c>
      <c r="BD974">
        <v>0</v>
      </c>
      <c r="BE974">
        <v>0</v>
      </c>
      <c r="BF974">
        <v>0</v>
      </c>
      <c r="BG974">
        <v>0</v>
      </c>
      <c r="BH974">
        <v>0</v>
      </c>
      <c r="BI974" t="s">
        <v>9</v>
      </c>
      <c r="BJ974">
        <v>-1.169E-5</v>
      </c>
      <c r="BK974">
        <v>0</v>
      </c>
      <c r="BL974">
        <v>4.8400000000000002E-6</v>
      </c>
      <c r="BM974" s="2">
        <f t="shared" si="15"/>
        <v>9.0076201728918074E-9</v>
      </c>
    </row>
    <row r="975" spans="1:65" x14ac:dyDescent="0.35">
      <c r="A975">
        <v>0</v>
      </c>
      <c r="B975" t="s">
        <v>3</v>
      </c>
      <c r="C975" t="s">
        <v>4</v>
      </c>
      <c r="D975">
        <v>0</v>
      </c>
      <c r="E975" t="s">
        <v>3</v>
      </c>
      <c r="F975" t="s">
        <v>5</v>
      </c>
      <c r="G975">
        <v>4773.731323</v>
      </c>
      <c r="H975" t="s">
        <v>4</v>
      </c>
      <c r="I975">
        <v>990.16341899999998</v>
      </c>
      <c r="J975">
        <v>3783.567904</v>
      </c>
      <c r="K975" t="s">
        <v>6</v>
      </c>
      <c r="L975" t="s">
        <v>7</v>
      </c>
      <c r="M975" t="s">
        <v>8</v>
      </c>
      <c r="N975" t="s">
        <v>6</v>
      </c>
      <c r="O975" t="s">
        <v>3</v>
      </c>
      <c r="P975" t="s">
        <v>3</v>
      </c>
      <c r="Q975" t="s">
        <v>3</v>
      </c>
      <c r="R975" t="s">
        <v>3</v>
      </c>
      <c r="S975" t="s">
        <v>3</v>
      </c>
      <c r="T975" t="s">
        <v>7</v>
      </c>
      <c r="U975">
        <v>2</v>
      </c>
      <c r="V975">
        <v>0</v>
      </c>
      <c r="W975">
        <v>0</v>
      </c>
      <c r="X975">
        <v>0</v>
      </c>
      <c r="Y975">
        <v>1</v>
      </c>
      <c r="Z975" t="s">
        <v>24</v>
      </c>
      <c r="AA975" t="s">
        <v>4</v>
      </c>
      <c r="AB975" t="s">
        <v>6</v>
      </c>
      <c r="AC975" t="s">
        <v>7</v>
      </c>
      <c r="AD975" t="s">
        <v>8</v>
      </c>
      <c r="AE975" t="s">
        <v>6</v>
      </c>
      <c r="AF975" t="s">
        <v>3</v>
      </c>
      <c r="AG975" t="s">
        <v>3</v>
      </c>
      <c r="AH975" t="s">
        <v>3</v>
      </c>
      <c r="AI975" t="s">
        <v>3</v>
      </c>
      <c r="AJ975" t="s">
        <v>3</v>
      </c>
      <c r="AK975" t="s">
        <v>7</v>
      </c>
      <c r="AL975">
        <v>0</v>
      </c>
      <c r="AM975">
        <v>0</v>
      </c>
      <c r="AN975">
        <v>0</v>
      </c>
      <c r="AO975">
        <v>0</v>
      </c>
      <c r="AP975">
        <v>0</v>
      </c>
      <c r="AQ975" t="s">
        <v>9</v>
      </c>
      <c r="AR975" s="1">
        <v>1.84254283E-5</v>
      </c>
      <c r="AS975" s="1">
        <v>3.4510629099999998E-27</v>
      </c>
      <c r="AT975">
        <v>41</v>
      </c>
      <c r="AU975" t="s">
        <v>10</v>
      </c>
      <c r="AV975">
        <v>2</v>
      </c>
      <c r="AW975">
        <v>0</v>
      </c>
      <c r="AX975">
        <v>0</v>
      </c>
      <c r="AY975">
        <v>0</v>
      </c>
      <c r="AZ975">
        <v>1</v>
      </c>
      <c r="BA975" t="s">
        <v>24</v>
      </c>
      <c r="BB975" t="s">
        <v>4</v>
      </c>
      <c r="BC975" t="s">
        <v>10</v>
      </c>
      <c r="BD975">
        <v>0</v>
      </c>
      <c r="BE975">
        <v>0</v>
      </c>
      <c r="BF975">
        <v>0</v>
      </c>
      <c r="BG975">
        <v>0</v>
      </c>
      <c r="BH975">
        <v>0</v>
      </c>
      <c r="BI975" t="s">
        <v>9</v>
      </c>
      <c r="BJ975">
        <v>1.521E-5</v>
      </c>
      <c r="BK975">
        <v>0</v>
      </c>
      <c r="BL975">
        <v>-1.039E-5</v>
      </c>
      <c r="BM975" s="2">
        <f t="shared" si="15"/>
        <v>2.0782786753677727E-8</v>
      </c>
    </row>
    <row r="976" spans="1:65" x14ac:dyDescent="0.35">
      <c r="A976">
        <v>0</v>
      </c>
      <c r="B976" t="s">
        <v>3</v>
      </c>
      <c r="C976" t="s">
        <v>4</v>
      </c>
      <c r="D976">
        <v>0</v>
      </c>
      <c r="E976" t="s">
        <v>3</v>
      </c>
      <c r="F976" t="s">
        <v>5</v>
      </c>
      <c r="G976">
        <v>3894.1096929999999</v>
      </c>
      <c r="H976" t="s">
        <v>4</v>
      </c>
      <c r="I976">
        <v>990.16341899999998</v>
      </c>
      <c r="J976">
        <v>2903.9462739999999</v>
      </c>
      <c r="K976" t="s">
        <v>6</v>
      </c>
      <c r="L976" t="s">
        <v>7</v>
      </c>
      <c r="M976" t="s">
        <v>8</v>
      </c>
      <c r="N976" t="s">
        <v>6</v>
      </c>
      <c r="O976" t="s">
        <v>3</v>
      </c>
      <c r="P976" t="s">
        <v>3</v>
      </c>
      <c r="Q976" t="s">
        <v>3</v>
      </c>
      <c r="R976" t="s">
        <v>3</v>
      </c>
      <c r="S976" t="s">
        <v>3</v>
      </c>
      <c r="T976" t="s">
        <v>7</v>
      </c>
      <c r="U976">
        <v>1</v>
      </c>
      <c r="V976">
        <v>0</v>
      </c>
      <c r="W976">
        <v>0</v>
      </c>
      <c r="X976">
        <v>0</v>
      </c>
      <c r="Y976">
        <v>0</v>
      </c>
      <c r="Z976" t="s">
        <v>27</v>
      </c>
      <c r="AA976" t="s">
        <v>4</v>
      </c>
      <c r="AB976" t="s">
        <v>6</v>
      </c>
      <c r="AC976" t="s">
        <v>7</v>
      </c>
      <c r="AD976" t="s">
        <v>8</v>
      </c>
      <c r="AE976" t="s">
        <v>6</v>
      </c>
      <c r="AF976" t="s">
        <v>3</v>
      </c>
      <c r="AG976" t="s">
        <v>3</v>
      </c>
      <c r="AH976" t="s">
        <v>3</v>
      </c>
      <c r="AI976" t="s">
        <v>3</v>
      </c>
      <c r="AJ976" t="s">
        <v>3</v>
      </c>
      <c r="AK976" t="s">
        <v>7</v>
      </c>
      <c r="AL976">
        <v>0</v>
      </c>
      <c r="AM976">
        <v>0</v>
      </c>
      <c r="AN976">
        <v>0</v>
      </c>
      <c r="AO976">
        <v>0</v>
      </c>
      <c r="AP976">
        <v>0</v>
      </c>
      <c r="AQ976" t="s">
        <v>9</v>
      </c>
      <c r="AR976" s="1">
        <v>9.0153714200000002E-6</v>
      </c>
      <c r="AS976" s="1">
        <v>6.3412026699999997E-28</v>
      </c>
      <c r="AT976">
        <v>41</v>
      </c>
      <c r="AU976" t="s">
        <v>10</v>
      </c>
      <c r="AV976">
        <v>1</v>
      </c>
      <c r="AW976">
        <v>0</v>
      </c>
      <c r="AX976">
        <v>0</v>
      </c>
      <c r="AY976">
        <v>0</v>
      </c>
      <c r="AZ976">
        <v>0</v>
      </c>
      <c r="BA976" t="s">
        <v>27</v>
      </c>
      <c r="BB976" t="s">
        <v>4</v>
      </c>
      <c r="BC976" t="s">
        <v>10</v>
      </c>
      <c r="BD976">
        <v>0</v>
      </c>
      <c r="BE976">
        <v>0</v>
      </c>
      <c r="BF976">
        <v>0</v>
      </c>
      <c r="BG976">
        <v>0</v>
      </c>
      <c r="BH976">
        <v>0</v>
      </c>
      <c r="BI976" t="s">
        <v>9</v>
      </c>
      <c r="BJ976">
        <v>-8.1599999999999998E-6</v>
      </c>
      <c r="BK976">
        <v>0</v>
      </c>
      <c r="BL976">
        <v>-3.8399999999999997E-6</v>
      </c>
      <c r="BM976" s="2">
        <f t="shared" si="15"/>
        <v>3.8187615320075936E-9</v>
      </c>
    </row>
    <row r="977" spans="1:65" x14ac:dyDescent="0.35">
      <c r="A977">
        <v>0</v>
      </c>
      <c r="B977" t="s">
        <v>11</v>
      </c>
      <c r="C977" t="s">
        <v>4</v>
      </c>
      <c r="D977">
        <v>0</v>
      </c>
      <c r="E977" t="s">
        <v>3</v>
      </c>
      <c r="F977" t="s">
        <v>5</v>
      </c>
      <c r="G977">
        <v>2590.600293</v>
      </c>
      <c r="H977" t="s">
        <v>4</v>
      </c>
      <c r="I977">
        <v>990.16341899999998</v>
      </c>
      <c r="J977">
        <v>1600.436874</v>
      </c>
      <c r="K977" t="s">
        <v>6</v>
      </c>
      <c r="L977" t="s">
        <v>7</v>
      </c>
      <c r="M977" t="s">
        <v>8</v>
      </c>
      <c r="N977" t="s">
        <v>6</v>
      </c>
      <c r="O977" t="s">
        <v>3</v>
      </c>
      <c r="P977" t="s">
        <v>3</v>
      </c>
      <c r="Q977" t="s">
        <v>3</v>
      </c>
      <c r="R977" t="s">
        <v>3</v>
      </c>
      <c r="S977" t="s">
        <v>11</v>
      </c>
      <c r="T977" t="s">
        <v>7</v>
      </c>
      <c r="U977">
        <v>0</v>
      </c>
      <c r="V977">
        <v>0</v>
      </c>
      <c r="W977">
        <v>0</v>
      </c>
      <c r="X977">
        <v>0</v>
      </c>
      <c r="Y977">
        <v>1</v>
      </c>
      <c r="Z977" t="s">
        <v>13</v>
      </c>
      <c r="AA977" t="s">
        <v>4</v>
      </c>
      <c r="AB977" t="s">
        <v>6</v>
      </c>
      <c r="AC977" t="s">
        <v>7</v>
      </c>
      <c r="AD977" t="s">
        <v>8</v>
      </c>
      <c r="AE977" t="s">
        <v>6</v>
      </c>
      <c r="AF977" t="s">
        <v>3</v>
      </c>
      <c r="AG977" t="s">
        <v>3</v>
      </c>
      <c r="AH977" t="s">
        <v>3</v>
      </c>
      <c r="AI977" t="s">
        <v>3</v>
      </c>
      <c r="AJ977" t="s">
        <v>3</v>
      </c>
      <c r="AK977" t="s">
        <v>7</v>
      </c>
      <c r="AL977">
        <v>0</v>
      </c>
      <c r="AM977">
        <v>0</v>
      </c>
      <c r="AN977">
        <v>0</v>
      </c>
      <c r="AO977">
        <v>0</v>
      </c>
      <c r="AP977">
        <v>0</v>
      </c>
      <c r="AQ977" t="s">
        <v>9</v>
      </c>
      <c r="AR977" s="1">
        <v>1.7116408799999999E-5</v>
      </c>
      <c r="AS977" s="1">
        <v>1.25918215E-27</v>
      </c>
      <c r="AT977">
        <v>41</v>
      </c>
      <c r="AU977" t="s">
        <v>10</v>
      </c>
      <c r="AV977">
        <v>0</v>
      </c>
      <c r="AW977">
        <v>0</v>
      </c>
      <c r="AX977">
        <v>0</v>
      </c>
      <c r="AY977">
        <v>0</v>
      </c>
      <c r="AZ977">
        <v>1</v>
      </c>
      <c r="BA977" t="s">
        <v>13</v>
      </c>
      <c r="BB977" t="s">
        <v>4</v>
      </c>
      <c r="BC977" t="s">
        <v>10</v>
      </c>
      <c r="BD977">
        <v>0</v>
      </c>
      <c r="BE977">
        <v>0</v>
      </c>
      <c r="BF977">
        <v>0</v>
      </c>
      <c r="BG977">
        <v>0</v>
      </c>
      <c r="BH977">
        <v>0</v>
      </c>
      <c r="BI977" t="s">
        <v>9</v>
      </c>
      <c r="BJ977">
        <v>0</v>
      </c>
      <c r="BK977">
        <v>1.7119999999999999E-5</v>
      </c>
      <c r="BL977">
        <v>0</v>
      </c>
      <c r="BM977" s="2">
        <f t="shared" si="15"/>
        <v>7.5829722001467205E-9</v>
      </c>
    </row>
    <row r="978" spans="1:65" x14ac:dyDescent="0.35">
      <c r="A978">
        <v>0</v>
      </c>
      <c r="B978" t="s">
        <v>3</v>
      </c>
      <c r="C978" t="s">
        <v>4</v>
      </c>
      <c r="D978">
        <v>0</v>
      </c>
      <c r="E978" t="s">
        <v>3</v>
      </c>
      <c r="F978" t="s">
        <v>5</v>
      </c>
      <c r="G978">
        <v>4419.0106990000004</v>
      </c>
      <c r="H978" t="s">
        <v>4</v>
      </c>
      <c r="I978">
        <v>990.16341899999998</v>
      </c>
      <c r="J978">
        <v>3428.84728</v>
      </c>
      <c r="K978" t="s">
        <v>6</v>
      </c>
      <c r="L978" t="s">
        <v>7</v>
      </c>
      <c r="M978" t="s">
        <v>8</v>
      </c>
      <c r="N978" t="s">
        <v>6</v>
      </c>
      <c r="O978" t="s">
        <v>3</v>
      </c>
      <c r="P978" t="s">
        <v>3</v>
      </c>
      <c r="Q978" t="s">
        <v>3</v>
      </c>
      <c r="R978" t="s">
        <v>3</v>
      </c>
      <c r="S978" t="s">
        <v>3</v>
      </c>
      <c r="T978" t="s">
        <v>7</v>
      </c>
      <c r="U978">
        <v>1</v>
      </c>
      <c r="V978">
        <v>2</v>
      </c>
      <c r="W978">
        <v>0</v>
      </c>
      <c r="X978">
        <v>0</v>
      </c>
      <c r="Y978">
        <v>0</v>
      </c>
      <c r="Z978" t="s">
        <v>15</v>
      </c>
      <c r="AA978" t="s">
        <v>4</v>
      </c>
      <c r="AB978" t="s">
        <v>6</v>
      </c>
      <c r="AC978" t="s">
        <v>7</v>
      </c>
      <c r="AD978" t="s">
        <v>8</v>
      </c>
      <c r="AE978" t="s">
        <v>6</v>
      </c>
      <c r="AF978" t="s">
        <v>3</v>
      </c>
      <c r="AG978" t="s">
        <v>3</v>
      </c>
      <c r="AH978" t="s">
        <v>3</v>
      </c>
      <c r="AI978" t="s">
        <v>3</v>
      </c>
      <c r="AJ978" t="s">
        <v>3</v>
      </c>
      <c r="AK978" t="s">
        <v>7</v>
      </c>
      <c r="AL978">
        <v>0</v>
      </c>
      <c r="AM978">
        <v>0</v>
      </c>
      <c r="AN978">
        <v>0</v>
      </c>
      <c r="AO978">
        <v>0</v>
      </c>
      <c r="AP978">
        <v>0</v>
      </c>
      <c r="AQ978" t="s">
        <v>9</v>
      </c>
      <c r="AR978" s="1">
        <v>3.8266905200000001E-5</v>
      </c>
      <c r="AS978" s="1">
        <v>1.34899692E-26</v>
      </c>
      <c r="AT978">
        <v>41</v>
      </c>
      <c r="AU978" t="s">
        <v>10</v>
      </c>
      <c r="AV978">
        <v>1</v>
      </c>
      <c r="AW978">
        <v>2</v>
      </c>
      <c r="AX978">
        <v>0</v>
      </c>
      <c r="AY978">
        <v>0</v>
      </c>
      <c r="AZ978">
        <v>0</v>
      </c>
      <c r="BA978" t="s">
        <v>15</v>
      </c>
      <c r="BB978" t="s">
        <v>4</v>
      </c>
      <c r="BC978" t="s">
        <v>10</v>
      </c>
      <c r="BD978">
        <v>0</v>
      </c>
      <c r="BE978">
        <v>0</v>
      </c>
      <c r="BF978">
        <v>0</v>
      </c>
      <c r="BG978">
        <v>0</v>
      </c>
      <c r="BH978">
        <v>0</v>
      </c>
      <c r="BI978" t="s">
        <v>9</v>
      </c>
      <c r="BJ978">
        <v>-3.1690000000000003E-5</v>
      </c>
      <c r="BK978">
        <v>0</v>
      </c>
      <c r="BL978">
        <v>2.1440000000000001E-5</v>
      </c>
      <c r="BM978" s="2">
        <f t="shared" si="15"/>
        <v>8.1238493910063373E-8</v>
      </c>
    </row>
    <row r="979" spans="1:65" x14ac:dyDescent="0.35">
      <c r="A979">
        <v>0</v>
      </c>
      <c r="B979" t="s">
        <v>3</v>
      </c>
      <c r="C979" t="s">
        <v>4</v>
      </c>
      <c r="D979">
        <v>0</v>
      </c>
      <c r="E979" t="s">
        <v>3</v>
      </c>
      <c r="F979" t="s">
        <v>5</v>
      </c>
      <c r="G979">
        <v>3609.3909990000002</v>
      </c>
      <c r="H979" t="s">
        <v>4</v>
      </c>
      <c r="I979">
        <v>990.16341899999998</v>
      </c>
      <c r="J979">
        <v>2619.2275800000002</v>
      </c>
      <c r="K979" t="s">
        <v>6</v>
      </c>
      <c r="L979" t="s">
        <v>7</v>
      </c>
      <c r="M979" t="s">
        <v>8</v>
      </c>
      <c r="N979" t="s">
        <v>6</v>
      </c>
      <c r="O979" t="s">
        <v>3</v>
      </c>
      <c r="P979" t="s">
        <v>3</v>
      </c>
      <c r="Q979" t="s">
        <v>3</v>
      </c>
      <c r="R979" t="s">
        <v>3</v>
      </c>
      <c r="S979" t="s">
        <v>3</v>
      </c>
      <c r="T979" t="s">
        <v>7</v>
      </c>
      <c r="U979">
        <v>2</v>
      </c>
      <c r="V979">
        <v>0</v>
      </c>
      <c r="W979">
        <v>0</v>
      </c>
      <c r="X979">
        <v>0</v>
      </c>
      <c r="Y979">
        <v>1</v>
      </c>
      <c r="Z979" t="s">
        <v>9</v>
      </c>
      <c r="AA979" t="s">
        <v>4</v>
      </c>
      <c r="AB979" t="s">
        <v>6</v>
      </c>
      <c r="AC979" t="s">
        <v>7</v>
      </c>
      <c r="AD979" t="s">
        <v>8</v>
      </c>
      <c r="AE979" t="s">
        <v>6</v>
      </c>
      <c r="AF979" t="s">
        <v>3</v>
      </c>
      <c r="AG979" t="s">
        <v>3</v>
      </c>
      <c r="AH979" t="s">
        <v>3</v>
      </c>
      <c r="AI979" t="s">
        <v>3</v>
      </c>
      <c r="AJ979" t="s">
        <v>3</v>
      </c>
      <c r="AK979" t="s">
        <v>7</v>
      </c>
      <c r="AL979">
        <v>0</v>
      </c>
      <c r="AM979">
        <v>0</v>
      </c>
      <c r="AN979">
        <v>0</v>
      </c>
      <c r="AO979">
        <v>0</v>
      </c>
      <c r="AP979">
        <v>0</v>
      </c>
      <c r="AQ979" t="s">
        <v>9</v>
      </c>
      <c r="AR979" s="1">
        <v>1.0379041499999999E-3</v>
      </c>
      <c r="AS979" s="1">
        <v>7.5805810599999996E-24</v>
      </c>
      <c r="AT979">
        <v>41</v>
      </c>
      <c r="AU979" t="s">
        <v>10</v>
      </c>
      <c r="AV979">
        <v>2</v>
      </c>
      <c r="AW979">
        <v>0</v>
      </c>
      <c r="AX979">
        <v>0</v>
      </c>
      <c r="AY979">
        <v>0</v>
      </c>
      <c r="AZ979">
        <v>1</v>
      </c>
      <c r="BA979" t="s">
        <v>9</v>
      </c>
      <c r="BB979" t="s">
        <v>4</v>
      </c>
      <c r="BC979" t="s">
        <v>10</v>
      </c>
      <c r="BD979">
        <v>0</v>
      </c>
      <c r="BE979">
        <v>0</v>
      </c>
      <c r="BF979">
        <v>0</v>
      </c>
      <c r="BG979">
        <v>0</v>
      </c>
      <c r="BH979">
        <v>0</v>
      </c>
      <c r="BI979" t="s">
        <v>9</v>
      </c>
      <c r="BJ979">
        <v>8.7927000000000003E-4</v>
      </c>
      <c r="BK979">
        <v>0</v>
      </c>
      <c r="BL979">
        <v>5.5148999999999997E-4</v>
      </c>
      <c r="BM979" s="2">
        <f t="shared" si="15"/>
        <v>4.5651326489133235E-5</v>
      </c>
    </row>
    <row r="980" spans="1:65" x14ac:dyDescent="0.35">
      <c r="A980">
        <v>0</v>
      </c>
      <c r="B980" t="s">
        <v>3</v>
      </c>
      <c r="C980" t="s">
        <v>4</v>
      </c>
      <c r="D980">
        <v>0</v>
      </c>
      <c r="E980" t="s">
        <v>3</v>
      </c>
      <c r="F980" t="s">
        <v>5</v>
      </c>
      <c r="G980">
        <v>4711.8929680000001</v>
      </c>
      <c r="H980" t="s">
        <v>4</v>
      </c>
      <c r="I980">
        <v>990.16341899999998</v>
      </c>
      <c r="J980">
        <v>3721.7295490000001</v>
      </c>
      <c r="K980" t="s">
        <v>6</v>
      </c>
      <c r="L980" t="s">
        <v>7</v>
      </c>
      <c r="M980" t="s">
        <v>8</v>
      </c>
      <c r="N980" t="s">
        <v>6</v>
      </c>
      <c r="O980" t="s">
        <v>3</v>
      </c>
      <c r="P980" t="s">
        <v>3</v>
      </c>
      <c r="Q980" t="s">
        <v>3</v>
      </c>
      <c r="R980" t="s">
        <v>3</v>
      </c>
      <c r="S980" t="s">
        <v>3</v>
      </c>
      <c r="T980" t="s">
        <v>7</v>
      </c>
      <c r="U980">
        <v>1</v>
      </c>
      <c r="V980">
        <v>1</v>
      </c>
      <c r="W980">
        <v>0</v>
      </c>
      <c r="X980">
        <v>6</v>
      </c>
      <c r="Y980">
        <v>0</v>
      </c>
      <c r="Z980" t="s">
        <v>8</v>
      </c>
      <c r="AA980" t="s">
        <v>4</v>
      </c>
      <c r="AB980" t="s">
        <v>6</v>
      </c>
      <c r="AC980" t="s">
        <v>7</v>
      </c>
      <c r="AD980" t="s">
        <v>8</v>
      </c>
      <c r="AE980" t="s">
        <v>6</v>
      </c>
      <c r="AF980" t="s">
        <v>3</v>
      </c>
      <c r="AG980" t="s">
        <v>3</v>
      </c>
      <c r="AH980" t="s">
        <v>3</v>
      </c>
      <c r="AI980" t="s">
        <v>3</v>
      </c>
      <c r="AJ980" t="s">
        <v>3</v>
      </c>
      <c r="AK980" t="s">
        <v>7</v>
      </c>
      <c r="AL980">
        <v>0</v>
      </c>
      <c r="AM980">
        <v>0</v>
      </c>
      <c r="AN980">
        <v>0</v>
      </c>
      <c r="AO980">
        <v>0</v>
      </c>
      <c r="AP980">
        <v>0</v>
      </c>
      <c r="AQ980" t="s">
        <v>9</v>
      </c>
      <c r="AR980" s="1">
        <v>4.89566493E-5</v>
      </c>
      <c r="AS980" s="1">
        <v>2.3965381100000001E-26</v>
      </c>
      <c r="AT980">
        <v>42</v>
      </c>
      <c r="AU980" t="s">
        <v>10</v>
      </c>
      <c r="AV980">
        <v>1</v>
      </c>
      <c r="AW980">
        <v>1</v>
      </c>
      <c r="AX980">
        <v>0</v>
      </c>
      <c r="AY980">
        <v>6</v>
      </c>
      <c r="AZ980">
        <v>0</v>
      </c>
      <c r="BA980" t="s">
        <v>8</v>
      </c>
      <c r="BB980" t="s">
        <v>4</v>
      </c>
      <c r="BC980" t="s">
        <v>10</v>
      </c>
      <c r="BD980">
        <v>0</v>
      </c>
      <c r="BE980">
        <v>0</v>
      </c>
      <c r="BF980">
        <v>0</v>
      </c>
      <c r="BG980">
        <v>0</v>
      </c>
      <c r="BH980">
        <v>0</v>
      </c>
      <c r="BI980" t="s">
        <v>9</v>
      </c>
      <c r="BJ980">
        <v>4.0590000000000003E-5</v>
      </c>
      <c r="BK980">
        <v>0</v>
      </c>
      <c r="BL980">
        <v>-2.7379999999999999E-5</v>
      </c>
      <c r="BM980" s="2">
        <f t="shared" si="15"/>
        <v>1.4432289930985891E-7</v>
      </c>
    </row>
    <row r="981" spans="1:65" x14ac:dyDescent="0.35">
      <c r="A981">
        <v>0</v>
      </c>
      <c r="B981" t="s">
        <v>11</v>
      </c>
      <c r="C981" t="s">
        <v>4</v>
      </c>
      <c r="D981">
        <v>0</v>
      </c>
      <c r="E981" t="s">
        <v>3</v>
      </c>
      <c r="F981" t="s">
        <v>5</v>
      </c>
      <c r="G981">
        <v>3974.9111910000001</v>
      </c>
      <c r="H981" t="s">
        <v>4</v>
      </c>
      <c r="I981">
        <v>990.16341899999998</v>
      </c>
      <c r="J981">
        <v>2984.7477720000002</v>
      </c>
      <c r="K981" t="s">
        <v>6</v>
      </c>
      <c r="L981" t="s">
        <v>7</v>
      </c>
      <c r="M981" t="s">
        <v>8</v>
      </c>
      <c r="N981" t="s">
        <v>6</v>
      </c>
      <c r="O981" t="s">
        <v>3</v>
      </c>
      <c r="P981" t="s">
        <v>3</v>
      </c>
      <c r="Q981" t="s">
        <v>3</v>
      </c>
      <c r="R981" t="s">
        <v>3</v>
      </c>
      <c r="S981" t="s">
        <v>11</v>
      </c>
      <c r="T981" t="s">
        <v>7</v>
      </c>
      <c r="U981">
        <v>0</v>
      </c>
      <c r="V981">
        <v>0</v>
      </c>
      <c r="W981">
        <v>0</v>
      </c>
      <c r="X981">
        <v>1</v>
      </c>
      <c r="Y981">
        <v>2</v>
      </c>
      <c r="Z981" t="s">
        <v>13</v>
      </c>
      <c r="AA981" t="s">
        <v>4</v>
      </c>
      <c r="AB981" t="s">
        <v>6</v>
      </c>
      <c r="AC981" t="s">
        <v>7</v>
      </c>
      <c r="AD981" t="s">
        <v>8</v>
      </c>
      <c r="AE981" t="s">
        <v>6</v>
      </c>
      <c r="AF981" t="s">
        <v>3</v>
      </c>
      <c r="AG981" t="s">
        <v>3</v>
      </c>
      <c r="AH981" t="s">
        <v>3</v>
      </c>
      <c r="AI981" t="s">
        <v>3</v>
      </c>
      <c r="AJ981" t="s">
        <v>3</v>
      </c>
      <c r="AK981" t="s">
        <v>7</v>
      </c>
      <c r="AL981">
        <v>0</v>
      </c>
      <c r="AM981">
        <v>0</v>
      </c>
      <c r="AN981">
        <v>0</v>
      </c>
      <c r="AO981">
        <v>0</v>
      </c>
      <c r="AP981">
        <v>0</v>
      </c>
      <c r="AQ981" t="s">
        <v>9</v>
      </c>
      <c r="AR981" s="1">
        <v>7.7538655100000005E-5</v>
      </c>
      <c r="AS981" s="1">
        <v>4.82125484E-26</v>
      </c>
      <c r="AT981">
        <v>41</v>
      </c>
      <c r="AU981" t="s">
        <v>10</v>
      </c>
      <c r="AV981">
        <v>0</v>
      </c>
      <c r="AW981">
        <v>0</v>
      </c>
      <c r="AX981">
        <v>0</v>
      </c>
      <c r="AY981">
        <v>1</v>
      </c>
      <c r="AZ981">
        <v>2</v>
      </c>
      <c r="BA981" t="s">
        <v>13</v>
      </c>
      <c r="BB981" t="s">
        <v>4</v>
      </c>
      <c r="BC981" t="s">
        <v>10</v>
      </c>
      <c r="BD981">
        <v>0</v>
      </c>
      <c r="BE981">
        <v>0</v>
      </c>
      <c r="BF981">
        <v>0</v>
      </c>
      <c r="BG981">
        <v>0</v>
      </c>
      <c r="BH981">
        <v>0</v>
      </c>
      <c r="BI981" t="s">
        <v>9</v>
      </c>
      <c r="BJ981">
        <v>0</v>
      </c>
      <c r="BK981">
        <v>7.7540000000000006E-5</v>
      </c>
      <c r="BL981">
        <v>0</v>
      </c>
      <c r="BM981" s="2">
        <f t="shared" si="15"/>
        <v>2.9034275479161468E-7</v>
      </c>
    </row>
    <row r="982" spans="1:65" x14ac:dyDescent="0.35">
      <c r="A982">
        <v>0</v>
      </c>
      <c r="B982" t="s">
        <v>3</v>
      </c>
      <c r="C982" t="s">
        <v>4</v>
      </c>
      <c r="D982">
        <v>0</v>
      </c>
      <c r="E982" t="s">
        <v>3</v>
      </c>
      <c r="F982" t="s">
        <v>5</v>
      </c>
      <c r="G982">
        <v>2897.241239</v>
      </c>
      <c r="H982" t="s">
        <v>4</v>
      </c>
      <c r="I982">
        <v>990.16341899999998</v>
      </c>
      <c r="J982">
        <v>1907.07782</v>
      </c>
      <c r="K982" t="s">
        <v>6</v>
      </c>
      <c r="L982" t="s">
        <v>7</v>
      </c>
      <c r="M982" t="s">
        <v>8</v>
      </c>
      <c r="N982" t="s">
        <v>6</v>
      </c>
      <c r="O982" t="s">
        <v>3</v>
      </c>
      <c r="P982" t="s">
        <v>3</v>
      </c>
      <c r="Q982" t="s">
        <v>3</v>
      </c>
      <c r="R982" t="s">
        <v>3</v>
      </c>
      <c r="S982" t="s">
        <v>3</v>
      </c>
      <c r="T982" t="s">
        <v>7</v>
      </c>
      <c r="U982">
        <v>0</v>
      </c>
      <c r="V982">
        <v>0</v>
      </c>
      <c r="W982">
        <v>0</v>
      </c>
      <c r="X982">
        <v>6</v>
      </c>
      <c r="Y982">
        <v>0</v>
      </c>
      <c r="Z982" t="s">
        <v>8</v>
      </c>
      <c r="AA982" t="s">
        <v>4</v>
      </c>
      <c r="AB982" t="s">
        <v>6</v>
      </c>
      <c r="AC982" t="s">
        <v>7</v>
      </c>
      <c r="AD982" t="s">
        <v>8</v>
      </c>
      <c r="AE982" t="s">
        <v>6</v>
      </c>
      <c r="AF982" t="s">
        <v>3</v>
      </c>
      <c r="AG982" t="s">
        <v>3</v>
      </c>
      <c r="AH982" t="s">
        <v>3</v>
      </c>
      <c r="AI982" t="s">
        <v>3</v>
      </c>
      <c r="AJ982" t="s">
        <v>3</v>
      </c>
      <c r="AK982" t="s">
        <v>7</v>
      </c>
      <c r="AL982">
        <v>0</v>
      </c>
      <c r="AM982">
        <v>0</v>
      </c>
      <c r="AN982">
        <v>0</v>
      </c>
      <c r="AO982">
        <v>0</v>
      </c>
      <c r="AP982">
        <v>0</v>
      </c>
      <c r="AQ982" t="s">
        <v>9</v>
      </c>
      <c r="AR982" s="1">
        <v>4.04079442E-6</v>
      </c>
      <c r="AS982" s="1">
        <v>8.3651654399999997E-29</v>
      </c>
      <c r="AT982">
        <v>41</v>
      </c>
      <c r="AU982" t="s">
        <v>10</v>
      </c>
      <c r="AV982">
        <v>0</v>
      </c>
      <c r="AW982">
        <v>0</v>
      </c>
      <c r="AX982">
        <v>0</v>
      </c>
      <c r="AY982">
        <v>6</v>
      </c>
      <c r="AZ982">
        <v>0</v>
      </c>
      <c r="BA982" t="s">
        <v>8</v>
      </c>
      <c r="BB982" t="s">
        <v>4</v>
      </c>
      <c r="BC982" t="s">
        <v>10</v>
      </c>
      <c r="BD982">
        <v>0</v>
      </c>
      <c r="BE982">
        <v>0</v>
      </c>
      <c r="BF982">
        <v>0</v>
      </c>
      <c r="BG982">
        <v>0</v>
      </c>
      <c r="BH982">
        <v>0</v>
      </c>
      <c r="BI982" t="s">
        <v>9</v>
      </c>
      <c r="BJ982">
        <v>-2.3800000000000001E-6</v>
      </c>
      <c r="BK982">
        <v>0</v>
      </c>
      <c r="BL982">
        <v>3.27E-6</v>
      </c>
      <c r="BM982" s="2">
        <f t="shared" si="15"/>
        <v>5.0376204094973943E-10</v>
      </c>
    </row>
    <row r="983" spans="1:65" x14ac:dyDescent="0.35">
      <c r="A983">
        <v>0</v>
      </c>
      <c r="B983" t="s">
        <v>3</v>
      </c>
      <c r="C983" t="s">
        <v>4</v>
      </c>
      <c r="D983">
        <v>0</v>
      </c>
      <c r="E983" t="s">
        <v>3</v>
      </c>
      <c r="F983" t="s">
        <v>5</v>
      </c>
      <c r="G983">
        <v>4358.446218</v>
      </c>
      <c r="H983" t="s">
        <v>4</v>
      </c>
      <c r="I983">
        <v>990.16341899999998</v>
      </c>
      <c r="J983">
        <v>3368.2827990000001</v>
      </c>
      <c r="K983" t="s">
        <v>6</v>
      </c>
      <c r="L983" t="s">
        <v>7</v>
      </c>
      <c r="M983" t="s">
        <v>8</v>
      </c>
      <c r="N983" t="s">
        <v>6</v>
      </c>
      <c r="O983" t="s">
        <v>3</v>
      </c>
      <c r="P983" t="s">
        <v>3</v>
      </c>
      <c r="Q983" t="s">
        <v>3</v>
      </c>
      <c r="R983" t="s">
        <v>3</v>
      </c>
      <c r="S983" t="s">
        <v>3</v>
      </c>
      <c r="T983" t="s">
        <v>7</v>
      </c>
      <c r="U983">
        <v>0</v>
      </c>
      <c r="V983">
        <v>0</v>
      </c>
      <c r="W983">
        <v>1</v>
      </c>
      <c r="X983">
        <v>2</v>
      </c>
      <c r="Y983">
        <v>0</v>
      </c>
      <c r="Z983" t="s">
        <v>8</v>
      </c>
      <c r="AA983" t="s">
        <v>4</v>
      </c>
      <c r="AB983" t="s">
        <v>6</v>
      </c>
      <c r="AC983" t="s">
        <v>7</v>
      </c>
      <c r="AD983" t="s">
        <v>8</v>
      </c>
      <c r="AE983" t="s">
        <v>6</v>
      </c>
      <c r="AF983" t="s">
        <v>3</v>
      </c>
      <c r="AG983" t="s">
        <v>3</v>
      </c>
      <c r="AH983" t="s">
        <v>3</v>
      </c>
      <c r="AI983" t="s">
        <v>3</v>
      </c>
      <c r="AJ983" t="s">
        <v>3</v>
      </c>
      <c r="AK983" t="s">
        <v>7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9</v>
      </c>
      <c r="AR983" s="1">
        <v>2.5115091299999999E-6</v>
      </c>
      <c r="AS983" s="1">
        <v>5.7081344800000002E-29</v>
      </c>
      <c r="AT983">
        <v>42</v>
      </c>
      <c r="AU983" t="s">
        <v>10</v>
      </c>
      <c r="AV983">
        <v>0</v>
      </c>
      <c r="AW983">
        <v>0</v>
      </c>
      <c r="AX983">
        <v>1</v>
      </c>
      <c r="AY983">
        <v>2</v>
      </c>
      <c r="AZ983">
        <v>0</v>
      </c>
      <c r="BA983" t="s">
        <v>8</v>
      </c>
      <c r="BB983" t="s">
        <v>4</v>
      </c>
      <c r="BC983" t="s">
        <v>10</v>
      </c>
      <c r="BD983">
        <v>0</v>
      </c>
      <c r="BE983">
        <v>0</v>
      </c>
      <c r="BF983">
        <v>0</v>
      </c>
      <c r="BG983">
        <v>0</v>
      </c>
      <c r="BH983">
        <v>0</v>
      </c>
      <c r="BI983" t="s">
        <v>9</v>
      </c>
      <c r="BJ983">
        <v>1.7799999999999999E-6</v>
      </c>
      <c r="BK983">
        <v>0</v>
      </c>
      <c r="BL983">
        <v>-1.7799999999999999E-6</v>
      </c>
      <c r="BM983" s="2">
        <f t="shared" si="15"/>
        <v>3.4375189543894783E-10</v>
      </c>
    </row>
    <row r="984" spans="1:65" x14ac:dyDescent="0.35">
      <c r="A984">
        <v>0</v>
      </c>
      <c r="B984" t="s">
        <v>3</v>
      </c>
      <c r="C984" t="s">
        <v>4</v>
      </c>
      <c r="D984">
        <v>0</v>
      </c>
      <c r="E984" t="s">
        <v>3</v>
      </c>
      <c r="F984" t="s">
        <v>5</v>
      </c>
      <c r="G984">
        <v>4281.8450700000003</v>
      </c>
      <c r="H984" t="s">
        <v>4</v>
      </c>
      <c r="I984">
        <v>990.16341899999998</v>
      </c>
      <c r="J984">
        <v>3291.6816509999999</v>
      </c>
      <c r="K984" t="s">
        <v>6</v>
      </c>
      <c r="L984" t="s">
        <v>7</v>
      </c>
      <c r="M984" t="s">
        <v>8</v>
      </c>
      <c r="N984" t="s">
        <v>6</v>
      </c>
      <c r="O984" t="s">
        <v>3</v>
      </c>
      <c r="P984" t="s">
        <v>3</v>
      </c>
      <c r="Q984" t="s">
        <v>3</v>
      </c>
      <c r="R984" t="s">
        <v>3</v>
      </c>
      <c r="S984" t="s">
        <v>3</v>
      </c>
      <c r="T984" t="s">
        <v>7</v>
      </c>
      <c r="U984">
        <v>0</v>
      </c>
      <c r="V984">
        <v>0</v>
      </c>
      <c r="W984">
        <v>0</v>
      </c>
      <c r="X984">
        <v>3</v>
      </c>
      <c r="Y984">
        <v>1</v>
      </c>
      <c r="Z984" t="s">
        <v>24</v>
      </c>
      <c r="AA984" t="s">
        <v>4</v>
      </c>
      <c r="AB984" t="s">
        <v>6</v>
      </c>
      <c r="AC984" t="s">
        <v>7</v>
      </c>
      <c r="AD984" t="s">
        <v>8</v>
      </c>
      <c r="AE984" t="s">
        <v>6</v>
      </c>
      <c r="AF984" t="s">
        <v>3</v>
      </c>
      <c r="AG984" t="s">
        <v>3</v>
      </c>
      <c r="AH984" t="s">
        <v>3</v>
      </c>
      <c r="AI984" t="s">
        <v>3</v>
      </c>
      <c r="AJ984" t="s">
        <v>3</v>
      </c>
      <c r="AK984" t="s">
        <v>7</v>
      </c>
      <c r="AL984">
        <v>0</v>
      </c>
      <c r="AM984">
        <v>0</v>
      </c>
      <c r="AN984">
        <v>0</v>
      </c>
      <c r="AO984">
        <v>0</v>
      </c>
      <c r="AP984">
        <v>0</v>
      </c>
      <c r="AQ984" t="s">
        <v>9</v>
      </c>
      <c r="AR984" s="1">
        <v>7.8334780300000001E-5</v>
      </c>
      <c r="AS984" s="1">
        <v>5.4267922299999998E-26</v>
      </c>
      <c r="AT984">
        <v>42</v>
      </c>
      <c r="AU984" t="s">
        <v>10</v>
      </c>
      <c r="AV984">
        <v>0</v>
      </c>
      <c r="AW984">
        <v>0</v>
      </c>
      <c r="AX984">
        <v>0</v>
      </c>
      <c r="AY984">
        <v>3</v>
      </c>
      <c r="AZ984">
        <v>1</v>
      </c>
      <c r="BA984" t="s">
        <v>24</v>
      </c>
      <c r="BB984" t="s">
        <v>4</v>
      </c>
      <c r="BC984" t="s">
        <v>10</v>
      </c>
      <c r="BD984">
        <v>0</v>
      </c>
      <c r="BE984">
        <v>0</v>
      </c>
      <c r="BF984">
        <v>0</v>
      </c>
      <c r="BG984">
        <v>0</v>
      </c>
      <c r="BH984">
        <v>0</v>
      </c>
      <c r="BI984" t="s">
        <v>9</v>
      </c>
      <c r="BJ984">
        <v>7.8289999999999998E-5</v>
      </c>
      <c r="BK984">
        <v>0</v>
      </c>
      <c r="BL984">
        <v>2.7499999999999999E-6</v>
      </c>
      <c r="BM984" s="2">
        <f t="shared" si="15"/>
        <v>3.268090690140598E-7</v>
      </c>
    </row>
    <row r="985" spans="1:65" x14ac:dyDescent="0.35">
      <c r="A985">
        <v>0</v>
      </c>
      <c r="B985" t="s">
        <v>11</v>
      </c>
      <c r="C985" t="s">
        <v>4</v>
      </c>
      <c r="D985">
        <v>0</v>
      </c>
      <c r="E985" t="s">
        <v>3</v>
      </c>
      <c r="F985" t="s">
        <v>5</v>
      </c>
      <c r="G985">
        <v>4575.9146229999997</v>
      </c>
      <c r="H985" t="s">
        <v>4</v>
      </c>
      <c r="I985">
        <v>990.16341899999998</v>
      </c>
      <c r="J985">
        <v>3585.7512040000001</v>
      </c>
      <c r="K985" t="s">
        <v>6</v>
      </c>
      <c r="L985" t="s">
        <v>7</v>
      </c>
      <c r="M985" t="s">
        <v>8</v>
      </c>
      <c r="N985" t="s">
        <v>6</v>
      </c>
      <c r="O985" t="s">
        <v>3</v>
      </c>
      <c r="P985" t="s">
        <v>3</v>
      </c>
      <c r="Q985" t="s">
        <v>3</v>
      </c>
      <c r="R985" t="s">
        <v>3</v>
      </c>
      <c r="S985" t="s">
        <v>11</v>
      </c>
      <c r="T985" t="s">
        <v>7</v>
      </c>
      <c r="U985">
        <v>1</v>
      </c>
      <c r="V985">
        <v>0</v>
      </c>
      <c r="W985">
        <v>0</v>
      </c>
      <c r="X985">
        <v>1</v>
      </c>
      <c r="Y985">
        <v>2</v>
      </c>
      <c r="Z985" t="s">
        <v>14</v>
      </c>
      <c r="AA985" t="s">
        <v>4</v>
      </c>
      <c r="AB985" t="s">
        <v>6</v>
      </c>
      <c r="AC985" t="s">
        <v>7</v>
      </c>
      <c r="AD985" t="s">
        <v>8</v>
      </c>
      <c r="AE985" t="s">
        <v>6</v>
      </c>
      <c r="AF985" t="s">
        <v>3</v>
      </c>
      <c r="AG985" t="s">
        <v>3</v>
      </c>
      <c r="AH985" t="s">
        <v>3</v>
      </c>
      <c r="AI985" t="s">
        <v>3</v>
      </c>
      <c r="AJ985" t="s">
        <v>3</v>
      </c>
      <c r="AK985" t="s">
        <v>7</v>
      </c>
      <c r="AL985">
        <v>0</v>
      </c>
      <c r="AM985">
        <v>0</v>
      </c>
      <c r="AN985">
        <v>0</v>
      </c>
      <c r="AO985">
        <v>0</v>
      </c>
      <c r="AP985">
        <v>0</v>
      </c>
      <c r="AQ985" t="s">
        <v>9</v>
      </c>
      <c r="AR985" s="1">
        <v>2.8261155899999999E-6</v>
      </c>
      <c r="AS985" s="1">
        <v>7.6944245200000002E-29</v>
      </c>
      <c r="AT985">
        <v>41</v>
      </c>
      <c r="AU985" t="s">
        <v>10</v>
      </c>
      <c r="AV985">
        <v>1</v>
      </c>
      <c r="AW985">
        <v>0</v>
      </c>
      <c r="AX985">
        <v>0</v>
      </c>
      <c r="AY985">
        <v>1</v>
      </c>
      <c r="AZ985">
        <v>2</v>
      </c>
      <c r="BA985" t="s">
        <v>14</v>
      </c>
      <c r="BB985" t="s">
        <v>4</v>
      </c>
      <c r="BC985" t="s">
        <v>10</v>
      </c>
      <c r="BD985">
        <v>0</v>
      </c>
      <c r="BE985">
        <v>0</v>
      </c>
      <c r="BF985">
        <v>0</v>
      </c>
      <c r="BG985">
        <v>0</v>
      </c>
      <c r="BH985">
        <v>0</v>
      </c>
      <c r="BI985" t="s">
        <v>9</v>
      </c>
      <c r="BJ985">
        <v>0</v>
      </c>
      <c r="BK985">
        <v>-2.83E-6</v>
      </c>
      <c r="BL985">
        <v>0</v>
      </c>
      <c r="BM985" s="2">
        <f t="shared" si="15"/>
        <v>4.6336907834412411E-10</v>
      </c>
    </row>
    <row r="986" spans="1:65" x14ac:dyDescent="0.35">
      <c r="A986">
        <v>0</v>
      </c>
      <c r="B986" t="s">
        <v>11</v>
      </c>
      <c r="C986" t="s">
        <v>4</v>
      </c>
      <c r="D986">
        <v>0</v>
      </c>
      <c r="E986" t="s">
        <v>3</v>
      </c>
      <c r="F986" t="s">
        <v>5</v>
      </c>
      <c r="G986">
        <v>4774.3206909999999</v>
      </c>
      <c r="H986" t="s">
        <v>4</v>
      </c>
      <c r="I986">
        <v>990.16341899999998</v>
      </c>
      <c r="J986">
        <v>3784.1572719999999</v>
      </c>
      <c r="K986" t="s">
        <v>6</v>
      </c>
      <c r="L986" t="s">
        <v>7</v>
      </c>
      <c r="M986" t="s">
        <v>8</v>
      </c>
      <c r="N986" t="s">
        <v>6</v>
      </c>
      <c r="O986" t="s">
        <v>3</v>
      </c>
      <c r="P986" t="s">
        <v>3</v>
      </c>
      <c r="Q986" t="s">
        <v>3</v>
      </c>
      <c r="R986" t="s">
        <v>3</v>
      </c>
      <c r="S986" t="s">
        <v>11</v>
      </c>
      <c r="T986" t="s">
        <v>7</v>
      </c>
      <c r="U986">
        <v>1</v>
      </c>
      <c r="V986">
        <v>2</v>
      </c>
      <c r="W986">
        <v>0</v>
      </c>
      <c r="X986">
        <v>0</v>
      </c>
      <c r="Y986">
        <v>1</v>
      </c>
      <c r="Z986" t="s">
        <v>18</v>
      </c>
      <c r="AA986" t="s">
        <v>4</v>
      </c>
      <c r="AB986" t="s">
        <v>6</v>
      </c>
      <c r="AC986" t="s">
        <v>7</v>
      </c>
      <c r="AD986" t="s">
        <v>8</v>
      </c>
      <c r="AE986" t="s">
        <v>6</v>
      </c>
      <c r="AF986" t="s">
        <v>3</v>
      </c>
      <c r="AG986" t="s">
        <v>3</v>
      </c>
      <c r="AH986" t="s">
        <v>3</v>
      </c>
      <c r="AI986" t="s">
        <v>3</v>
      </c>
      <c r="AJ986" t="s">
        <v>3</v>
      </c>
      <c r="AK986" t="s">
        <v>7</v>
      </c>
      <c r="AL986">
        <v>0</v>
      </c>
      <c r="AM986">
        <v>0</v>
      </c>
      <c r="AN986">
        <v>0</v>
      </c>
      <c r="AO986">
        <v>0</v>
      </c>
      <c r="AP986">
        <v>0</v>
      </c>
      <c r="AQ986" t="s">
        <v>9</v>
      </c>
      <c r="AR986" s="1">
        <v>2.4921883600000002E-6</v>
      </c>
      <c r="AS986" s="1">
        <v>6.3146176799999996E-29</v>
      </c>
      <c r="AT986">
        <v>42</v>
      </c>
      <c r="AU986" t="s">
        <v>10</v>
      </c>
      <c r="AV986">
        <v>1</v>
      </c>
      <c r="AW986">
        <v>2</v>
      </c>
      <c r="AX986">
        <v>0</v>
      </c>
      <c r="AY986">
        <v>0</v>
      </c>
      <c r="AZ986">
        <v>1</v>
      </c>
      <c r="BA986" t="s">
        <v>18</v>
      </c>
      <c r="BB986" t="s">
        <v>4</v>
      </c>
      <c r="BC986" t="s">
        <v>10</v>
      </c>
      <c r="BD986">
        <v>0</v>
      </c>
      <c r="BE986">
        <v>0</v>
      </c>
      <c r="BF986">
        <v>0</v>
      </c>
      <c r="BG986">
        <v>0</v>
      </c>
      <c r="BH986">
        <v>0</v>
      </c>
      <c r="BI986" t="s">
        <v>9</v>
      </c>
      <c r="BJ986">
        <v>0</v>
      </c>
      <c r="BK986">
        <v>-2.4899999999999999E-6</v>
      </c>
      <c r="BL986">
        <v>0</v>
      </c>
      <c r="BM986" s="2">
        <f t="shared" si="15"/>
        <v>3.8027516767129342E-10</v>
      </c>
    </row>
    <row r="987" spans="1:65" x14ac:dyDescent="0.35">
      <c r="A987">
        <v>0</v>
      </c>
      <c r="B987" t="s">
        <v>3</v>
      </c>
      <c r="C987" t="s">
        <v>4</v>
      </c>
      <c r="D987">
        <v>0</v>
      </c>
      <c r="E987" t="s">
        <v>3</v>
      </c>
      <c r="F987" t="s">
        <v>5</v>
      </c>
      <c r="G987">
        <v>4470.0350250000001</v>
      </c>
      <c r="H987" t="s">
        <v>4</v>
      </c>
      <c r="I987">
        <v>990.16341899999998</v>
      </c>
      <c r="J987">
        <v>3479.8716060000002</v>
      </c>
      <c r="K987" t="s">
        <v>6</v>
      </c>
      <c r="L987" t="s">
        <v>7</v>
      </c>
      <c r="M987" t="s">
        <v>8</v>
      </c>
      <c r="N987" t="s">
        <v>6</v>
      </c>
      <c r="O987" t="s">
        <v>3</v>
      </c>
      <c r="P987" t="s">
        <v>3</v>
      </c>
      <c r="Q987" t="s">
        <v>3</v>
      </c>
      <c r="R987" t="s">
        <v>3</v>
      </c>
      <c r="S987" t="s">
        <v>3</v>
      </c>
      <c r="T987" t="s">
        <v>7</v>
      </c>
      <c r="U987">
        <v>0</v>
      </c>
      <c r="V987">
        <v>0</v>
      </c>
      <c r="W987">
        <v>1</v>
      </c>
      <c r="X987">
        <v>0</v>
      </c>
      <c r="Y987">
        <v>1</v>
      </c>
      <c r="Z987" t="s">
        <v>8</v>
      </c>
      <c r="AA987" t="s">
        <v>4</v>
      </c>
      <c r="AB987" t="s">
        <v>6</v>
      </c>
      <c r="AC987" t="s">
        <v>7</v>
      </c>
      <c r="AD987" t="s">
        <v>8</v>
      </c>
      <c r="AE987" t="s">
        <v>6</v>
      </c>
      <c r="AF987" t="s">
        <v>3</v>
      </c>
      <c r="AG987" t="s">
        <v>3</v>
      </c>
      <c r="AH987" t="s">
        <v>3</v>
      </c>
      <c r="AI987" t="s">
        <v>3</v>
      </c>
      <c r="AJ987" t="s">
        <v>3</v>
      </c>
      <c r="AK987" t="s">
        <v>7</v>
      </c>
      <c r="AL987">
        <v>0</v>
      </c>
      <c r="AM987">
        <v>0</v>
      </c>
      <c r="AN987">
        <v>0</v>
      </c>
      <c r="AO987">
        <v>0</v>
      </c>
      <c r="AP987">
        <v>0</v>
      </c>
      <c r="AQ987" t="s">
        <v>9</v>
      </c>
      <c r="AR987" s="1">
        <v>6.7568866000000002E-6</v>
      </c>
      <c r="AS987" s="1">
        <v>4.2684738199999997E-28</v>
      </c>
      <c r="AT987">
        <v>28</v>
      </c>
      <c r="AU987" t="s">
        <v>10</v>
      </c>
      <c r="AV987">
        <v>0</v>
      </c>
      <c r="AW987">
        <v>0</v>
      </c>
      <c r="AX987">
        <v>1</v>
      </c>
      <c r="AY987">
        <v>0</v>
      </c>
      <c r="AZ987">
        <v>1</v>
      </c>
      <c r="BA987" t="s">
        <v>8</v>
      </c>
      <c r="BB987" t="s">
        <v>4</v>
      </c>
      <c r="BC987" t="s">
        <v>10</v>
      </c>
      <c r="BD987">
        <v>0</v>
      </c>
      <c r="BE987">
        <v>0</v>
      </c>
      <c r="BF987">
        <v>0</v>
      </c>
      <c r="BG987">
        <v>0</v>
      </c>
      <c r="BH987">
        <v>0</v>
      </c>
      <c r="BI987" t="s">
        <v>9</v>
      </c>
      <c r="BJ987">
        <v>6.6100000000000002E-6</v>
      </c>
      <c r="BK987">
        <v>0</v>
      </c>
      <c r="BL987">
        <v>-1.3999999999999999E-6</v>
      </c>
      <c r="BM987" s="2">
        <f t="shared" si="15"/>
        <v>2.5705350345153851E-9</v>
      </c>
    </row>
    <row r="988" spans="1:65" x14ac:dyDescent="0.35">
      <c r="A988">
        <v>0</v>
      </c>
      <c r="B988" t="s">
        <v>11</v>
      </c>
      <c r="C988" t="s">
        <v>4</v>
      </c>
      <c r="D988">
        <v>0</v>
      </c>
      <c r="E988" t="s">
        <v>3</v>
      </c>
      <c r="F988" t="s">
        <v>5</v>
      </c>
      <c r="G988">
        <v>3894.4374090000001</v>
      </c>
      <c r="H988" t="s">
        <v>4</v>
      </c>
      <c r="I988">
        <v>990.16341899999998</v>
      </c>
      <c r="J988">
        <v>2904.2739900000001</v>
      </c>
      <c r="K988" t="s">
        <v>6</v>
      </c>
      <c r="L988" t="s">
        <v>7</v>
      </c>
      <c r="M988" t="s">
        <v>8</v>
      </c>
      <c r="N988" t="s">
        <v>6</v>
      </c>
      <c r="O988" t="s">
        <v>3</v>
      </c>
      <c r="P988" t="s">
        <v>3</v>
      </c>
      <c r="Q988" t="s">
        <v>3</v>
      </c>
      <c r="R988" t="s">
        <v>3</v>
      </c>
      <c r="S988" t="s">
        <v>11</v>
      </c>
      <c r="T988" t="s">
        <v>7</v>
      </c>
      <c r="U988">
        <v>0</v>
      </c>
      <c r="V988">
        <v>2</v>
      </c>
      <c r="W988">
        <v>0</v>
      </c>
      <c r="X988">
        <v>0</v>
      </c>
      <c r="Y988">
        <v>1</v>
      </c>
      <c r="Z988" t="s">
        <v>18</v>
      </c>
      <c r="AA988" t="s">
        <v>4</v>
      </c>
      <c r="AB988" t="s">
        <v>6</v>
      </c>
      <c r="AC988" t="s">
        <v>7</v>
      </c>
      <c r="AD988" t="s">
        <v>8</v>
      </c>
      <c r="AE988" t="s">
        <v>6</v>
      </c>
      <c r="AF988" t="s">
        <v>3</v>
      </c>
      <c r="AG988" t="s">
        <v>3</v>
      </c>
      <c r="AH988" t="s">
        <v>3</v>
      </c>
      <c r="AI988" t="s">
        <v>3</v>
      </c>
      <c r="AJ988" t="s">
        <v>3</v>
      </c>
      <c r="AK988" t="s">
        <v>7</v>
      </c>
      <c r="AL988">
        <v>0</v>
      </c>
      <c r="AM988">
        <v>0</v>
      </c>
      <c r="AN988">
        <v>0</v>
      </c>
      <c r="AO988">
        <v>0</v>
      </c>
      <c r="AP988">
        <v>0</v>
      </c>
      <c r="AQ988" t="s">
        <v>9</v>
      </c>
      <c r="AR988" s="1">
        <v>1.6253465299999999E-5</v>
      </c>
      <c r="AS988" s="1">
        <v>2.0613196E-27</v>
      </c>
      <c r="AT988">
        <v>42</v>
      </c>
      <c r="AU988" t="s">
        <v>10</v>
      </c>
      <c r="AV988">
        <v>0</v>
      </c>
      <c r="AW988">
        <v>2</v>
      </c>
      <c r="AX988">
        <v>0</v>
      </c>
      <c r="AY988">
        <v>0</v>
      </c>
      <c r="AZ988">
        <v>1</v>
      </c>
      <c r="BA988" t="s">
        <v>18</v>
      </c>
      <c r="BB988" t="s">
        <v>4</v>
      </c>
      <c r="BC988" t="s">
        <v>10</v>
      </c>
      <c r="BD988">
        <v>0</v>
      </c>
      <c r="BE988">
        <v>0</v>
      </c>
      <c r="BF988">
        <v>0</v>
      </c>
      <c r="BG988">
        <v>0</v>
      </c>
      <c r="BH988">
        <v>0</v>
      </c>
      <c r="BI988" t="s">
        <v>9</v>
      </c>
      <c r="BJ988">
        <v>0</v>
      </c>
      <c r="BK988">
        <v>1.6249999999999999E-5</v>
      </c>
      <c r="BL988">
        <v>0</v>
      </c>
      <c r="BM988" s="2">
        <f t="shared" si="15"/>
        <v>1.2413556864999679E-8</v>
      </c>
    </row>
    <row r="989" spans="1:65" x14ac:dyDescent="0.35">
      <c r="A989">
        <v>0</v>
      </c>
      <c r="B989" t="s">
        <v>11</v>
      </c>
      <c r="C989" t="s">
        <v>4</v>
      </c>
      <c r="D989">
        <v>0</v>
      </c>
      <c r="E989" t="s">
        <v>3</v>
      </c>
      <c r="F989" t="s">
        <v>5</v>
      </c>
      <c r="G989">
        <v>4420.5685080000003</v>
      </c>
      <c r="H989" t="s">
        <v>4</v>
      </c>
      <c r="I989">
        <v>990.16341899999998</v>
      </c>
      <c r="J989">
        <v>3430.4050889999999</v>
      </c>
      <c r="K989" t="s">
        <v>6</v>
      </c>
      <c r="L989" t="s">
        <v>7</v>
      </c>
      <c r="M989" t="s">
        <v>8</v>
      </c>
      <c r="N989" t="s">
        <v>6</v>
      </c>
      <c r="O989" t="s">
        <v>3</v>
      </c>
      <c r="P989" t="s">
        <v>3</v>
      </c>
      <c r="Q989" t="s">
        <v>3</v>
      </c>
      <c r="R989" t="s">
        <v>3</v>
      </c>
      <c r="S989" t="s">
        <v>11</v>
      </c>
      <c r="T989" t="s">
        <v>7</v>
      </c>
      <c r="U989">
        <v>0</v>
      </c>
      <c r="V989">
        <v>1</v>
      </c>
      <c r="W989">
        <v>0</v>
      </c>
      <c r="X989">
        <v>2</v>
      </c>
      <c r="Y989">
        <v>0</v>
      </c>
      <c r="Z989" t="s">
        <v>12</v>
      </c>
      <c r="AA989" t="s">
        <v>4</v>
      </c>
      <c r="AB989" t="s">
        <v>6</v>
      </c>
      <c r="AC989" t="s">
        <v>7</v>
      </c>
      <c r="AD989" t="s">
        <v>8</v>
      </c>
      <c r="AE989" t="s">
        <v>6</v>
      </c>
      <c r="AF989" t="s">
        <v>3</v>
      </c>
      <c r="AG989" t="s">
        <v>3</v>
      </c>
      <c r="AH989" t="s">
        <v>3</v>
      </c>
      <c r="AI989" t="s">
        <v>3</v>
      </c>
      <c r="AJ989" t="s">
        <v>3</v>
      </c>
      <c r="AK989" t="s">
        <v>7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9</v>
      </c>
      <c r="AR989" s="1">
        <v>7.4436321000000002E-6</v>
      </c>
      <c r="AS989" s="1">
        <v>5.1065941499999996E-28</v>
      </c>
      <c r="AT989">
        <v>42</v>
      </c>
      <c r="AU989" t="s">
        <v>10</v>
      </c>
      <c r="AV989">
        <v>0</v>
      </c>
      <c r="AW989">
        <v>1</v>
      </c>
      <c r="AX989">
        <v>0</v>
      </c>
      <c r="AY989">
        <v>2</v>
      </c>
      <c r="AZ989">
        <v>0</v>
      </c>
      <c r="BA989" t="s">
        <v>12</v>
      </c>
      <c r="BB989" t="s">
        <v>4</v>
      </c>
      <c r="BC989" t="s">
        <v>10</v>
      </c>
      <c r="BD989">
        <v>0</v>
      </c>
      <c r="BE989">
        <v>0</v>
      </c>
      <c r="BF989">
        <v>0</v>
      </c>
      <c r="BG989">
        <v>0</v>
      </c>
      <c r="BH989">
        <v>0</v>
      </c>
      <c r="BI989" t="s">
        <v>9</v>
      </c>
      <c r="BJ989">
        <v>0</v>
      </c>
      <c r="BK989">
        <v>-7.4399999999999999E-6</v>
      </c>
      <c r="BL989">
        <v>0</v>
      </c>
      <c r="BM989" s="2">
        <f t="shared" si="15"/>
        <v>3.0752628979756315E-9</v>
      </c>
    </row>
    <row r="990" spans="1:65" x14ac:dyDescent="0.35">
      <c r="A990">
        <v>0</v>
      </c>
      <c r="B990" t="s">
        <v>3</v>
      </c>
      <c r="C990" t="s">
        <v>4</v>
      </c>
      <c r="D990">
        <v>0</v>
      </c>
      <c r="E990" t="s">
        <v>3</v>
      </c>
      <c r="F990" t="s">
        <v>5</v>
      </c>
      <c r="G990">
        <v>2593.6338479999999</v>
      </c>
      <c r="H990" t="s">
        <v>4</v>
      </c>
      <c r="I990">
        <v>990.16341899999998</v>
      </c>
      <c r="J990">
        <v>1603.470429</v>
      </c>
      <c r="K990" t="s">
        <v>6</v>
      </c>
      <c r="L990" t="s">
        <v>7</v>
      </c>
      <c r="M990" t="s">
        <v>8</v>
      </c>
      <c r="N990" t="s">
        <v>6</v>
      </c>
      <c r="O990" t="s">
        <v>3</v>
      </c>
      <c r="P990" t="s">
        <v>3</v>
      </c>
      <c r="Q990" t="s">
        <v>3</v>
      </c>
      <c r="R990" t="s">
        <v>3</v>
      </c>
      <c r="S990" t="s">
        <v>3</v>
      </c>
      <c r="T990" t="s">
        <v>7</v>
      </c>
      <c r="U990">
        <v>0</v>
      </c>
      <c r="V990">
        <v>1</v>
      </c>
      <c r="W990">
        <v>0</v>
      </c>
      <c r="X990">
        <v>1</v>
      </c>
      <c r="Y990">
        <v>1</v>
      </c>
      <c r="Z990" t="s">
        <v>8</v>
      </c>
      <c r="AA990" t="s">
        <v>4</v>
      </c>
      <c r="AB990" t="s">
        <v>6</v>
      </c>
      <c r="AC990" t="s">
        <v>7</v>
      </c>
      <c r="AD990" t="s">
        <v>8</v>
      </c>
      <c r="AE990" t="s">
        <v>6</v>
      </c>
      <c r="AF990" t="s">
        <v>3</v>
      </c>
      <c r="AG990" t="s">
        <v>3</v>
      </c>
      <c r="AH990" t="s">
        <v>3</v>
      </c>
      <c r="AI990" t="s">
        <v>3</v>
      </c>
      <c r="AJ990" t="s">
        <v>3</v>
      </c>
      <c r="AK990" t="s">
        <v>7</v>
      </c>
      <c r="AL990">
        <v>0</v>
      </c>
      <c r="AM990">
        <v>0</v>
      </c>
      <c r="AN990">
        <v>0</v>
      </c>
      <c r="AO990">
        <v>0</v>
      </c>
      <c r="AP990">
        <v>0</v>
      </c>
      <c r="AQ990" t="s">
        <v>9</v>
      </c>
      <c r="AR990" s="1">
        <v>1.23702019E-3</v>
      </c>
      <c r="AS990" s="1">
        <v>6.5893415599999998E-24</v>
      </c>
      <c r="AT990">
        <v>42</v>
      </c>
      <c r="AU990" t="s">
        <v>10</v>
      </c>
      <c r="AV990">
        <v>0</v>
      </c>
      <c r="AW990">
        <v>1</v>
      </c>
      <c r="AX990">
        <v>0</v>
      </c>
      <c r="AY990">
        <v>1</v>
      </c>
      <c r="AZ990">
        <v>1</v>
      </c>
      <c r="BA990" t="s">
        <v>8</v>
      </c>
      <c r="BB990" t="s">
        <v>4</v>
      </c>
      <c r="BC990" t="s">
        <v>10</v>
      </c>
      <c r="BD990">
        <v>0</v>
      </c>
      <c r="BE990">
        <v>0</v>
      </c>
      <c r="BF990">
        <v>0</v>
      </c>
      <c r="BG990">
        <v>0</v>
      </c>
      <c r="BH990">
        <v>0</v>
      </c>
      <c r="BI990" t="s">
        <v>9</v>
      </c>
      <c r="BJ990">
        <v>-3.6077E-4</v>
      </c>
      <c r="BK990">
        <v>0</v>
      </c>
      <c r="BL990">
        <v>1.1832399999999999E-3</v>
      </c>
      <c r="BM990" s="2">
        <f t="shared" si="15"/>
        <v>3.9681942653611651E-5</v>
      </c>
    </row>
    <row r="991" spans="1:65" x14ac:dyDescent="0.35">
      <c r="A991">
        <v>0</v>
      </c>
      <c r="B991" t="s">
        <v>3</v>
      </c>
      <c r="C991" t="s">
        <v>4</v>
      </c>
      <c r="D991">
        <v>0</v>
      </c>
      <c r="E991" t="s">
        <v>3</v>
      </c>
      <c r="F991" t="s">
        <v>5</v>
      </c>
      <c r="G991">
        <v>3610.3607080000002</v>
      </c>
      <c r="H991" t="s">
        <v>4</v>
      </c>
      <c r="I991">
        <v>990.16341899999998</v>
      </c>
      <c r="J991">
        <v>2620.1972890000002</v>
      </c>
      <c r="K991" t="s">
        <v>6</v>
      </c>
      <c r="L991" t="s">
        <v>7</v>
      </c>
      <c r="M991" t="s">
        <v>8</v>
      </c>
      <c r="N991" t="s">
        <v>6</v>
      </c>
      <c r="O991" t="s">
        <v>3</v>
      </c>
      <c r="P991" t="s">
        <v>3</v>
      </c>
      <c r="Q991" t="s">
        <v>3</v>
      </c>
      <c r="R991" t="s">
        <v>3</v>
      </c>
      <c r="S991" t="s">
        <v>3</v>
      </c>
      <c r="T991" t="s">
        <v>7</v>
      </c>
      <c r="U991">
        <v>3</v>
      </c>
      <c r="V991">
        <v>0</v>
      </c>
      <c r="W991">
        <v>0</v>
      </c>
      <c r="X991">
        <v>0</v>
      </c>
      <c r="Y991">
        <v>0</v>
      </c>
      <c r="Z991" t="s">
        <v>15</v>
      </c>
      <c r="AA991" t="s">
        <v>4</v>
      </c>
      <c r="AB991" t="s">
        <v>6</v>
      </c>
      <c r="AC991" t="s">
        <v>7</v>
      </c>
      <c r="AD991" t="s">
        <v>8</v>
      </c>
      <c r="AE991" t="s">
        <v>6</v>
      </c>
      <c r="AF991" t="s">
        <v>3</v>
      </c>
      <c r="AG991" t="s">
        <v>3</v>
      </c>
      <c r="AH991" t="s">
        <v>3</v>
      </c>
      <c r="AI991" t="s">
        <v>3</v>
      </c>
      <c r="AJ991" t="s">
        <v>3</v>
      </c>
      <c r="AK991" t="s">
        <v>7</v>
      </c>
      <c r="AL991">
        <v>0</v>
      </c>
      <c r="AM991">
        <v>0</v>
      </c>
      <c r="AN991">
        <v>0</v>
      </c>
      <c r="AO991">
        <v>0</v>
      </c>
      <c r="AP991">
        <v>0</v>
      </c>
      <c r="AQ991" t="s">
        <v>9</v>
      </c>
      <c r="AR991" s="1">
        <v>5.1815887599999998E-4</v>
      </c>
      <c r="AS991" s="1">
        <v>1.8900558899999999E-24</v>
      </c>
      <c r="AT991">
        <v>42</v>
      </c>
      <c r="AU991" t="s">
        <v>10</v>
      </c>
      <c r="AV991">
        <v>3</v>
      </c>
      <c r="AW991">
        <v>0</v>
      </c>
      <c r="AX991">
        <v>0</v>
      </c>
      <c r="AY991">
        <v>0</v>
      </c>
      <c r="AZ991">
        <v>0</v>
      </c>
      <c r="BA991" t="s">
        <v>15</v>
      </c>
      <c r="BB991" t="s">
        <v>4</v>
      </c>
      <c r="BC991" t="s">
        <v>10</v>
      </c>
      <c r="BD991">
        <v>0</v>
      </c>
      <c r="BE991">
        <v>0</v>
      </c>
      <c r="BF991">
        <v>0</v>
      </c>
      <c r="BG991">
        <v>0</v>
      </c>
      <c r="BH991">
        <v>0</v>
      </c>
      <c r="BI991" t="s">
        <v>9</v>
      </c>
      <c r="BJ991">
        <v>-3.9300000000000001E-4</v>
      </c>
      <c r="BK991">
        <v>0</v>
      </c>
      <c r="BL991">
        <v>-3.3770000000000002E-4</v>
      </c>
      <c r="BM991" s="2">
        <f t="shared" si="15"/>
        <v>1.138218268944931E-5</v>
      </c>
    </row>
    <row r="992" spans="1:65" x14ac:dyDescent="0.35">
      <c r="A992">
        <v>0</v>
      </c>
      <c r="B992" t="s">
        <v>11</v>
      </c>
      <c r="C992" t="s">
        <v>4</v>
      </c>
      <c r="D992">
        <v>0</v>
      </c>
      <c r="E992" t="s">
        <v>3</v>
      </c>
      <c r="F992" t="s">
        <v>5</v>
      </c>
      <c r="G992">
        <v>3975.3035580000001</v>
      </c>
      <c r="H992" t="s">
        <v>4</v>
      </c>
      <c r="I992">
        <v>990.16341899999998</v>
      </c>
      <c r="J992">
        <v>2985.1401390000001</v>
      </c>
      <c r="K992" t="s">
        <v>6</v>
      </c>
      <c r="L992" t="s">
        <v>7</v>
      </c>
      <c r="M992" t="s">
        <v>8</v>
      </c>
      <c r="N992" t="s">
        <v>6</v>
      </c>
      <c r="O992" t="s">
        <v>3</v>
      </c>
      <c r="P992" t="s">
        <v>3</v>
      </c>
      <c r="Q992" t="s">
        <v>3</v>
      </c>
      <c r="R992" t="s">
        <v>3</v>
      </c>
      <c r="S992" t="s">
        <v>11</v>
      </c>
      <c r="T992" t="s">
        <v>7</v>
      </c>
      <c r="U992">
        <v>0</v>
      </c>
      <c r="V992">
        <v>1</v>
      </c>
      <c r="W992">
        <v>0</v>
      </c>
      <c r="X992">
        <v>3</v>
      </c>
      <c r="Y992">
        <v>0</v>
      </c>
      <c r="Z992" t="s">
        <v>14</v>
      </c>
      <c r="AA992" t="s">
        <v>4</v>
      </c>
      <c r="AB992" t="s">
        <v>6</v>
      </c>
      <c r="AC992" t="s">
        <v>7</v>
      </c>
      <c r="AD992" t="s">
        <v>8</v>
      </c>
      <c r="AE992" t="s">
        <v>6</v>
      </c>
      <c r="AF992" t="s">
        <v>3</v>
      </c>
      <c r="AG992" t="s">
        <v>3</v>
      </c>
      <c r="AH992" t="s">
        <v>3</v>
      </c>
      <c r="AI992" t="s">
        <v>3</v>
      </c>
      <c r="AJ992" t="s">
        <v>3</v>
      </c>
      <c r="AK992" t="s">
        <v>7</v>
      </c>
      <c r="AL992">
        <v>0</v>
      </c>
      <c r="AM992">
        <v>0</v>
      </c>
      <c r="AN992">
        <v>0</v>
      </c>
      <c r="AO992">
        <v>0</v>
      </c>
      <c r="AP992">
        <v>0</v>
      </c>
      <c r="AQ992" t="s">
        <v>9</v>
      </c>
      <c r="AR992" s="1">
        <v>4.5050400900000003E-5</v>
      </c>
      <c r="AS992" s="1">
        <v>1.6277135100000001E-26</v>
      </c>
      <c r="AT992">
        <v>42</v>
      </c>
      <c r="AU992" t="s">
        <v>10</v>
      </c>
      <c r="AV992">
        <v>0</v>
      </c>
      <c r="AW992">
        <v>1</v>
      </c>
      <c r="AX992">
        <v>0</v>
      </c>
      <c r="AY992">
        <v>3</v>
      </c>
      <c r="AZ992">
        <v>0</v>
      </c>
      <c r="BA992" t="s">
        <v>14</v>
      </c>
      <c r="BB992" t="s">
        <v>4</v>
      </c>
      <c r="BC992" t="s">
        <v>10</v>
      </c>
      <c r="BD992">
        <v>0</v>
      </c>
      <c r="BE992">
        <v>0</v>
      </c>
      <c r="BF992">
        <v>0</v>
      </c>
      <c r="BG992">
        <v>0</v>
      </c>
      <c r="BH992">
        <v>0</v>
      </c>
      <c r="BI992" t="s">
        <v>9</v>
      </c>
      <c r="BJ992">
        <v>0</v>
      </c>
      <c r="BK992">
        <v>-4.5049999999999997E-5</v>
      </c>
      <c r="BL992">
        <v>0</v>
      </c>
      <c r="BM992" s="2">
        <f t="shared" si="15"/>
        <v>9.8023199392822075E-8</v>
      </c>
    </row>
    <row r="993" spans="1:65" x14ac:dyDescent="0.35">
      <c r="A993">
        <v>0</v>
      </c>
      <c r="B993" t="s">
        <v>3</v>
      </c>
      <c r="C993" t="s">
        <v>4</v>
      </c>
      <c r="D993">
        <v>0</v>
      </c>
      <c r="E993" t="s">
        <v>3</v>
      </c>
      <c r="F993" t="s">
        <v>5</v>
      </c>
      <c r="G993">
        <v>2904.7361040000001</v>
      </c>
      <c r="H993" t="s">
        <v>4</v>
      </c>
      <c r="I993">
        <v>990.16341899999998</v>
      </c>
      <c r="J993">
        <v>1914.5726850000001</v>
      </c>
      <c r="K993" t="s">
        <v>6</v>
      </c>
      <c r="L993" t="s">
        <v>7</v>
      </c>
      <c r="M993" t="s">
        <v>8</v>
      </c>
      <c r="N993" t="s">
        <v>6</v>
      </c>
      <c r="O993" t="s">
        <v>3</v>
      </c>
      <c r="P993" t="s">
        <v>3</v>
      </c>
      <c r="Q993" t="s">
        <v>3</v>
      </c>
      <c r="R993" t="s">
        <v>3</v>
      </c>
      <c r="S993" t="s">
        <v>3</v>
      </c>
      <c r="T993" t="s">
        <v>7</v>
      </c>
      <c r="U993">
        <v>0</v>
      </c>
      <c r="V993">
        <v>2</v>
      </c>
      <c r="W993">
        <v>0</v>
      </c>
      <c r="X993">
        <v>1</v>
      </c>
      <c r="Y993">
        <v>0</v>
      </c>
      <c r="Z993" t="s">
        <v>8</v>
      </c>
      <c r="AA993" t="s">
        <v>4</v>
      </c>
      <c r="AB993" t="s">
        <v>6</v>
      </c>
      <c r="AC993" t="s">
        <v>7</v>
      </c>
      <c r="AD993" t="s">
        <v>8</v>
      </c>
      <c r="AE993" t="s">
        <v>6</v>
      </c>
      <c r="AF993" t="s">
        <v>3</v>
      </c>
      <c r="AG993" t="s">
        <v>3</v>
      </c>
      <c r="AH993" t="s">
        <v>3</v>
      </c>
      <c r="AI993" t="s">
        <v>3</v>
      </c>
      <c r="AJ993" t="s">
        <v>3</v>
      </c>
      <c r="AK993" t="s">
        <v>7</v>
      </c>
      <c r="AL993">
        <v>0</v>
      </c>
      <c r="AM993">
        <v>0</v>
      </c>
      <c r="AN993">
        <v>0</v>
      </c>
      <c r="AO993">
        <v>0</v>
      </c>
      <c r="AP993">
        <v>0</v>
      </c>
      <c r="AQ993" t="s">
        <v>9</v>
      </c>
      <c r="AR993" s="1">
        <v>3.6678838500000001E-5</v>
      </c>
      <c r="AS993" s="1">
        <v>6.9195390399999994E-27</v>
      </c>
      <c r="AT993">
        <v>42</v>
      </c>
      <c r="AU993" t="s">
        <v>10</v>
      </c>
      <c r="AV993">
        <v>0</v>
      </c>
      <c r="AW993">
        <v>2</v>
      </c>
      <c r="AX993">
        <v>0</v>
      </c>
      <c r="AY993">
        <v>1</v>
      </c>
      <c r="AZ993">
        <v>0</v>
      </c>
      <c r="BA993" t="s">
        <v>8</v>
      </c>
      <c r="BB993" t="s">
        <v>4</v>
      </c>
      <c r="BC993" t="s">
        <v>10</v>
      </c>
      <c r="BD993">
        <v>0</v>
      </c>
      <c r="BE993">
        <v>0</v>
      </c>
      <c r="BF993">
        <v>0</v>
      </c>
      <c r="BG993">
        <v>0</v>
      </c>
      <c r="BH993">
        <v>0</v>
      </c>
      <c r="BI993" t="s">
        <v>9</v>
      </c>
      <c r="BJ993">
        <v>-2.5870000000000001E-5</v>
      </c>
      <c r="BK993">
        <v>0</v>
      </c>
      <c r="BL993">
        <v>2.601E-5</v>
      </c>
      <c r="BM993" s="2">
        <f t="shared" si="15"/>
        <v>4.1670438369976821E-8</v>
      </c>
    </row>
    <row r="994" spans="1:65" x14ac:dyDescent="0.35">
      <c r="A994">
        <v>0</v>
      </c>
      <c r="B994" t="s">
        <v>11</v>
      </c>
      <c r="C994" t="s">
        <v>4</v>
      </c>
      <c r="D994">
        <v>0</v>
      </c>
      <c r="E994" t="s">
        <v>3</v>
      </c>
      <c r="F994" t="s">
        <v>5</v>
      </c>
      <c r="G994">
        <v>4576.6299239999998</v>
      </c>
      <c r="H994" t="s">
        <v>4</v>
      </c>
      <c r="I994">
        <v>990.16341899999998</v>
      </c>
      <c r="J994">
        <v>3586.4665049999999</v>
      </c>
      <c r="K994" t="s">
        <v>6</v>
      </c>
      <c r="L994" t="s">
        <v>7</v>
      </c>
      <c r="M994" t="s">
        <v>8</v>
      </c>
      <c r="N994" t="s">
        <v>6</v>
      </c>
      <c r="O994" t="s">
        <v>3</v>
      </c>
      <c r="P994" t="s">
        <v>3</v>
      </c>
      <c r="Q994" t="s">
        <v>3</v>
      </c>
      <c r="R994" t="s">
        <v>3</v>
      </c>
      <c r="S994" t="s">
        <v>11</v>
      </c>
      <c r="T994" t="s">
        <v>7</v>
      </c>
      <c r="U994">
        <v>2</v>
      </c>
      <c r="V994">
        <v>0</v>
      </c>
      <c r="W994">
        <v>0</v>
      </c>
      <c r="X994">
        <v>0</v>
      </c>
      <c r="Y994">
        <v>0</v>
      </c>
      <c r="Z994" t="s">
        <v>16</v>
      </c>
      <c r="AA994" t="s">
        <v>4</v>
      </c>
      <c r="AB994" t="s">
        <v>6</v>
      </c>
      <c r="AC994" t="s">
        <v>7</v>
      </c>
      <c r="AD994" t="s">
        <v>8</v>
      </c>
      <c r="AE994" t="s">
        <v>6</v>
      </c>
      <c r="AF994" t="s">
        <v>3</v>
      </c>
      <c r="AG994" t="s">
        <v>3</v>
      </c>
      <c r="AH994" t="s">
        <v>3</v>
      </c>
      <c r="AI994" t="s">
        <v>3</v>
      </c>
      <c r="AJ994" t="s">
        <v>3</v>
      </c>
      <c r="AK994" t="s">
        <v>7</v>
      </c>
      <c r="AL994">
        <v>0</v>
      </c>
      <c r="AM994">
        <v>0</v>
      </c>
      <c r="AN994">
        <v>0</v>
      </c>
      <c r="AO994">
        <v>0</v>
      </c>
      <c r="AP994">
        <v>0</v>
      </c>
      <c r="AQ994" t="s">
        <v>9</v>
      </c>
      <c r="AR994" s="1">
        <v>4.2120103900000003E-6</v>
      </c>
      <c r="AS994" s="1">
        <v>1.70947124E-28</v>
      </c>
      <c r="AT994">
        <v>42</v>
      </c>
      <c r="AU994" t="s">
        <v>10</v>
      </c>
      <c r="AV994">
        <v>2</v>
      </c>
      <c r="AW994">
        <v>0</v>
      </c>
      <c r="AX994">
        <v>0</v>
      </c>
      <c r="AY994">
        <v>0</v>
      </c>
      <c r="AZ994">
        <v>0</v>
      </c>
      <c r="BA994" t="s">
        <v>16</v>
      </c>
      <c r="BB994" t="s">
        <v>4</v>
      </c>
      <c r="BC994" t="s">
        <v>10</v>
      </c>
      <c r="BD994">
        <v>0</v>
      </c>
      <c r="BE994">
        <v>0</v>
      </c>
      <c r="BF994">
        <v>0</v>
      </c>
      <c r="BG994">
        <v>0</v>
      </c>
      <c r="BH994">
        <v>0</v>
      </c>
      <c r="BI994" t="s">
        <v>9</v>
      </c>
      <c r="BJ994">
        <v>0</v>
      </c>
      <c r="BK994">
        <v>-4.2100000000000003E-6</v>
      </c>
      <c r="BL994">
        <v>0</v>
      </c>
      <c r="BM994" s="2">
        <f t="shared" si="15"/>
        <v>1.0294676500830591E-9</v>
      </c>
    </row>
    <row r="995" spans="1:65" x14ac:dyDescent="0.35">
      <c r="A995">
        <v>0</v>
      </c>
      <c r="B995" t="s">
        <v>11</v>
      </c>
      <c r="C995" t="s">
        <v>4</v>
      </c>
      <c r="D995">
        <v>0</v>
      </c>
      <c r="E995" t="s">
        <v>3</v>
      </c>
      <c r="F995" t="s">
        <v>5</v>
      </c>
      <c r="G995">
        <v>4470.7993900000001</v>
      </c>
      <c r="H995" t="s">
        <v>4</v>
      </c>
      <c r="I995">
        <v>990.16341899999998</v>
      </c>
      <c r="J995">
        <v>3480.6359710000002</v>
      </c>
      <c r="K995" t="s">
        <v>6</v>
      </c>
      <c r="L995" t="s">
        <v>7</v>
      </c>
      <c r="M995" t="s">
        <v>8</v>
      </c>
      <c r="N995" t="s">
        <v>6</v>
      </c>
      <c r="O995" t="s">
        <v>3</v>
      </c>
      <c r="P995" t="s">
        <v>3</v>
      </c>
      <c r="Q995" t="s">
        <v>3</v>
      </c>
      <c r="R995" t="s">
        <v>3</v>
      </c>
      <c r="S995" t="s">
        <v>11</v>
      </c>
      <c r="T995" t="s">
        <v>7</v>
      </c>
      <c r="U995">
        <v>0</v>
      </c>
      <c r="V995">
        <v>2</v>
      </c>
      <c r="W995">
        <v>0</v>
      </c>
      <c r="X995">
        <v>1</v>
      </c>
      <c r="Y995">
        <v>0</v>
      </c>
      <c r="Z995" t="s">
        <v>13</v>
      </c>
      <c r="AA995" t="s">
        <v>4</v>
      </c>
      <c r="AB995" t="s">
        <v>6</v>
      </c>
      <c r="AC995" t="s">
        <v>7</v>
      </c>
      <c r="AD995" t="s">
        <v>8</v>
      </c>
      <c r="AE995" t="s">
        <v>6</v>
      </c>
      <c r="AF995" t="s">
        <v>3</v>
      </c>
      <c r="AG995" t="s">
        <v>3</v>
      </c>
      <c r="AH995" t="s">
        <v>3</v>
      </c>
      <c r="AI995" t="s">
        <v>3</v>
      </c>
      <c r="AJ995" t="s">
        <v>3</v>
      </c>
      <c r="AK995" t="s">
        <v>7</v>
      </c>
      <c r="AL995">
        <v>0</v>
      </c>
      <c r="AM995">
        <v>0</v>
      </c>
      <c r="AN995">
        <v>0</v>
      </c>
      <c r="AO995">
        <v>0</v>
      </c>
      <c r="AP995">
        <v>0</v>
      </c>
      <c r="AQ995" t="s">
        <v>9</v>
      </c>
      <c r="AR995" s="1">
        <v>6.0700747899999999E-6</v>
      </c>
      <c r="AS995" s="1">
        <v>3.4455839000000001E-28</v>
      </c>
      <c r="AT995">
        <v>29</v>
      </c>
      <c r="AU995" t="s">
        <v>10</v>
      </c>
      <c r="AV995">
        <v>0</v>
      </c>
      <c r="AW995">
        <v>2</v>
      </c>
      <c r="AX995">
        <v>0</v>
      </c>
      <c r="AY995">
        <v>1</v>
      </c>
      <c r="AZ995">
        <v>0</v>
      </c>
      <c r="BA995" t="s">
        <v>13</v>
      </c>
      <c r="BB995" t="s">
        <v>4</v>
      </c>
      <c r="BC995" t="s">
        <v>10</v>
      </c>
      <c r="BD995">
        <v>0</v>
      </c>
      <c r="BE995">
        <v>0</v>
      </c>
      <c r="BF995">
        <v>0</v>
      </c>
      <c r="BG995">
        <v>0</v>
      </c>
      <c r="BH995">
        <v>0</v>
      </c>
      <c r="BI995" t="s">
        <v>9</v>
      </c>
      <c r="BJ995">
        <v>0</v>
      </c>
      <c r="BK995">
        <v>6.0700000000000003E-6</v>
      </c>
      <c r="BL995">
        <v>0</v>
      </c>
      <c r="BM995" s="2">
        <f t="shared" si="15"/>
        <v>2.0749791384013119E-9</v>
      </c>
    </row>
    <row r="996" spans="1:65" x14ac:dyDescent="0.35">
      <c r="A996">
        <v>0</v>
      </c>
      <c r="B996" t="s">
        <v>11</v>
      </c>
      <c r="C996" t="s">
        <v>4</v>
      </c>
      <c r="D996">
        <v>0</v>
      </c>
      <c r="E996" t="s">
        <v>3</v>
      </c>
      <c r="F996" t="s">
        <v>5</v>
      </c>
      <c r="G996">
        <v>3896.142265</v>
      </c>
      <c r="H996" t="s">
        <v>4</v>
      </c>
      <c r="I996">
        <v>990.16341899999998</v>
      </c>
      <c r="J996">
        <v>2905.978846</v>
      </c>
      <c r="K996" t="s">
        <v>6</v>
      </c>
      <c r="L996" t="s">
        <v>7</v>
      </c>
      <c r="M996" t="s">
        <v>8</v>
      </c>
      <c r="N996" t="s">
        <v>6</v>
      </c>
      <c r="O996" t="s">
        <v>3</v>
      </c>
      <c r="P996" t="s">
        <v>3</v>
      </c>
      <c r="Q996" t="s">
        <v>3</v>
      </c>
      <c r="R996" t="s">
        <v>3</v>
      </c>
      <c r="S996" t="s">
        <v>11</v>
      </c>
      <c r="T996" t="s">
        <v>7</v>
      </c>
      <c r="U996">
        <v>1</v>
      </c>
      <c r="V996">
        <v>2</v>
      </c>
      <c r="W996">
        <v>0</v>
      </c>
      <c r="X996">
        <v>0</v>
      </c>
      <c r="Y996">
        <v>0</v>
      </c>
      <c r="Z996" t="s">
        <v>18</v>
      </c>
      <c r="AA996" t="s">
        <v>4</v>
      </c>
      <c r="AB996" t="s">
        <v>6</v>
      </c>
      <c r="AC996" t="s">
        <v>7</v>
      </c>
      <c r="AD996" t="s">
        <v>8</v>
      </c>
      <c r="AE996" t="s">
        <v>6</v>
      </c>
      <c r="AF996" t="s">
        <v>3</v>
      </c>
      <c r="AG996" t="s">
        <v>3</v>
      </c>
      <c r="AH996" t="s">
        <v>3</v>
      </c>
      <c r="AI996" t="s">
        <v>3</v>
      </c>
      <c r="AJ996" t="s">
        <v>3</v>
      </c>
      <c r="AK996" t="s">
        <v>7</v>
      </c>
      <c r="AL996">
        <v>0</v>
      </c>
      <c r="AM996">
        <v>0</v>
      </c>
      <c r="AN996">
        <v>0</v>
      </c>
      <c r="AO996">
        <v>0</v>
      </c>
      <c r="AP996">
        <v>0</v>
      </c>
      <c r="AQ996" t="s">
        <v>9</v>
      </c>
      <c r="AR996" s="1">
        <v>2.0054351699999999E-5</v>
      </c>
      <c r="AS996" s="1">
        <v>3.13997012E-27</v>
      </c>
      <c r="AT996">
        <v>43</v>
      </c>
      <c r="AU996" t="s">
        <v>10</v>
      </c>
      <c r="AV996">
        <v>1</v>
      </c>
      <c r="AW996">
        <v>2</v>
      </c>
      <c r="AX996">
        <v>0</v>
      </c>
      <c r="AY996">
        <v>0</v>
      </c>
      <c r="AZ996">
        <v>0</v>
      </c>
      <c r="BA996" t="s">
        <v>18</v>
      </c>
      <c r="BB996" t="s">
        <v>4</v>
      </c>
      <c r="BC996" t="s">
        <v>10</v>
      </c>
      <c r="BD996">
        <v>0</v>
      </c>
      <c r="BE996">
        <v>0</v>
      </c>
      <c r="BF996">
        <v>0</v>
      </c>
      <c r="BG996">
        <v>0</v>
      </c>
      <c r="BH996">
        <v>0</v>
      </c>
      <c r="BI996" t="s">
        <v>9</v>
      </c>
      <c r="BJ996">
        <v>0</v>
      </c>
      <c r="BK996">
        <v>-2.0049999999999999E-5</v>
      </c>
      <c r="BL996">
        <v>0</v>
      </c>
      <c r="BM996" s="2">
        <f t="shared" si="15"/>
        <v>1.8909342170432896E-8</v>
      </c>
    </row>
    <row r="997" spans="1:65" x14ac:dyDescent="0.35">
      <c r="A997">
        <v>0</v>
      </c>
      <c r="B997" t="s">
        <v>3</v>
      </c>
      <c r="C997" t="s">
        <v>4</v>
      </c>
      <c r="D997">
        <v>0</v>
      </c>
      <c r="E997" t="s">
        <v>3</v>
      </c>
      <c r="F997" t="s">
        <v>5</v>
      </c>
      <c r="G997">
        <v>2594.9287770000001</v>
      </c>
      <c r="H997" t="s">
        <v>4</v>
      </c>
      <c r="I997">
        <v>990.16341899999998</v>
      </c>
      <c r="J997">
        <v>1604.7653580000001</v>
      </c>
      <c r="K997" t="s">
        <v>6</v>
      </c>
      <c r="L997" t="s">
        <v>7</v>
      </c>
      <c r="M997" t="s">
        <v>8</v>
      </c>
      <c r="N997" t="s">
        <v>6</v>
      </c>
      <c r="O997" t="s">
        <v>3</v>
      </c>
      <c r="P997" t="s">
        <v>3</v>
      </c>
      <c r="Q997" t="s">
        <v>3</v>
      </c>
      <c r="R997" t="s">
        <v>3</v>
      </c>
      <c r="S997" t="s">
        <v>3</v>
      </c>
      <c r="T997" t="s">
        <v>7</v>
      </c>
      <c r="U997">
        <v>3</v>
      </c>
      <c r="V997">
        <v>0</v>
      </c>
      <c r="W997">
        <v>0</v>
      </c>
      <c r="X997">
        <v>0</v>
      </c>
      <c r="Y997">
        <v>0</v>
      </c>
      <c r="Z997" t="s">
        <v>8</v>
      </c>
      <c r="AA997" t="s">
        <v>4</v>
      </c>
      <c r="AB997" t="s">
        <v>6</v>
      </c>
      <c r="AC997" t="s">
        <v>7</v>
      </c>
      <c r="AD997" t="s">
        <v>8</v>
      </c>
      <c r="AE997" t="s">
        <v>6</v>
      </c>
      <c r="AF997" t="s">
        <v>3</v>
      </c>
      <c r="AG997" t="s">
        <v>3</v>
      </c>
      <c r="AH997" t="s">
        <v>3</v>
      </c>
      <c r="AI997" t="s">
        <v>3</v>
      </c>
      <c r="AJ997" t="s">
        <v>3</v>
      </c>
      <c r="AK997" t="s">
        <v>7</v>
      </c>
      <c r="AL997">
        <v>0</v>
      </c>
      <c r="AM997">
        <v>0</v>
      </c>
      <c r="AN997">
        <v>0</v>
      </c>
      <c r="AO997">
        <v>0</v>
      </c>
      <c r="AP997">
        <v>0</v>
      </c>
      <c r="AQ997" t="s">
        <v>9</v>
      </c>
      <c r="AR997" s="1">
        <v>1.4433583599999999E-3</v>
      </c>
      <c r="AS997" s="1">
        <v>8.9781850099999998E-24</v>
      </c>
      <c r="AT997">
        <v>43</v>
      </c>
      <c r="AU997" t="s">
        <v>10</v>
      </c>
      <c r="AV997">
        <v>3</v>
      </c>
      <c r="AW997">
        <v>0</v>
      </c>
      <c r="AX997">
        <v>0</v>
      </c>
      <c r="AY997">
        <v>0</v>
      </c>
      <c r="AZ997">
        <v>0</v>
      </c>
      <c r="BA997" t="s">
        <v>8</v>
      </c>
      <c r="BB997" t="s">
        <v>4</v>
      </c>
      <c r="BC997" t="s">
        <v>10</v>
      </c>
      <c r="BD997">
        <v>0</v>
      </c>
      <c r="BE997">
        <v>0</v>
      </c>
      <c r="BF997">
        <v>0</v>
      </c>
      <c r="BG997">
        <v>0</v>
      </c>
      <c r="BH997">
        <v>0</v>
      </c>
      <c r="BI997" t="s">
        <v>9</v>
      </c>
      <c r="BJ997">
        <v>-4.3729000000000001E-4</v>
      </c>
      <c r="BK997">
        <v>0</v>
      </c>
      <c r="BL997">
        <v>1.3755200000000001E-3</v>
      </c>
      <c r="BM997" s="2">
        <f t="shared" si="15"/>
        <v>5.4067894258669403E-5</v>
      </c>
    </row>
    <row r="998" spans="1:65" x14ac:dyDescent="0.35">
      <c r="A998">
        <v>0</v>
      </c>
      <c r="B998" t="s">
        <v>3</v>
      </c>
      <c r="C998" t="s">
        <v>4</v>
      </c>
      <c r="D998">
        <v>0</v>
      </c>
      <c r="E998" t="s">
        <v>3</v>
      </c>
      <c r="F998" t="s">
        <v>5</v>
      </c>
      <c r="G998">
        <v>3619.766552</v>
      </c>
      <c r="H998" t="s">
        <v>4</v>
      </c>
      <c r="I998">
        <v>990.16341899999998</v>
      </c>
      <c r="J998">
        <v>2629.6031330000001</v>
      </c>
      <c r="K998" t="s">
        <v>6</v>
      </c>
      <c r="L998" t="s">
        <v>7</v>
      </c>
      <c r="M998" t="s">
        <v>8</v>
      </c>
      <c r="N998" t="s">
        <v>6</v>
      </c>
      <c r="O998" t="s">
        <v>3</v>
      </c>
      <c r="P998" t="s">
        <v>3</v>
      </c>
      <c r="Q998" t="s">
        <v>3</v>
      </c>
      <c r="R998" t="s">
        <v>3</v>
      </c>
      <c r="S998" t="s">
        <v>3</v>
      </c>
      <c r="T998" t="s">
        <v>7</v>
      </c>
      <c r="U998">
        <v>0</v>
      </c>
      <c r="V998">
        <v>0</v>
      </c>
      <c r="W998">
        <v>0</v>
      </c>
      <c r="X998">
        <v>4</v>
      </c>
      <c r="Y998">
        <v>1</v>
      </c>
      <c r="Z998" t="s">
        <v>9</v>
      </c>
      <c r="AA998" t="s">
        <v>4</v>
      </c>
      <c r="AB998" t="s">
        <v>6</v>
      </c>
      <c r="AC998" t="s">
        <v>7</v>
      </c>
      <c r="AD998" t="s">
        <v>8</v>
      </c>
      <c r="AE998" t="s">
        <v>6</v>
      </c>
      <c r="AF998" t="s">
        <v>3</v>
      </c>
      <c r="AG998" t="s">
        <v>3</v>
      </c>
      <c r="AH998" t="s">
        <v>3</v>
      </c>
      <c r="AI998" t="s">
        <v>3</v>
      </c>
      <c r="AJ998" t="s">
        <v>3</v>
      </c>
      <c r="AK998" t="s">
        <v>7</v>
      </c>
      <c r="AL998">
        <v>0</v>
      </c>
      <c r="AM998">
        <v>0</v>
      </c>
      <c r="AN998">
        <v>0</v>
      </c>
      <c r="AO998">
        <v>0</v>
      </c>
      <c r="AP998">
        <v>0</v>
      </c>
      <c r="AQ998" t="s">
        <v>9</v>
      </c>
      <c r="AR998" s="1">
        <v>4.6775947199999999E-5</v>
      </c>
      <c r="AS998" s="1">
        <v>1.54578904E-26</v>
      </c>
      <c r="AT998">
        <v>43</v>
      </c>
      <c r="AU998" t="s">
        <v>10</v>
      </c>
      <c r="AV998">
        <v>0</v>
      </c>
      <c r="AW998">
        <v>0</v>
      </c>
      <c r="AX998">
        <v>0</v>
      </c>
      <c r="AY998">
        <v>4</v>
      </c>
      <c r="AZ998">
        <v>1</v>
      </c>
      <c r="BA998" t="s">
        <v>9</v>
      </c>
      <c r="BB998" t="s">
        <v>4</v>
      </c>
      <c r="BC998" t="s">
        <v>10</v>
      </c>
      <c r="BD998">
        <v>0</v>
      </c>
      <c r="BE998">
        <v>0</v>
      </c>
      <c r="BF998">
        <v>0</v>
      </c>
      <c r="BG998">
        <v>0</v>
      </c>
      <c r="BH998">
        <v>0</v>
      </c>
      <c r="BI998" t="s">
        <v>9</v>
      </c>
      <c r="BJ998">
        <v>-1.562E-5</v>
      </c>
      <c r="BK998">
        <v>0</v>
      </c>
      <c r="BL998">
        <v>4.409E-5</v>
      </c>
      <c r="BM998" s="2">
        <f t="shared" si="15"/>
        <v>9.308959245976833E-8</v>
      </c>
    </row>
    <row r="999" spans="1:65" x14ac:dyDescent="0.35">
      <c r="A999">
        <v>0</v>
      </c>
      <c r="B999" t="s">
        <v>3</v>
      </c>
      <c r="C999" t="s">
        <v>4</v>
      </c>
      <c r="D999">
        <v>0</v>
      </c>
      <c r="E999" t="s">
        <v>3</v>
      </c>
      <c r="F999" t="s">
        <v>5</v>
      </c>
      <c r="G999">
        <v>3980.0874829999998</v>
      </c>
      <c r="H999" t="s">
        <v>4</v>
      </c>
      <c r="I999">
        <v>990.16341899999998</v>
      </c>
      <c r="J999">
        <v>2989.9240639999998</v>
      </c>
      <c r="K999" t="s">
        <v>6</v>
      </c>
      <c r="L999" t="s">
        <v>7</v>
      </c>
      <c r="M999" t="s">
        <v>8</v>
      </c>
      <c r="N999" t="s">
        <v>6</v>
      </c>
      <c r="O999" t="s">
        <v>3</v>
      </c>
      <c r="P999" t="s">
        <v>3</v>
      </c>
      <c r="Q999" t="s">
        <v>3</v>
      </c>
      <c r="R999" t="s">
        <v>3</v>
      </c>
      <c r="S999" t="s">
        <v>3</v>
      </c>
      <c r="T999" t="s">
        <v>7</v>
      </c>
      <c r="U999">
        <v>1</v>
      </c>
      <c r="V999">
        <v>1</v>
      </c>
      <c r="W999">
        <v>0</v>
      </c>
      <c r="X999">
        <v>0</v>
      </c>
      <c r="Y999">
        <v>0</v>
      </c>
      <c r="Z999" t="s">
        <v>21</v>
      </c>
      <c r="AA999" t="s">
        <v>4</v>
      </c>
      <c r="AB999" t="s">
        <v>6</v>
      </c>
      <c r="AC999" t="s">
        <v>7</v>
      </c>
      <c r="AD999" t="s">
        <v>8</v>
      </c>
      <c r="AE999" t="s">
        <v>6</v>
      </c>
      <c r="AF999" t="s">
        <v>3</v>
      </c>
      <c r="AG999" t="s">
        <v>3</v>
      </c>
      <c r="AH999" t="s">
        <v>3</v>
      </c>
      <c r="AI999" t="s">
        <v>3</v>
      </c>
      <c r="AJ999" t="s">
        <v>3</v>
      </c>
      <c r="AK999" t="s">
        <v>7</v>
      </c>
      <c r="AL999">
        <v>0</v>
      </c>
      <c r="AM999">
        <v>0</v>
      </c>
      <c r="AN999">
        <v>0</v>
      </c>
      <c r="AO999">
        <v>0</v>
      </c>
      <c r="AP999">
        <v>0</v>
      </c>
      <c r="AQ999" t="s">
        <v>9</v>
      </c>
      <c r="AR999" s="1">
        <v>3.1557641100000001E-4</v>
      </c>
      <c r="AS999" s="1">
        <v>7.9999109500000001E-25</v>
      </c>
      <c r="AT999">
        <v>43</v>
      </c>
      <c r="AU999" t="s">
        <v>10</v>
      </c>
      <c r="AV999">
        <v>1</v>
      </c>
      <c r="AW999">
        <v>1</v>
      </c>
      <c r="AX999">
        <v>0</v>
      </c>
      <c r="AY999">
        <v>0</v>
      </c>
      <c r="AZ999">
        <v>0</v>
      </c>
      <c r="BA999" t="s">
        <v>21</v>
      </c>
      <c r="BB999" t="s">
        <v>4</v>
      </c>
      <c r="BC999" t="s">
        <v>10</v>
      </c>
      <c r="BD999">
        <v>0</v>
      </c>
      <c r="BE999">
        <v>0</v>
      </c>
      <c r="BF999">
        <v>0</v>
      </c>
      <c r="BG999">
        <v>0</v>
      </c>
      <c r="BH999">
        <v>0</v>
      </c>
      <c r="BI999" t="s">
        <v>9</v>
      </c>
      <c r="BJ999">
        <v>-3.1381999999999997E-4</v>
      </c>
      <c r="BK999">
        <v>0</v>
      </c>
      <c r="BL999">
        <v>3.328E-5</v>
      </c>
      <c r="BM999" s="2">
        <f t="shared" si="15"/>
        <v>4.8176590128361761E-6</v>
      </c>
    </row>
    <row r="1000" spans="1:65" x14ac:dyDescent="0.35">
      <c r="A1000">
        <v>0</v>
      </c>
      <c r="B1000" t="s">
        <v>11</v>
      </c>
      <c r="C1000" t="s">
        <v>4</v>
      </c>
      <c r="D1000">
        <v>0</v>
      </c>
      <c r="E1000" t="s">
        <v>3</v>
      </c>
      <c r="F1000" t="s">
        <v>5</v>
      </c>
      <c r="G1000">
        <v>2913.0517300000001</v>
      </c>
      <c r="H1000" t="s">
        <v>4</v>
      </c>
      <c r="I1000">
        <v>990.16341899999998</v>
      </c>
      <c r="J1000">
        <v>1922.8883109999999</v>
      </c>
      <c r="K1000" t="s">
        <v>6</v>
      </c>
      <c r="L1000" t="s">
        <v>7</v>
      </c>
      <c r="M1000" t="s">
        <v>8</v>
      </c>
      <c r="N1000" t="s">
        <v>6</v>
      </c>
      <c r="O1000" t="s">
        <v>3</v>
      </c>
      <c r="P1000" t="s">
        <v>3</v>
      </c>
      <c r="Q1000" t="s">
        <v>3</v>
      </c>
      <c r="R1000" t="s">
        <v>3</v>
      </c>
      <c r="S1000" t="s">
        <v>11</v>
      </c>
      <c r="T1000" t="s">
        <v>7</v>
      </c>
      <c r="U1000">
        <v>0</v>
      </c>
      <c r="V1000">
        <v>0</v>
      </c>
      <c r="W1000">
        <v>0</v>
      </c>
      <c r="X1000">
        <v>0</v>
      </c>
      <c r="Y1000">
        <v>0</v>
      </c>
      <c r="Z1000" t="s">
        <v>16</v>
      </c>
      <c r="AA1000" t="s">
        <v>4</v>
      </c>
      <c r="AB1000" t="s">
        <v>6</v>
      </c>
      <c r="AC1000" t="s">
        <v>7</v>
      </c>
      <c r="AD1000" t="s">
        <v>8</v>
      </c>
      <c r="AE1000" t="s">
        <v>6</v>
      </c>
      <c r="AF1000" t="s">
        <v>3</v>
      </c>
      <c r="AG1000" t="s">
        <v>3</v>
      </c>
      <c r="AH1000" t="s">
        <v>3</v>
      </c>
      <c r="AI1000" t="s">
        <v>3</v>
      </c>
      <c r="AJ1000" t="s">
        <v>3</v>
      </c>
      <c r="AK1000" t="s">
        <v>7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 t="s">
        <v>9</v>
      </c>
      <c r="AR1000" s="1">
        <v>6.3645549300000005E-4</v>
      </c>
      <c r="AS1000" s="1">
        <v>2.0925023100000002E-24</v>
      </c>
      <c r="AT1000">
        <v>43</v>
      </c>
      <c r="AU1000" t="s">
        <v>10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 t="s">
        <v>16</v>
      </c>
      <c r="BB1000" t="s">
        <v>4</v>
      </c>
      <c r="BC1000" t="s">
        <v>10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 t="s">
        <v>9</v>
      </c>
      <c r="BJ1000">
        <v>0</v>
      </c>
      <c r="BK1000">
        <v>6.3646000000000004E-4</v>
      </c>
      <c r="BL1000">
        <v>0</v>
      </c>
      <c r="BM1000" s="2">
        <f t="shared" si="15"/>
        <v>1.260134353514525E-5</v>
      </c>
    </row>
    <row r="1001" spans="1:65" x14ac:dyDescent="0.35">
      <c r="A1001">
        <v>0</v>
      </c>
      <c r="B1001" t="s">
        <v>11</v>
      </c>
      <c r="C1001" t="s">
        <v>4</v>
      </c>
      <c r="D1001">
        <v>0</v>
      </c>
      <c r="E1001" t="s">
        <v>3</v>
      </c>
      <c r="F1001" t="s">
        <v>5</v>
      </c>
      <c r="G1001">
        <v>4472.8173539999998</v>
      </c>
      <c r="H1001" t="s">
        <v>4</v>
      </c>
      <c r="I1001">
        <v>990.16341899999998</v>
      </c>
      <c r="J1001">
        <v>3482.6539349999998</v>
      </c>
      <c r="K1001" t="s">
        <v>6</v>
      </c>
      <c r="L1001" t="s">
        <v>7</v>
      </c>
      <c r="M1001" t="s">
        <v>8</v>
      </c>
      <c r="N1001" t="s">
        <v>6</v>
      </c>
      <c r="O1001" t="s">
        <v>3</v>
      </c>
      <c r="P1001" t="s">
        <v>3</v>
      </c>
      <c r="Q1001" t="s">
        <v>3</v>
      </c>
      <c r="R1001" t="s">
        <v>3</v>
      </c>
      <c r="S1001" t="s">
        <v>11</v>
      </c>
      <c r="T1001" t="s">
        <v>7</v>
      </c>
      <c r="U1001">
        <v>0</v>
      </c>
      <c r="V1001">
        <v>2</v>
      </c>
      <c r="W1001">
        <v>0</v>
      </c>
      <c r="X1001">
        <v>1</v>
      </c>
      <c r="Y1001">
        <v>0</v>
      </c>
      <c r="Z1001" t="s">
        <v>13</v>
      </c>
      <c r="AA1001" t="s">
        <v>4</v>
      </c>
      <c r="AB1001" t="s">
        <v>6</v>
      </c>
      <c r="AC1001" t="s">
        <v>7</v>
      </c>
      <c r="AD1001" t="s">
        <v>8</v>
      </c>
      <c r="AE1001" t="s">
        <v>6</v>
      </c>
      <c r="AF1001" t="s">
        <v>3</v>
      </c>
      <c r="AG1001" t="s">
        <v>3</v>
      </c>
      <c r="AH1001" t="s">
        <v>3</v>
      </c>
      <c r="AI1001" t="s">
        <v>3</v>
      </c>
      <c r="AJ1001" t="s">
        <v>3</v>
      </c>
      <c r="AK1001" t="s">
        <v>7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 t="s">
        <v>9</v>
      </c>
      <c r="AR1001" s="1">
        <v>8.2259376500000003E-6</v>
      </c>
      <c r="AS1001" s="1">
        <v>6.3313641100000004E-28</v>
      </c>
      <c r="AT1001">
        <v>30</v>
      </c>
      <c r="AU1001" t="s">
        <v>10</v>
      </c>
      <c r="AV1001">
        <v>0</v>
      </c>
      <c r="AW1001">
        <v>2</v>
      </c>
      <c r="AX1001">
        <v>0</v>
      </c>
      <c r="AY1001">
        <v>1</v>
      </c>
      <c r="AZ1001">
        <v>0</v>
      </c>
      <c r="BA1001" t="s">
        <v>13</v>
      </c>
      <c r="BB1001" t="s">
        <v>4</v>
      </c>
      <c r="BC1001" t="s">
        <v>10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 t="s">
        <v>9</v>
      </c>
      <c r="BJ1001">
        <v>0</v>
      </c>
      <c r="BK1001">
        <v>8.2300000000000008E-6</v>
      </c>
      <c r="BL1001">
        <v>0</v>
      </c>
      <c r="BM1001" s="2">
        <f t="shared" si="15"/>
        <v>3.8128366126486694E-9</v>
      </c>
    </row>
    <row r="1002" spans="1:65" x14ac:dyDescent="0.35">
      <c r="A1002">
        <v>0</v>
      </c>
      <c r="B1002" t="s">
        <v>3</v>
      </c>
      <c r="C1002" t="s">
        <v>4</v>
      </c>
      <c r="D1002">
        <v>0</v>
      </c>
      <c r="E1002" t="s">
        <v>3</v>
      </c>
      <c r="F1002" t="s">
        <v>5</v>
      </c>
      <c r="G1002">
        <v>4474.2892140000004</v>
      </c>
      <c r="H1002" t="s">
        <v>4</v>
      </c>
      <c r="I1002">
        <v>990.16341899999998</v>
      </c>
      <c r="J1002">
        <v>3484.1257949999999</v>
      </c>
      <c r="K1002" t="s">
        <v>6</v>
      </c>
      <c r="L1002" t="s">
        <v>7</v>
      </c>
      <c r="M1002" t="s">
        <v>8</v>
      </c>
      <c r="N1002" t="s">
        <v>6</v>
      </c>
      <c r="O1002" t="s">
        <v>3</v>
      </c>
      <c r="P1002" t="s">
        <v>3</v>
      </c>
      <c r="Q1002" t="s">
        <v>3</v>
      </c>
      <c r="R1002" t="s">
        <v>3</v>
      </c>
      <c r="S1002" t="s">
        <v>3</v>
      </c>
      <c r="T1002" t="s">
        <v>7</v>
      </c>
      <c r="U1002">
        <v>0</v>
      </c>
      <c r="V1002">
        <v>0</v>
      </c>
      <c r="W1002">
        <v>0</v>
      </c>
      <c r="X1002">
        <v>0</v>
      </c>
      <c r="Y1002">
        <v>1</v>
      </c>
      <c r="Z1002" t="s">
        <v>17</v>
      </c>
      <c r="AA1002" t="s">
        <v>4</v>
      </c>
      <c r="AB1002" t="s">
        <v>6</v>
      </c>
      <c r="AC1002" t="s">
        <v>7</v>
      </c>
      <c r="AD1002" t="s">
        <v>8</v>
      </c>
      <c r="AE1002" t="s">
        <v>6</v>
      </c>
      <c r="AF1002" t="s">
        <v>3</v>
      </c>
      <c r="AG1002" t="s">
        <v>3</v>
      </c>
      <c r="AH1002" t="s">
        <v>3</v>
      </c>
      <c r="AI1002" t="s">
        <v>3</v>
      </c>
      <c r="AJ1002" t="s">
        <v>3</v>
      </c>
      <c r="AK1002" t="s">
        <v>7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 t="s">
        <v>9</v>
      </c>
      <c r="AR1002" s="1">
        <v>3.17732519E-5</v>
      </c>
      <c r="AS1002" s="1">
        <v>9.4500324699999996E-27</v>
      </c>
      <c r="AT1002">
        <v>31</v>
      </c>
      <c r="AU1002" t="s">
        <v>10</v>
      </c>
      <c r="AV1002">
        <v>0</v>
      </c>
      <c r="AW1002">
        <v>0</v>
      </c>
      <c r="AX1002">
        <v>0</v>
      </c>
      <c r="AY1002">
        <v>0</v>
      </c>
      <c r="AZ1002">
        <v>1</v>
      </c>
      <c r="BA1002" t="s">
        <v>17</v>
      </c>
      <c r="BB1002" t="s">
        <v>4</v>
      </c>
      <c r="BC1002" t="s">
        <v>10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 t="s">
        <v>9</v>
      </c>
      <c r="BJ1002">
        <v>-1.8790000000000001E-5</v>
      </c>
      <c r="BK1002">
        <v>0</v>
      </c>
      <c r="BL1002">
        <v>-2.5619999999999999E-5</v>
      </c>
      <c r="BM1002" s="2">
        <f t="shared" si="15"/>
        <v>5.690942609891177E-8</v>
      </c>
    </row>
    <row r="1003" spans="1:65" x14ac:dyDescent="0.35">
      <c r="A1003">
        <v>0</v>
      </c>
      <c r="B1003" t="s">
        <v>3</v>
      </c>
      <c r="C1003" t="s">
        <v>4</v>
      </c>
      <c r="D1003">
        <v>0</v>
      </c>
      <c r="E1003" t="s">
        <v>3</v>
      </c>
      <c r="F1003" t="s">
        <v>5</v>
      </c>
      <c r="G1003">
        <v>4475.7385830000003</v>
      </c>
      <c r="H1003" t="s">
        <v>4</v>
      </c>
      <c r="I1003">
        <v>990.16341899999998</v>
      </c>
      <c r="J1003">
        <v>3485.5751639999999</v>
      </c>
      <c r="K1003" t="s">
        <v>6</v>
      </c>
      <c r="L1003" t="s">
        <v>7</v>
      </c>
      <c r="M1003" t="s">
        <v>8</v>
      </c>
      <c r="N1003" t="s">
        <v>6</v>
      </c>
      <c r="O1003" t="s">
        <v>3</v>
      </c>
      <c r="P1003" t="s">
        <v>3</v>
      </c>
      <c r="Q1003" t="s">
        <v>3</v>
      </c>
      <c r="R1003" t="s">
        <v>3</v>
      </c>
      <c r="S1003" t="s">
        <v>3</v>
      </c>
      <c r="T1003" t="s">
        <v>7</v>
      </c>
      <c r="U1003">
        <v>0</v>
      </c>
      <c r="V1003">
        <v>2</v>
      </c>
      <c r="W1003">
        <v>0</v>
      </c>
      <c r="X1003">
        <v>0</v>
      </c>
      <c r="Y1003">
        <v>1</v>
      </c>
      <c r="Z1003" t="s">
        <v>9</v>
      </c>
      <c r="AA1003" t="s">
        <v>4</v>
      </c>
      <c r="AB1003" t="s">
        <v>6</v>
      </c>
      <c r="AC1003" t="s">
        <v>7</v>
      </c>
      <c r="AD1003" t="s">
        <v>8</v>
      </c>
      <c r="AE1003" t="s">
        <v>6</v>
      </c>
      <c r="AF1003" t="s">
        <v>3</v>
      </c>
      <c r="AG1003" t="s">
        <v>3</v>
      </c>
      <c r="AH1003" t="s">
        <v>3</v>
      </c>
      <c r="AI1003" t="s">
        <v>3</v>
      </c>
      <c r="AJ1003" t="s">
        <v>3</v>
      </c>
      <c r="AK1003" t="s">
        <v>7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 t="s">
        <v>9</v>
      </c>
      <c r="AR1003" s="1">
        <v>1.4093472199999999E-4</v>
      </c>
      <c r="AS1003" s="1">
        <v>1.8600584899999999E-25</v>
      </c>
      <c r="AT1003">
        <v>32</v>
      </c>
      <c r="AU1003" t="s">
        <v>10</v>
      </c>
      <c r="AV1003">
        <v>0</v>
      </c>
      <c r="AW1003">
        <v>2</v>
      </c>
      <c r="AX1003">
        <v>0</v>
      </c>
      <c r="AY1003">
        <v>0</v>
      </c>
      <c r="AZ1003">
        <v>1</v>
      </c>
      <c r="BA1003" t="s">
        <v>9</v>
      </c>
      <c r="BB1003" t="s">
        <v>4</v>
      </c>
      <c r="BC1003" t="s">
        <v>10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 t="s">
        <v>9</v>
      </c>
      <c r="BJ1003">
        <v>-1.3967E-4</v>
      </c>
      <c r="BK1003">
        <v>0</v>
      </c>
      <c r="BL1003">
        <v>-1.8830000000000001E-5</v>
      </c>
      <c r="BM1003" s="2">
        <f t="shared" si="15"/>
        <v>1.1201534123015391E-6</v>
      </c>
    </row>
    <row r="1004" spans="1:65" x14ac:dyDescent="0.35">
      <c r="A1004">
        <v>0</v>
      </c>
      <c r="B1004" t="s">
        <v>3</v>
      </c>
      <c r="C1004" t="s">
        <v>4</v>
      </c>
      <c r="D1004">
        <v>0</v>
      </c>
      <c r="E1004" t="s">
        <v>3</v>
      </c>
      <c r="F1004" t="s">
        <v>5</v>
      </c>
      <c r="G1004">
        <v>4477.1847289999996</v>
      </c>
      <c r="H1004" t="s">
        <v>4</v>
      </c>
      <c r="I1004">
        <v>990.16341899999998</v>
      </c>
      <c r="J1004">
        <v>3487.0213100000001</v>
      </c>
      <c r="K1004" t="s">
        <v>6</v>
      </c>
      <c r="L1004" t="s">
        <v>7</v>
      </c>
      <c r="M1004" t="s">
        <v>8</v>
      </c>
      <c r="N1004" t="s">
        <v>6</v>
      </c>
      <c r="O1004" t="s">
        <v>3</v>
      </c>
      <c r="P1004" t="s">
        <v>3</v>
      </c>
      <c r="Q1004" t="s">
        <v>3</v>
      </c>
      <c r="R1004" t="s">
        <v>3</v>
      </c>
      <c r="S1004" t="s">
        <v>3</v>
      </c>
      <c r="T1004" t="s">
        <v>7</v>
      </c>
      <c r="U1004">
        <v>0</v>
      </c>
      <c r="V1004">
        <v>1</v>
      </c>
      <c r="W1004">
        <v>0</v>
      </c>
      <c r="X1004">
        <v>1</v>
      </c>
      <c r="Y1004">
        <v>0</v>
      </c>
      <c r="Z1004" t="s">
        <v>22</v>
      </c>
      <c r="AA1004" t="s">
        <v>4</v>
      </c>
      <c r="AB1004" t="s">
        <v>6</v>
      </c>
      <c r="AC1004" t="s">
        <v>7</v>
      </c>
      <c r="AD1004" t="s">
        <v>8</v>
      </c>
      <c r="AE1004" t="s">
        <v>6</v>
      </c>
      <c r="AF1004" t="s">
        <v>3</v>
      </c>
      <c r="AG1004" t="s">
        <v>3</v>
      </c>
      <c r="AH1004" t="s">
        <v>3</v>
      </c>
      <c r="AI1004" t="s">
        <v>3</v>
      </c>
      <c r="AJ1004" t="s">
        <v>3</v>
      </c>
      <c r="AK1004" t="s">
        <v>7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 t="s">
        <v>9</v>
      </c>
      <c r="AR1004" s="1">
        <v>3.6552345699999997E-5</v>
      </c>
      <c r="AS1004" s="1">
        <v>1.25170287E-26</v>
      </c>
      <c r="AT1004">
        <v>33</v>
      </c>
      <c r="AU1004" t="s">
        <v>10</v>
      </c>
      <c r="AV1004">
        <v>0</v>
      </c>
      <c r="AW1004">
        <v>1</v>
      </c>
      <c r="AX1004">
        <v>0</v>
      </c>
      <c r="AY1004">
        <v>1</v>
      </c>
      <c r="AZ1004">
        <v>0</v>
      </c>
      <c r="BA1004" t="s">
        <v>22</v>
      </c>
      <c r="BB1004" t="s">
        <v>4</v>
      </c>
      <c r="BC1004" t="s">
        <v>10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 t="s">
        <v>9</v>
      </c>
      <c r="BJ1004">
        <v>3.6069999999999999E-5</v>
      </c>
      <c r="BK1004">
        <v>0</v>
      </c>
      <c r="BL1004">
        <v>5.9100000000000002E-6</v>
      </c>
      <c r="BM1004" s="2">
        <f t="shared" si="15"/>
        <v>7.537930922904095E-8</v>
      </c>
    </row>
    <row r="1005" spans="1:65" x14ac:dyDescent="0.35">
      <c r="A1005">
        <v>0</v>
      </c>
      <c r="B1005" t="s">
        <v>11</v>
      </c>
      <c r="C1005" t="s">
        <v>4</v>
      </c>
      <c r="D1005">
        <v>0</v>
      </c>
      <c r="E1005" t="s">
        <v>3</v>
      </c>
      <c r="F1005" t="s">
        <v>5</v>
      </c>
      <c r="G1005">
        <v>4478.0061990000004</v>
      </c>
      <c r="H1005" t="s">
        <v>4</v>
      </c>
      <c r="I1005">
        <v>990.16341899999998</v>
      </c>
      <c r="J1005">
        <v>3487.8427799999999</v>
      </c>
      <c r="K1005" t="s">
        <v>6</v>
      </c>
      <c r="L1005" t="s">
        <v>7</v>
      </c>
      <c r="M1005" t="s">
        <v>8</v>
      </c>
      <c r="N1005" t="s">
        <v>6</v>
      </c>
      <c r="O1005" t="s">
        <v>3</v>
      </c>
      <c r="P1005" t="s">
        <v>3</v>
      </c>
      <c r="Q1005" t="s">
        <v>3</v>
      </c>
      <c r="R1005" t="s">
        <v>3</v>
      </c>
      <c r="S1005" t="s">
        <v>11</v>
      </c>
      <c r="T1005" t="s">
        <v>7</v>
      </c>
      <c r="U1005">
        <v>2</v>
      </c>
      <c r="V1005">
        <v>0</v>
      </c>
      <c r="W1005">
        <v>0</v>
      </c>
      <c r="X1005">
        <v>1</v>
      </c>
      <c r="Y1005">
        <v>1</v>
      </c>
      <c r="Z1005" t="s">
        <v>14</v>
      </c>
      <c r="AA1005" t="s">
        <v>4</v>
      </c>
      <c r="AB1005" t="s">
        <v>6</v>
      </c>
      <c r="AC1005" t="s">
        <v>7</v>
      </c>
      <c r="AD1005" t="s">
        <v>8</v>
      </c>
      <c r="AE1005" t="s">
        <v>6</v>
      </c>
      <c r="AF1005" t="s">
        <v>3</v>
      </c>
      <c r="AG1005" t="s">
        <v>3</v>
      </c>
      <c r="AH1005" t="s">
        <v>3</v>
      </c>
      <c r="AI1005" t="s">
        <v>3</v>
      </c>
      <c r="AJ1005" t="s">
        <v>3</v>
      </c>
      <c r="AK1005" t="s">
        <v>7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 t="s">
        <v>9</v>
      </c>
      <c r="AR1005" s="1">
        <v>1.7095085299999999E-5</v>
      </c>
      <c r="AS1005" s="1">
        <v>2.7385179299999999E-27</v>
      </c>
      <c r="AT1005">
        <v>34</v>
      </c>
      <c r="AU1005" t="s">
        <v>10</v>
      </c>
      <c r="AV1005">
        <v>2</v>
      </c>
      <c r="AW1005">
        <v>0</v>
      </c>
      <c r="AX1005">
        <v>0</v>
      </c>
      <c r="AY1005">
        <v>1</v>
      </c>
      <c r="AZ1005">
        <v>1</v>
      </c>
      <c r="BA1005" t="s">
        <v>14</v>
      </c>
      <c r="BB1005" t="s">
        <v>4</v>
      </c>
      <c r="BC1005" t="s">
        <v>10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 t="s">
        <v>9</v>
      </c>
      <c r="BJ1005">
        <v>0</v>
      </c>
      <c r="BK1005">
        <v>1.7099999999999999E-5</v>
      </c>
      <c r="BL1005">
        <v>0</v>
      </c>
      <c r="BM1005" s="2">
        <f t="shared" si="15"/>
        <v>1.6491740557784543E-8</v>
      </c>
    </row>
    <row r="1006" spans="1:65" x14ac:dyDescent="0.35">
      <c r="A1006">
        <v>0</v>
      </c>
      <c r="B1006" t="s">
        <v>3</v>
      </c>
      <c r="C1006" t="s">
        <v>4</v>
      </c>
      <c r="D1006">
        <v>0</v>
      </c>
      <c r="E1006" t="s">
        <v>3</v>
      </c>
      <c r="F1006" t="s">
        <v>5</v>
      </c>
      <c r="G1006">
        <v>4483.6509070000002</v>
      </c>
      <c r="H1006" t="s">
        <v>4</v>
      </c>
      <c r="I1006">
        <v>990.16341899999998</v>
      </c>
      <c r="J1006">
        <v>3493.4874880000002</v>
      </c>
      <c r="K1006" t="s">
        <v>6</v>
      </c>
      <c r="L1006" t="s">
        <v>7</v>
      </c>
      <c r="M1006" t="s">
        <v>8</v>
      </c>
      <c r="N1006" t="s">
        <v>6</v>
      </c>
      <c r="O1006" t="s">
        <v>3</v>
      </c>
      <c r="P1006" t="s">
        <v>3</v>
      </c>
      <c r="Q1006" t="s">
        <v>3</v>
      </c>
      <c r="R1006" t="s">
        <v>3</v>
      </c>
      <c r="S1006" t="s">
        <v>3</v>
      </c>
      <c r="T1006" t="s">
        <v>7</v>
      </c>
      <c r="U1006">
        <v>0</v>
      </c>
      <c r="V1006">
        <v>0</v>
      </c>
      <c r="W1006">
        <v>0</v>
      </c>
      <c r="X1006">
        <v>8</v>
      </c>
      <c r="Y1006">
        <v>0</v>
      </c>
      <c r="Z1006" t="s">
        <v>15</v>
      </c>
      <c r="AA1006" t="s">
        <v>4</v>
      </c>
      <c r="AB1006" t="s">
        <v>6</v>
      </c>
      <c r="AC1006" t="s">
        <v>7</v>
      </c>
      <c r="AD1006" t="s">
        <v>8</v>
      </c>
      <c r="AE1006" t="s">
        <v>6</v>
      </c>
      <c r="AF1006" t="s">
        <v>3</v>
      </c>
      <c r="AG1006" t="s">
        <v>3</v>
      </c>
      <c r="AH1006" t="s">
        <v>3</v>
      </c>
      <c r="AI1006" t="s">
        <v>3</v>
      </c>
      <c r="AJ1006" t="s">
        <v>3</v>
      </c>
      <c r="AK1006" t="s">
        <v>7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 t="s">
        <v>9</v>
      </c>
      <c r="AR1006" s="1">
        <v>4.8414700800000002E-5</v>
      </c>
      <c r="AS1006" s="1">
        <v>2.20003626E-26</v>
      </c>
      <c r="AT1006">
        <v>35</v>
      </c>
      <c r="AU1006" t="s">
        <v>10</v>
      </c>
      <c r="AV1006">
        <v>0</v>
      </c>
      <c r="AW1006">
        <v>0</v>
      </c>
      <c r="AX1006">
        <v>0</v>
      </c>
      <c r="AY1006">
        <v>8</v>
      </c>
      <c r="AZ1006">
        <v>0</v>
      </c>
      <c r="BA1006" t="s">
        <v>15</v>
      </c>
      <c r="BB1006" t="s">
        <v>4</v>
      </c>
      <c r="BC1006" t="s">
        <v>10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 t="s">
        <v>9</v>
      </c>
      <c r="BJ1006">
        <v>4.3779999999999998E-5</v>
      </c>
      <c r="BK1006">
        <v>0</v>
      </c>
      <c r="BL1006">
        <v>-2.0659999999999999E-5</v>
      </c>
      <c r="BM1006" s="2">
        <f t="shared" si="15"/>
        <v>1.3248928122825407E-7</v>
      </c>
    </row>
    <row r="1007" spans="1:65" x14ac:dyDescent="0.35">
      <c r="A1007">
        <v>0</v>
      </c>
      <c r="B1007" t="s">
        <v>3</v>
      </c>
      <c r="C1007" t="s">
        <v>4</v>
      </c>
      <c r="D1007">
        <v>0</v>
      </c>
      <c r="E1007" t="s">
        <v>3</v>
      </c>
      <c r="F1007" t="s">
        <v>5</v>
      </c>
      <c r="G1007">
        <v>4485.0726139999997</v>
      </c>
      <c r="H1007" t="s">
        <v>4</v>
      </c>
      <c r="I1007">
        <v>990.16341899999998</v>
      </c>
      <c r="J1007">
        <v>3494.9091950000002</v>
      </c>
      <c r="K1007" t="s">
        <v>6</v>
      </c>
      <c r="L1007" t="s">
        <v>7</v>
      </c>
      <c r="M1007" t="s">
        <v>8</v>
      </c>
      <c r="N1007" t="s">
        <v>6</v>
      </c>
      <c r="O1007" t="s">
        <v>3</v>
      </c>
      <c r="P1007" t="s">
        <v>3</v>
      </c>
      <c r="Q1007" t="s">
        <v>3</v>
      </c>
      <c r="R1007" t="s">
        <v>3</v>
      </c>
      <c r="S1007" t="s">
        <v>3</v>
      </c>
      <c r="T1007" t="s">
        <v>7</v>
      </c>
      <c r="U1007">
        <v>0</v>
      </c>
      <c r="V1007">
        <v>0</v>
      </c>
      <c r="W1007">
        <v>0</v>
      </c>
      <c r="X1007">
        <v>1</v>
      </c>
      <c r="Y1007">
        <v>2</v>
      </c>
      <c r="Z1007" t="s">
        <v>24</v>
      </c>
      <c r="AA1007" t="s">
        <v>4</v>
      </c>
      <c r="AB1007" t="s">
        <v>6</v>
      </c>
      <c r="AC1007" t="s">
        <v>7</v>
      </c>
      <c r="AD1007" t="s">
        <v>8</v>
      </c>
      <c r="AE1007" t="s">
        <v>6</v>
      </c>
      <c r="AF1007" t="s">
        <v>3</v>
      </c>
      <c r="AG1007" t="s">
        <v>3</v>
      </c>
      <c r="AH1007" t="s">
        <v>3</v>
      </c>
      <c r="AI1007" t="s">
        <v>3</v>
      </c>
      <c r="AJ1007" t="s">
        <v>3</v>
      </c>
      <c r="AK1007" t="s">
        <v>7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 t="s">
        <v>9</v>
      </c>
      <c r="AR1007" s="1">
        <v>2.07345223E-4</v>
      </c>
      <c r="AS1007" s="1">
        <v>4.03682673E-25</v>
      </c>
      <c r="AT1007">
        <v>36</v>
      </c>
      <c r="AU1007" t="s">
        <v>10</v>
      </c>
      <c r="AV1007">
        <v>0</v>
      </c>
      <c r="AW1007">
        <v>0</v>
      </c>
      <c r="AX1007">
        <v>0</v>
      </c>
      <c r="AY1007">
        <v>1</v>
      </c>
      <c r="AZ1007">
        <v>2</v>
      </c>
      <c r="BA1007" t="s">
        <v>24</v>
      </c>
      <c r="BB1007" t="s">
        <v>4</v>
      </c>
      <c r="BC1007" t="s">
        <v>10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 t="s">
        <v>9</v>
      </c>
      <c r="BJ1007">
        <v>1.8833000000000001E-4</v>
      </c>
      <c r="BK1007">
        <v>0</v>
      </c>
      <c r="BL1007">
        <v>-8.674E-5</v>
      </c>
      <c r="BM1007" s="2">
        <f t="shared" si="15"/>
        <v>2.4310338953263579E-6</v>
      </c>
    </row>
    <row r="1008" spans="1:65" x14ac:dyDescent="0.35">
      <c r="A1008">
        <v>0</v>
      </c>
      <c r="B1008" t="s">
        <v>11</v>
      </c>
      <c r="C1008" t="s">
        <v>4</v>
      </c>
      <c r="D1008">
        <v>0</v>
      </c>
      <c r="E1008" t="s">
        <v>3</v>
      </c>
      <c r="F1008" t="s">
        <v>5</v>
      </c>
      <c r="G1008">
        <v>4488.1917949999997</v>
      </c>
      <c r="H1008" t="s">
        <v>4</v>
      </c>
      <c r="I1008">
        <v>990.16341899999998</v>
      </c>
      <c r="J1008">
        <v>3498.0283760000002</v>
      </c>
      <c r="K1008" t="s">
        <v>6</v>
      </c>
      <c r="L1008" t="s">
        <v>7</v>
      </c>
      <c r="M1008" t="s">
        <v>8</v>
      </c>
      <c r="N1008" t="s">
        <v>6</v>
      </c>
      <c r="O1008" t="s">
        <v>3</v>
      </c>
      <c r="P1008" t="s">
        <v>3</v>
      </c>
      <c r="Q1008" t="s">
        <v>3</v>
      </c>
      <c r="R1008" t="s">
        <v>3</v>
      </c>
      <c r="S1008" t="s">
        <v>11</v>
      </c>
      <c r="T1008" t="s">
        <v>7</v>
      </c>
      <c r="U1008">
        <v>0</v>
      </c>
      <c r="V1008">
        <v>0</v>
      </c>
      <c r="W1008">
        <v>0</v>
      </c>
      <c r="X1008">
        <v>2</v>
      </c>
      <c r="Y1008">
        <v>1</v>
      </c>
      <c r="Z1008" t="s">
        <v>23</v>
      </c>
      <c r="AA1008" t="s">
        <v>4</v>
      </c>
      <c r="AB1008" t="s">
        <v>6</v>
      </c>
      <c r="AC1008" t="s">
        <v>7</v>
      </c>
      <c r="AD1008" t="s">
        <v>8</v>
      </c>
      <c r="AE1008" t="s">
        <v>6</v>
      </c>
      <c r="AF1008" t="s">
        <v>3</v>
      </c>
      <c r="AG1008" t="s">
        <v>3</v>
      </c>
      <c r="AH1008" t="s">
        <v>3</v>
      </c>
      <c r="AI1008" t="s">
        <v>3</v>
      </c>
      <c r="AJ1008" t="s">
        <v>3</v>
      </c>
      <c r="AK1008" t="s">
        <v>7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 t="s">
        <v>9</v>
      </c>
      <c r="AR1008" s="1">
        <v>2.7851185900000001E-6</v>
      </c>
      <c r="AS1008" s="1">
        <v>7.2899887E-29</v>
      </c>
      <c r="AT1008">
        <v>37</v>
      </c>
      <c r="AU1008" t="s">
        <v>10</v>
      </c>
      <c r="AV1008">
        <v>0</v>
      </c>
      <c r="AW1008">
        <v>0</v>
      </c>
      <c r="AX1008">
        <v>0</v>
      </c>
      <c r="AY1008">
        <v>2</v>
      </c>
      <c r="AZ1008">
        <v>1</v>
      </c>
      <c r="BA1008" t="s">
        <v>23</v>
      </c>
      <c r="BB1008" t="s">
        <v>4</v>
      </c>
      <c r="BC1008" t="s">
        <v>10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 t="s">
        <v>9</v>
      </c>
      <c r="BJ1008">
        <v>0</v>
      </c>
      <c r="BK1008">
        <v>2.79E-6</v>
      </c>
      <c r="BL1008">
        <v>0</v>
      </c>
      <c r="BM1008" s="2">
        <f t="shared" si="15"/>
        <v>4.390133838180896E-10</v>
      </c>
    </row>
    <row r="1009" spans="1:65" x14ac:dyDescent="0.35">
      <c r="A1009">
        <v>0</v>
      </c>
      <c r="B1009" t="s">
        <v>3</v>
      </c>
      <c r="C1009" t="s">
        <v>4</v>
      </c>
      <c r="D1009">
        <v>0</v>
      </c>
      <c r="E1009" t="s">
        <v>3</v>
      </c>
      <c r="F1009" t="s">
        <v>5</v>
      </c>
      <c r="G1009">
        <v>4489.2129500000001</v>
      </c>
      <c r="H1009" t="s">
        <v>4</v>
      </c>
      <c r="I1009">
        <v>990.16341899999998</v>
      </c>
      <c r="J1009">
        <v>3499.0495310000001</v>
      </c>
      <c r="K1009" t="s">
        <v>6</v>
      </c>
      <c r="L1009" t="s">
        <v>7</v>
      </c>
      <c r="M1009" t="s">
        <v>8</v>
      </c>
      <c r="N1009" t="s">
        <v>6</v>
      </c>
      <c r="O1009" t="s">
        <v>3</v>
      </c>
      <c r="P1009" t="s">
        <v>3</v>
      </c>
      <c r="Q1009" t="s">
        <v>3</v>
      </c>
      <c r="R1009" t="s">
        <v>3</v>
      </c>
      <c r="S1009" t="s">
        <v>3</v>
      </c>
      <c r="T1009" t="s">
        <v>7</v>
      </c>
      <c r="U1009">
        <v>0</v>
      </c>
      <c r="V1009">
        <v>0</v>
      </c>
      <c r="W1009">
        <v>0</v>
      </c>
      <c r="X1009">
        <v>7</v>
      </c>
      <c r="Y1009">
        <v>1</v>
      </c>
      <c r="Z1009" t="s">
        <v>9</v>
      </c>
      <c r="AA1009" t="s">
        <v>4</v>
      </c>
      <c r="AB1009" t="s">
        <v>6</v>
      </c>
      <c r="AC1009" t="s">
        <v>7</v>
      </c>
      <c r="AD1009" t="s">
        <v>8</v>
      </c>
      <c r="AE1009" t="s">
        <v>6</v>
      </c>
      <c r="AF1009" t="s">
        <v>3</v>
      </c>
      <c r="AG1009" t="s">
        <v>3</v>
      </c>
      <c r="AH1009" t="s">
        <v>3</v>
      </c>
      <c r="AI1009" t="s">
        <v>3</v>
      </c>
      <c r="AJ1009" t="s">
        <v>3</v>
      </c>
      <c r="AK1009" t="s">
        <v>7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 t="s">
        <v>9</v>
      </c>
      <c r="AR1009" s="1">
        <v>4.5772882000000001E-5</v>
      </c>
      <c r="AS1009" s="1">
        <v>1.96962138E-26</v>
      </c>
      <c r="AT1009">
        <v>38</v>
      </c>
      <c r="AU1009" t="s">
        <v>10</v>
      </c>
      <c r="AV1009">
        <v>0</v>
      </c>
      <c r="AW1009">
        <v>0</v>
      </c>
      <c r="AX1009">
        <v>0</v>
      </c>
      <c r="AY1009">
        <v>7</v>
      </c>
      <c r="AZ1009">
        <v>1</v>
      </c>
      <c r="BA1009" t="s">
        <v>9</v>
      </c>
      <c r="BB1009" t="s">
        <v>4</v>
      </c>
      <c r="BC1009" t="s">
        <v>10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 t="s">
        <v>9</v>
      </c>
      <c r="BJ1009">
        <v>3.6100000000000003E-5</v>
      </c>
      <c r="BK1009">
        <v>0</v>
      </c>
      <c r="BL1009">
        <v>-2.8140000000000002E-5</v>
      </c>
      <c r="BM1009" s="2">
        <f t="shared" si="15"/>
        <v>1.1861337273050303E-7</v>
      </c>
    </row>
    <row r="1010" spans="1:65" x14ac:dyDescent="0.35">
      <c r="A1010">
        <v>0</v>
      </c>
      <c r="B1010" t="s">
        <v>11</v>
      </c>
      <c r="C1010" t="s">
        <v>4</v>
      </c>
      <c r="D1010">
        <v>0</v>
      </c>
      <c r="E1010" t="s">
        <v>3</v>
      </c>
      <c r="F1010" t="s">
        <v>5</v>
      </c>
      <c r="G1010">
        <v>4491.3336650000001</v>
      </c>
      <c r="H1010" t="s">
        <v>4</v>
      </c>
      <c r="I1010">
        <v>990.16341899999998</v>
      </c>
      <c r="J1010">
        <v>3501.1702460000001</v>
      </c>
      <c r="K1010" t="s">
        <v>6</v>
      </c>
      <c r="L1010" t="s">
        <v>7</v>
      </c>
      <c r="M1010" t="s">
        <v>8</v>
      </c>
      <c r="N1010" t="s">
        <v>6</v>
      </c>
      <c r="O1010" t="s">
        <v>3</v>
      </c>
      <c r="P1010" t="s">
        <v>3</v>
      </c>
      <c r="Q1010" t="s">
        <v>3</v>
      </c>
      <c r="R1010" t="s">
        <v>3</v>
      </c>
      <c r="S1010" t="s">
        <v>11</v>
      </c>
      <c r="T1010" t="s">
        <v>7</v>
      </c>
      <c r="U1010">
        <v>0</v>
      </c>
      <c r="V1010">
        <v>1</v>
      </c>
      <c r="W1010">
        <v>0</v>
      </c>
      <c r="X1010">
        <v>2</v>
      </c>
      <c r="Y1010">
        <v>1</v>
      </c>
      <c r="Z1010" t="s">
        <v>14</v>
      </c>
      <c r="AA1010" t="s">
        <v>4</v>
      </c>
      <c r="AB1010" t="s">
        <v>6</v>
      </c>
      <c r="AC1010" t="s">
        <v>7</v>
      </c>
      <c r="AD1010" t="s">
        <v>8</v>
      </c>
      <c r="AE1010" t="s">
        <v>6</v>
      </c>
      <c r="AF1010" t="s">
        <v>3</v>
      </c>
      <c r="AG1010" t="s">
        <v>3</v>
      </c>
      <c r="AH1010" t="s">
        <v>3</v>
      </c>
      <c r="AI1010" t="s">
        <v>3</v>
      </c>
      <c r="AJ1010" t="s">
        <v>3</v>
      </c>
      <c r="AK1010" t="s">
        <v>7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 t="s">
        <v>9</v>
      </c>
      <c r="AR1010" s="1">
        <v>1.7835211600000001E-6</v>
      </c>
      <c r="AS1010" s="1">
        <v>2.9921675200000002E-29</v>
      </c>
      <c r="AT1010">
        <v>39</v>
      </c>
      <c r="AU1010" t="s">
        <v>10</v>
      </c>
      <c r="AV1010">
        <v>0</v>
      </c>
      <c r="AW1010">
        <v>1</v>
      </c>
      <c r="AX1010">
        <v>0</v>
      </c>
      <c r="AY1010">
        <v>2</v>
      </c>
      <c r="AZ1010">
        <v>1</v>
      </c>
      <c r="BA1010" t="s">
        <v>14</v>
      </c>
      <c r="BB1010" t="s">
        <v>4</v>
      </c>
      <c r="BC1010" t="s">
        <v>10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 t="s">
        <v>9</v>
      </c>
      <c r="BJ1010">
        <v>0</v>
      </c>
      <c r="BK1010">
        <v>-1.7799999999999999E-6</v>
      </c>
      <c r="BL1010">
        <v>0</v>
      </c>
      <c r="BM1010" s="2">
        <f t="shared" si="15"/>
        <v>1.8019254102626817E-10</v>
      </c>
    </row>
    <row r="1011" spans="1:65" x14ac:dyDescent="0.35">
      <c r="A1011">
        <v>0</v>
      </c>
      <c r="B1011" t="s">
        <v>11</v>
      </c>
      <c r="C1011" t="s">
        <v>4</v>
      </c>
      <c r="D1011">
        <v>0</v>
      </c>
      <c r="E1011" t="s">
        <v>3</v>
      </c>
      <c r="F1011" t="s">
        <v>5</v>
      </c>
      <c r="G1011">
        <v>4492.1951339999996</v>
      </c>
      <c r="H1011" t="s">
        <v>4</v>
      </c>
      <c r="I1011">
        <v>990.16341899999998</v>
      </c>
      <c r="J1011">
        <v>3502.0317150000001</v>
      </c>
      <c r="K1011" t="s">
        <v>6</v>
      </c>
      <c r="L1011" t="s">
        <v>7</v>
      </c>
      <c r="M1011" t="s">
        <v>8</v>
      </c>
      <c r="N1011" t="s">
        <v>6</v>
      </c>
      <c r="O1011" t="s">
        <v>3</v>
      </c>
      <c r="P1011" t="s">
        <v>3</v>
      </c>
      <c r="Q1011" t="s">
        <v>3</v>
      </c>
      <c r="R1011" t="s">
        <v>3</v>
      </c>
      <c r="S1011" t="s">
        <v>11</v>
      </c>
      <c r="T1011" t="s">
        <v>7</v>
      </c>
      <c r="U1011">
        <v>3</v>
      </c>
      <c r="V1011">
        <v>0</v>
      </c>
      <c r="W1011">
        <v>0</v>
      </c>
      <c r="X1011">
        <v>1</v>
      </c>
      <c r="Y1011">
        <v>0</v>
      </c>
      <c r="Z1011" t="s">
        <v>13</v>
      </c>
      <c r="AA1011" t="s">
        <v>4</v>
      </c>
      <c r="AB1011" t="s">
        <v>6</v>
      </c>
      <c r="AC1011" t="s">
        <v>7</v>
      </c>
      <c r="AD1011" t="s">
        <v>8</v>
      </c>
      <c r="AE1011" t="s">
        <v>6</v>
      </c>
      <c r="AF1011" t="s">
        <v>3</v>
      </c>
      <c r="AG1011" t="s">
        <v>3</v>
      </c>
      <c r="AH1011" t="s">
        <v>3</v>
      </c>
      <c r="AI1011" t="s">
        <v>3</v>
      </c>
      <c r="AJ1011" t="s">
        <v>3</v>
      </c>
      <c r="AK1011" t="s">
        <v>7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 t="s">
        <v>9</v>
      </c>
      <c r="AR1011" s="1">
        <v>8.4958338000000007E-6</v>
      </c>
      <c r="AS1011" s="1">
        <v>6.7912267999999996E-28</v>
      </c>
      <c r="AT1011">
        <v>40</v>
      </c>
      <c r="AU1011" t="s">
        <v>10</v>
      </c>
      <c r="AV1011">
        <v>3</v>
      </c>
      <c r="AW1011">
        <v>0</v>
      </c>
      <c r="AX1011">
        <v>0</v>
      </c>
      <c r="AY1011">
        <v>1</v>
      </c>
      <c r="AZ1011">
        <v>0</v>
      </c>
      <c r="BA1011" t="s">
        <v>13</v>
      </c>
      <c r="BB1011" t="s">
        <v>4</v>
      </c>
      <c r="BC1011" t="s">
        <v>10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 t="s">
        <v>9</v>
      </c>
      <c r="BJ1011">
        <v>0</v>
      </c>
      <c r="BK1011">
        <v>8.4999999999999999E-6</v>
      </c>
      <c r="BL1011">
        <v>0</v>
      </c>
      <c r="BM1011" s="2">
        <f t="shared" si="15"/>
        <v>4.0897723994333432E-9</v>
      </c>
    </row>
    <row r="1012" spans="1:65" x14ac:dyDescent="0.35">
      <c r="A1012">
        <v>0</v>
      </c>
      <c r="B1012" t="s">
        <v>3</v>
      </c>
      <c r="C1012" t="s">
        <v>4</v>
      </c>
      <c r="D1012">
        <v>0</v>
      </c>
      <c r="E1012" t="s">
        <v>3</v>
      </c>
      <c r="F1012" t="s">
        <v>5</v>
      </c>
      <c r="G1012">
        <v>4492.3331770000004</v>
      </c>
      <c r="H1012" t="s">
        <v>4</v>
      </c>
      <c r="I1012">
        <v>990.16341899999998</v>
      </c>
      <c r="J1012">
        <v>3502.169758</v>
      </c>
      <c r="K1012" t="s">
        <v>6</v>
      </c>
      <c r="L1012" t="s">
        <v>7</v>
      </c>
      <c r="M1012" t="s">
        <v>8</v>
      </c>
      <c r="N1012" t="s">
        <v>6</v>
      </c>
      <c r="O1012" t="s">
        <v>3</v>
      </c>
      <c r="P1012" t="s">
        <v>3</v>
      </c>
      <c r="Q1012" t="s">
        <v>3</v>
      </c>
      <c r="R1012" t="s">
        <v>3</v>
      </c>
      <c r="S1012" t="s">
        <v>3</v>
      </c>
      <c r="T1012" t="s">
        <v>7</v>
      </c>
      <c r="U1012">
        <v>0</v>
      </c>
      <c r="V1012">
        <v>2</v>
      </c>
      <c r="W1012">
        <v>0</v>
      </c>
      <c r="X1012">
        <v>0</v>
      </c>
      <c r="Y1012">
        <v>1</v>
      </c>
      <c r="Z1012" t="s">
        <v>9</v>
      </c>
      <c r="AA1012" t="s">
        <v>4</v>
      </c>
      <c r="AB1012" t="s">
        <v>6</v>
      </c>
      <c r="AC1012" t="s">
        <v>7</v>
      </c>
      <c r="AD1012" t="s">
        <v>8</v>
      </c>
      <c r="AE1012" t="s">
        <v>6</v>
      </c>
      <c r="AF1012" t="s">
        <v>3</v>
      </c>
      <c r="AG1012" t="s">
        <v>3</v>
      </c>
      <c r="AH1012" t="s">
        <v>3</v>
      </c>
      <c r="AI1012" t="s">
        <v>3</v>
      </c>
      <c r="AJ1012" t="s">
        <v>3</v>
      </c>
      <c r="AK1012" t="s">
        <v>7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 t="s">
        <v>9</v>
      </c>
      <c r="AR1012" s="1">
        <v>7.93659895E-5</v>
      </c>
      <c r="AS1012" s="1">
        <v>5.9268263999999997E-26</v>
      </c>
      <c r="AT1012">
        <v>41</v>
      </c>
      <c r="AU1012" t="s">
        <v>10</v>
      </c>
      <c r="AV1012">
        <v>0</v>
      </c>
      <c r="AW1012">
        <v>2</v>
      </c>
      <c r="AX1012">
        <v>0</v>
      </c>
      <c r="AY1012">
        <v>0</v>
      </c>
      <c r="AZ1012">
        <v>1</v>
      </c>
      <c r="BA1012" t="s">
        <v>9</v>
      </c>
      <c r="BB1012" t="s">
        <v>4</v>
      </c>
      <c r="BC1012" t="s">
        <v>10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 t="s">
        <v>9</v>
      </c>
      <c r="BJ1012">
        <v>-7.9220000000000004E-5</v>
      </c>
      <c r="BK1012">
        <v>0</v>
      </c>
      <c r="BL1012">
        <v>-4.7999999999999998E-6</v>
      </c>
      <c r="BM1012" s="2">
        <f t="shared" si="15"/>
        <v>3.5692183077957118E-7</v>
      </c>
    </row>
    <row r="1013" spans="1:65" x14ac:dyDescent="0.35">
      <c r="A1013">
        <v>0</v>
      </c>
      <c r="B1013" t="s">
        <v>11</v>
      </c>
      <c r="C1013" t="s">
        <v>4</v>
      </c>
      <c r="D1013">
        <v>0</v>
      </c>
      <c r="E1013" t="s">
        <v>3</v>
      </c>
      <c r="F1013" t="s">
        <v>5</v>
      </c>
      <c r="G1013">
        <v>4495.7812279999998</v>
      </c>
      <c r="H1013" t="s">
        <v>4</v>
      </c>
      <c r="I1013">
        <v>990.16341899999998</v>
      </c>
      <c r="J1013">
        <v>3505.6178089999999</v>
      </c>
      <c r="K1013" t="s">
        <v>6</v>
      </c>
      <c r="L1013" t="s">
        <v>7</v>
      </c>
      <c r="M1013" t="s">
        <v>8</v>
      </c>
      <c r="N1013" t="s">
        <v>6</v>
      </c>
      <c r="O1013" t="s">
        <v>3</v>
      </c>
      <c r="P1013" t="s">
        <v>3</v>
      </c>
      <c r="Q1013" t="s">
        <v>3</v>
      </c>
      <c r="R1013" t="s">
        <v>3</v>
      </c>
      <c r="S1013" t="s">
        <v>11</v>
      </c>
      <c r="T1013" t="s">
        <v>7</v>
      </c>
      <c r="U1013">
        <v>0</v>
      </c>
      <c r="V1013">
        <v>0</v>
      </c>
      <c r="W1013">
        <v>1</v>
      </c>
      <c r="X1013">
        <v>1</v>
      </c>
      <c r="Y1013">
        <v>0</v>
      </c>
      <c r="Z1013" t="s">
        <v>18</v>
      </c>
      <c r="AA1013" t="s">
        <v>4</v>
      </c>
      <c r="AB1013" t="s">
        <v>6</v>
      </c>
      <c r="AC1013" t="s">
        <v>7</v>
      </c>
      <c r="AD1013" t="s">
        <v>8</v>
      </c>
      <c r="AE1013" t="s">
        <v>6</v>
      </c>
      <c r="AF1013" t="s">
        <v>3</v>
      </c>
      <c r="AG1013" t="s">
        <v>3</v>
      </c>
      <c r="AH1013" t="s">
        <v>3</v>
      </c>
      <c r="AI1013" t="s">
        <v>3</v>
      </c>
      <c r="AJ1013" t="s">
        <v>3</v>
      </c>
      <c r="AK1013" t="s">
        <v>7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 t="s">
        <v>9</v>
      </c>
      <c r="AR1013" s="1">
        <v>2.5541160699999999E-7</v>
      </c>
      <c r="AS1013" s="1">
        <v>6.14415224E-31</v>
      </c>
      <c r="AT1013">
        <v>42</v>
      </c>
      <c r="AU1013" t="s">
        <v>10</v>
      </c>
      <c r="AV1013">
        <v>0</v>
      </c>
      <c r="AW1013">
        <v>0</v>
      </c>
      <c r="AX1013">
        <v>1</v>
      </c>
      <c r="AY1013">
        <v>1</v>
      </c>
      <c r="AZ1013">
        <v>0</v>
      </c>
      <c r="BA1013" t="s">
        <v>18</v>
      </c>
      <c r="BB1013" t="s">
        <v>4</v>
      </c>
      <c r="BC1013" t="s">
        <v>10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 t="s">
        <v>9</v>
      </c>
      <c r="BJ1013">
        <v>0</v>
      </c>
      <c r="BK1013">
        <v>2.6E-7</v>
      </c>
      <c r="BL1013">
        <v>0</v>
      </c>
      <c r="BM1013" s="2">
        <f t="shared" si="15"/>
        <v>3.7000949885915394E-12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F231-49F6-430F-A9F9-C2AFC68D8A87}">
  <dimension ref="A1:G1014"/>
  <sheetViews>
    <sheetView tabSelected="1" workbookViewId="0">
      <selection activeCell="G16" sqref="G16"/>
    </sheetView>
  </sheetViews>
  <sheetFormatPr defaultRowHeight="14.5" x14ac:dyDescent="0.35"/>
  <cols>
    <col min="1" max="1" width="15.81640625" customWidth="1"/>
    <col min="2" max="2" width="16.81640625" customWidth="1"/>
    <col min="3" max="3" width="22" customWidth="1"/>
    <col min="7" max="7" width="9.36328125" bestFit="1" customWidth="1"/>
  </cols>
  <sheetData>
    <row r="1" spans="1:7" x14ac:dyDescent="0.35">
      <c r="A1" t="s">
        <v>34</v>
      </c>
      <c r="B1" t="s">
        <v>35</v>
      </c>
      <c r="C1" t="s">
        <v>36</v>
      </c>
      <c r="D1" t="s">
        <v>37</v>
      </c>
    </row>
    <row r="2" spans="1:7" x14ac:dyDescent="0.35">
      <c r="A2">
        <v>858.87308700000006</v>
      </c>
      <c r="B2" s="2">
        <v>1.1487713721285984</v>
      </c>
      <c r="C2" s="2">
        <f>B2*1.3/(1.35*EXP(-990.163419*1.438776877/298))</f>
        <v>131.83760478723568</v>
      </c>
      <c r="G2" s="2"/>
    </row>
    <row r="3" spans="1:7" x14ac:dyDescent="0.35">
      <c r="A3">
        <v>937.17471</v>
      </c>
      <c r="B3" s="2">
        <v>0.99732745452275495</v>
      </c>
      <c r="C3" s="2">
        <f t="shared" ref="C3:C66" si="0">B3*1.3/(1.35*EXP(-990.163419*1.438776877/298))</f>
        <v>114.45729409951879</v>
      </c>
      <c r="D3" t="s">
        <v>38</v>
      </c>
      <c r="G3" s="2"/>
    </row>
    <row r="4" spans="1:7" x14ac:dyDescent="0.35">
      <c r="A4">
        <v>3634.8113450000001</v>
      </c>
      <c r="B4" s="2">
        <v>0.65430707936663679</v>
      </c>
      <c r="C4" s="2">
        <f t="shared" si="0"/>
        <v>75.090901664088946</v>
      </c>
      <c r="D4">
        <v>132.9</v>
      </c>
      <c r="G4" s="2"/>
    </row>
    <row r="5" spans="1:7" x14ac:dyDescent="0.35">
      <c r="A5">
        <v>451.94043799999997</v>
      </c>
      <c r="B5" s="2">
        <v>0.60174926467563639</v>
      </c>
      <c r="C5" s="2">
        <f t="shared" si="0"/>
        <v>69.059156296972319</v>
      </c>
      <c r="D5">
        <v>85.2</v>
      </c>
      <c r="G5" s="2"/>
    </row>
    <row r="6" spans="1:7" x14ac:dyDescent="0.35">
      <c r="A6">
        <v>1287.831304</v>
      </c>
      <c r="B6" s="2">
        <v>0.44995722397213955</v>
      </c>
      <c r="C6" s="2">
        <f t="shared" si="0"/>
        <v>51.63889360794407</v>
      </c>
      <c r="D6">
        <v>70.3</v>
      </c>
      <c r="G6" s="2"/>
    </row>
    <row r="7" spans="1:7" x14ac:dyDescent="0.35">
      <c r="A7">
        <v>837.74230299999999</v>
      </c>
      <c r="B7" s="2">
        <v>0.17245075985440575</v>
      </c>
      <c r="C7" s="2">
        <f t="shared" si="0"/>
        <v>19.791140060198614</v>
      </c>
      <c r="D7">
        <v>111.6</v>
      </c>
      <c r="G7" s="2"/>
    </row>
    <row r="8" spans="1:7" x14ac:dyDescent="0.35">
      <c r="A8">
        <v>416.19949000000003</v>
      </c>
      <c r="B8" s="2">
        <v>0.13931722481563744</v>
      </c>
      <c r="C8" s="2">
        <f t="shared" si="0"/>
        <v>15.988602842065221</v>
      </c>
      <c r="D8">
        <v>6.2</v>
      </c>
      <c r="G8" s="2"/>
    </row>
    <row r="9" spans="1:7" x14ac:dyDescent="0.35">
      <c r="A9">
        <v>1273.5259570000001</v>
      </c>
      <c r="B9" s="2">
        <v>3.5572032456228732E-2</v>
      </c>
      <c r="C9" s="2">
        <f t="shared" si="0"/>
        <v>4.0823889506867124</v>
      </c>
    </row>
    <row r="10" spans="1:7" x14ac:dyDescent="0.35">
      <c r="A10">
        <v>1739.2873219999999</v>
      </c>
      <c r="B10" s="2">
        <v>2.8489604279376447E-2</v>
      </c>
      <c r="C10" s="2">
        <f t="shared" si="0"/>
        <v>3.26958112001829</v>
      </c>
    </row>
    <row r="11" spans="1:7" x14ac:dyDescent="0.35">
      <c r="A11">
        <v>1251.913063</v>
      </c>
      <c r="B11" s="2">
        <v>2.4150813888785372E-2</v>
      </c>
      <c r="C11" s="2">
        <f t="shared" si="0"/>
        <v>2.7716441530572364</v>
      </c>
    </row>
    <row r="12" spans="1:7" x14ac:dyDescent="0.35">
      <c r="A12">
        <v>832.22002699999996</v>
      </c>
      <c r="B12" s="2">
        <v>1.9699928814656896E-2</v>
      </c>
      <c r="C12" s="2">
        <f t="shared" si="0"/>
        <v>2.2608427511481124</v>
      </c>
    </row>
    <row r="13" spans="1:7" x14ac:dyDescent="0.35">
      <c r="A13">
        <v>1248.0577310000001</v>
      </c>
      <c r="B13" s="2">
        <v>1.82468351996216E-2</v>
      </c>
      <c r="C13" s="2">
        <f t="shared" si="0"/>
        <v>2.0940799066119467</v>
      </c>
    </row>
    <row r="14" spans="1:7" x14ac:dyDescent="0.35">
      <c r="A14">
        <v>1868.7585979999999</v>
      </c>
      <c r="B14" s="2">
        <v>6.767341038092128E-3</v>
      </c>
      <c r="C14" s="2">
        <f t="shared" si="0"/>
        <v>0.77664716834583136</v>
      </c>
    </row>
    <row r="15" spans="1:7" x14ac:dyDescent="0.35">
      <c r="A15">
        <v>1398.622159</v>
      </c>
      <c r="B15" s="2">
        <v>5.2324792168242885E-3</v>
      </c>
      <c r="C15" s="2">
        <f t="shared" si="0"/>
        <v>0.60050027688876084</v>
      </c>
    </row>
    <row r="16" spans="1:7" x14ac:dyDescent="0.35">
      <c r="A16">
        <v>1705.2809070000001</v>
      </c>
      <c r="B16" s="2">
        <v>4.8019211776414534E-3</v>
      </c>
      <c r="C16" s="2">
        <f t="shared" si="0"/>
        <v>0.55108771144279722</v>
      </c>
    </row>
    <row r="17" spans="1:3" x14ac:dyDescent="0.35">
      <c r="A17">
        <v>1735.283584</v>
      </c>
      <c r="B17" s="2">
        <v>3.6126079105475426E-3</v>
      </c>
      <c r="C17" s="2">
        <f t="shared" si="0"/>
        <v>0.41459735637344181</v>
      </c>
    </row>
    <row r="18" spans="1:3" x14ac:dyDescent="0.35">
      <c r="A18">
        <v>1672.5120440000001</v>
      </c>
      <c r="B18" s="2">
        <v>3.1236488842628575E-3</v>
      </c>
      <c r="C18" s="2">
        <f t="shared" si="0"/>
        <v>0.35848245968601311</v>
      </c>
    </row>
    <row r="19" spans="1:3" x14ac:dyDescent="0.35">
      <c r="A19">
        <v>1703.3998079999999</v>
      </c>
      <c r="B19" s="2">
        <v>2.7417421307580512E-3</v>
      </c>
      <c r="C19" s="2">
        <f t="shared" si="0"/>
        <v>0.31465331068759389</v>
      </c>
    </row>
    <row r="20" spans="1:3" x14ac:dyDescent="0.35">
      <c r="A20">
        <v>1782.709055</v>
      </c>
      <c r="B20" s="2">
        <v>2.502611748048464E-3</v>
      </c>
      <c r="C20" s="2">
        <f t="shared" si="0"/>
        <v>0.28720974998162796</v>
      </c>
    </row>
    <row r="21" spans="1:3" x14ac:dyDescent="0.35">
      <c r="A21">
        <v>2568.5787839999998</v>
      </c>
      <c r="B21" s="2">
        <v>2.2586635382782013E-3</v>
      </c>
      <c r="C21" s="2">
        <f t="shared" si="0"/>
        <v>0.25921327614136125</v>
      </c>
    </row>
    <row r="22" spans="1:3" x14ac:dyDescent="0.35">
      <c r="A22">
        <v>2556.9406680000002</v>
      </c>
      <c r="B22" s="2">
        <v>2.0978063521664703E-3</v>
      </c>
      <c r="C22" s="2">
        <f t="shared" si="0"/>
        <v>0.24075266104917808</v>
      </c>
    </row>
    <row r="23" spans="1:3" x14ac:dyDescent="0.35">
      <c r="A23">
        <v>3636.2284559999998</v>
      </c>
      <c r="B23" s="2">
        <v>1.2251661485902592E-3</v>
      </c>
      <c r="C23" s="2">
        <f t="shared" si="0"/>
        <v>0.14060497538100269</v>
      </c>
    </row>
    <row r="24" spans="1:3" x14ac:dyDescent="0.35">
      <c r="A24">
        <v>1570.0330429999999</v>
      </c>
      <c r="B24" s="2">
        <v>1.0287554897784735E-3</v>
      </c>
      <c r="C24" s="2">
        <f t="shared" si="0"/>
        <v>0.11806410133010402</v>
      </c>
    </row>
    <row r="25" spans="1:3" x14ac:dyDescent="0.35">
      <c r="A25">
        <v>2536.042938</v>
      </c>
      <c r="B25" s="2">
        <v>9.0076822611634552E-4</v>
      </c>
      <c r="C25" s="2">
        <f t="shared" si="0"/>
        <v>0.1033757702192566</v>
      </c>
    </row>
    <row r="26" spans="1:3" x14ac:dyDescent="0.35">
      <c r="A26">
        <v>2145.0270679999999</v>
      </c>
      <c r="B26" s="2">
        <v>8.2658723678989113E-4</v>
      </c>
      <c r="C26" s="2">
        <f t="shared" si="0"/>
        <v>9.4862462705833969E-2</v>
      </c>
    </row>
    <row r="27" spans="1:3" x14ac:dyDescent="0.35">
      <c r="A27">
        <v>868.69327999999996</v>
      </c>
      <c r="B27" s="2">
        <v>6.4492691456872629E-4</v>
      </c>
      <c r="C27" s="2">
        <f t="shared" si="0"/>
        <v>7.401439637376768E-2</v>
      </c>
    </row>
    <row r="28" spans="1:3" x14ac:dyDescent="0.35">
      <c r="A28">
        <v>857.65761599999996</v>
      </c>
      <c r="B28" s="2">
        <v>5.7509151709890397E-4</v>
      </c>
      <c r="C28" s="2">
        <f t="shared" si="0"/>
        <v>6.5999806390796473E-2</v>
      </c>
    </row>
    <row r="29" spans="1:3" x14ac:dyDescent="0.35">
      <c r="A29">
        <v>2125.2938239999999</v>
      </c>
      <c r="B29" s="2">
        <v>5.1517328835755328E-4</v>
      </c>
      <c r="C29" s="2">
        <f t="shared" si="0"/>
        <v>5.9123350420522622E-2</v>
      </c>
    </row>
    <row r="30" spans="1:3" x14ac:dyDescent="0.35">
      <c r="A30">
        <v>2123.18406</v>
      </c>
      <c r="B30" s="2">
        <v>4.9302368165971239E-4</v>
      </c>
      <c r="C30" s="2">
        <f t="shared" si="0"/>
        <v>5.6581372821784409E-2</v>
      </c>
    </row>
    <row r="31" spans="1:3" x14ac:dyDescent="0.35">
      <c r="A31">
        <v>2582.7847499999998</v>
      </c>
      <c r="B31" s="2">
        <v>4.7151719021775677E-4</v>
      </c>
      <c r="C31" s="2">
        <f t="shared" si="0"/>
        <v>5.4113201706211721E-2</v>
      </c>
    </row>
    <row r="32" spans="1:3" x14ac:dyDescent="0.35">
      <c r="A32">
        <v>1662.3765229999999</v>
      </c>
      <c r="B32" s="2">
        <v>4.1250621686099068E-4</v>
      </c>
      <c r="C32" s="2">
        <f t="shared" si="0"/>
        <v>4.7340865998451317E-2</v>
      </c>
    </row>
    <row r="33" spans="1:3" x14ac:dyDescent="0.35">
      <c r="A33">
        <v>2540.5426940000002</v>
      </c>
      <c r="B33" s="2">
        <v>3.9038695392399876E-4</v>
      </c>
      <c r="C33" s="2">
        <f t="shared" si="0"/>
        <v>4.4802370771269029E-2</v>
      </c>
    </row>
    <row r="34" spans="1:3" x14ac:dyDescent="0.35">
      <c r="A34">
        <v>2222.7505179999998</v>
      </c>
      <c r="B34" s="2">
        <v>3.4654779896366243E-4</v>
      </c>
      <c r="C34" s="2">
        <f t="shared" si="0"/>
        <v>3.9771213722884467E-2</v>
      </c>
    </row>
    <row r="35" spans="1:3" x14ac:dyDescent="0.35">
      <c r="A35">
        <v>1556.5086160000001</v>
      </c>
      <c r="B35" s="2">
        <v>2.762850541228918E-4</v>
      </c>
      <c r="C35" s="2">
        <f t="shared" si="0"/>
        <v>3.1707579643616229E-2</v>
      </c>
    </row>
    <row r="36" spans="1:3" x14ac:dyDescent="0.35">
      <c r="A36">
        <v>2333.8106480000001</v>
      </c>
      <c r="B36" s="2">
        <v>2.6783625374804479E-4</v>
      </c>
      <c r="C36" s="2">
        <f t="shared" si="0"/>
        <v>3.0737961465648056E-2</v>
      </c>
    </row>
    <row r="37" spans="1:3" x14ac:dyDescent="0.35">
      <c r="A37">
        <v>2560.4037800000001</v>
      </c>
      <c r="B37" s="2">
        <v>2.6209644235081637E-4</v>
      </c>
      <c r="C37" s="2">
        <f t="shared" si="0"/>
        <v>3.0079237715299967E-2</v>
      </c>
    </row>
    <row r="38" spans="1:3" x14ac:dyDescent="0.35">
      <c r="A38">
        <v>2578.3686859999998</v>
      </c>
      <c r="B38" s="2">
        <v>2.6050045399378624E-4</v>
      </c>
      <c r="C38" s="2">
        <f t="shared" si="0"/>
        <v>2.9896075697718266E-2</v>
      </c>
    </row>
    <row r="39" spans="1:3" x14ac:dyDescent="0.35">
      <c r="A39">
        <v>2126.2929760000002</v>
      </c>
      <c r="B39" s="2">
        <v>2.3980187429292226E-4</v>
      </c>
      <c r="C39" s="2">
        <f t="shared" si="0"/>
        <v>2.7520623770148713E-2</v>
      </c>
    </row>
    <row r="40" spans="1:3" x14ac:dyDescent="0.35">
      <c r="A40">
        <v>1297.648216</v>
      </c>
      <c r="B40" s="2">
        <v>1.9477920968086879E-4</v>
      </c>
      <c r="C40" s="2">
        <f t="shared" si="0"/>
        <v>2.2353642412845442E-2</v>
      </c>
    </row>
    <row r="41" spans="1:3" x14ac:dyDescent="0.35">
      <c r="A41">
        <v>1690.2777590000001</v>
      </c>
      <c r="B41" s="2">
        <v>1.8295162698877377E-4</v>
      </c>
      <c r="C41" s="2">
        <f t="shared" si="0"/>
        <v>2.0996261640325444E-2</v>
      </c>
    </row>
    <row r="42" spans="1:3" x14ac:dyDescent="0.35">
      <c r="A42">
        <v>3646.759462</v>
      </c>
      <c r="B42" s="2">
        <v>1.74954225813016E-4</v>
      </c>
      <c r="C42" s="2">
        <f t="shared" si="0"/>
        <v>2.007844784280639E-2</v>
      </c>
    </row>
    <row r="43" spans="1:3" x14ac:dyDescent="0.35">
      <c r="A43">
        <v>1843.4241300000001</v>
      </c>
      <c r="B43" s="2">
        <v>1.5654768374048542E-4</v>
      </c>
      <c r="C43" s="2">
        <f t="shared" si="0"/>
        <v>1.7966039335653702E-2</v>
      </c>
    </row>
    <row r="44" spans="1:3" x14ac:dyDescent="0.35">
      <c r="A44">
        <v>3641.1731380000001</v>
      </c>
      <c r="B44" s="2">
        <v>1.4615409562454269E-4</v>
      </c>
      <c r="C44" s="2">
        <f t="shared" si="0"/>
        <v>1.6773229525454521E-2</v>
      </c>
    </row>
    <row r="45" spans="1:3" x14ac:dyDescent="0.35">
      <c r="A45">
        <v>2557.6190080000001</v>
      </c>
      <c r="B45" s="2">
        <v>1.4383829101532799E-4</v>
      </c>
      <c r="C45" s="2">
        <f t="shared" si="0"/>
        <v>1.6507458511098215E-2</v>
      </c>
    </row>
    <row r="46" spans="1:3" x14ac:dyDescent="0.35">
      <c r="A46">
        <v>1230.4214850000001</v>
      </c>
      <c r="B46" s="2">
        <v>1.3154672224765761E-4</v>
      </c>
      <c r="C46" s="2">
        <f t="shared" si="0"/>
        <v>1.5096828837758956E-2</v>
      </c>
    </row>
    <row r="47" spans="1:3" x14ac:dyDescent="0.35">
      <c r="A47">
        <v>2406.2052010000002</v>
      </c>
      <c r="B47" s="2">
        <v>1.3077516978386017E-4</v>
      </c>
      <c r="C47" s="2">
        <f t="shared" si="0"/>
        <v>1.5008282386077916E-2</v>
      </c>
    </row>
    <row r="48" spans="1:3" x14ac:dyDescent="0.35">
      <c r="A48">
        <v>2103.0871790000001</v>
      </c>
      <c r="B48" s="2">
        <v>1.2346154114317088E-4</v>
      </c>
      <c r="C48" s="2">
        <f t="shared" si="0"/>
        <v>1.4168941063961594E-2</v>
      </c>
    </row>
    <row r="49" spans="1:3" x14ac:dyDescent="0.35">
      <c r="A49">
        <v>2195.2893370000002</v>
      </c>
      <c r="B49" s="2">
        <v>9.0461041216815375E-5</v>
      </c>
      <c r="C49" s="2">
        <f t="shared" si="0"/>
        <v>1.0381671488283986E-2</v>
      </c>
    </row>
    <row r="50" spans="1:3" x14ac:dyDescent="0.35">
      <c r="A50">
        <v>1705.0733760000001</v>
      </c>
      <c r="B50" s="2">
        <v>8.8920296968414075E-5</v>
      </c>
      <c r="C50" s="2">
        <f t="shared" si="0"/>
        <v>1.0204849505923342E-2</v>
      </c>
    </row>
    <row r="51" spans="1:3" x14ac:dyDescent="0.35">
      <c r="A51">
        <v>2114.3331149999999</v>
      </c>
      <c r="B51" s="2">
        <v>8.7430351886517112E-5</v>
      </c>
      <c r="C51" s="2">
        <f t="shared" si="0"/>
        <v>1.0033857439418547E-2</v>
      </c>
    </row>
    <row r="52" spans="1:3" x14ac:dyDescent="0.35">
      <c r="A52">
        <v>2530.7222029999998</v>
      </c>
      <c r="B52" s="2">
        <v>8.6183067161513924E-5</v>
      </c>
      <c r="C52" s="2">
        <f t="shared" si="0"/>
        <v>9.8907140475986127E-3</v>
      </c>
    </row>
    <row r="53" spans="1:3" x14ac:dyDescent="0.35">
      <c r="A53">
        <v>2407.1757120000002</v>
      </c>
      <c r="B53" s="2">
        <v>8.5544574500906557E-5</v>
      </c>
      <c r="C53" s="2">
        <f t="shared" si="0"/>
        <v>9.8174380719858768E-3</v>
      </c>
    </row>
    <row r="54" spans="1:3" x14ac:dyDescent="0.35">
      <c r="A54">
        <v>2400.2161599999999</v>
      </c>
      <c r="B54" s="2">
        <v>7.3889397268918401E-5</v>
      </c>
      <c r="C54" s="2">
        <f t="shared" si="0"/>
        <v>8.479843240745577E-3</v>
      </c>
    </row>
    <row r="55" spans="1:3" x14ac:dyDescent="0.35">
      <c r="A55">
        <v>2435.10743</v>
      </c>
      <c r="B55" s="2">
        <v>7.2593533740723833E-5</v>
      </c>
      <c r="C55" s="2">
        <f t="shared" si="0"/>
        <v>8.3311247508586397E-3</v>
      </c>
    </row>
    <row r="56" spans="1:3" x14ac:dyDescent="0.35">
      <c r="A56">
        <v>2493.5561539999999</v>
      </c>
      <c r="B56" s="2">
        <v>7.1773528336477763E-5</v>
      </c>
      <c r="C56" s="2">
        <f t="shared" si="0"/>
        <v>8.2370176456231792E-3</v>
      </c>
    </row>
    <row r="57" spans="1:3" x14ac:dyDescent="0.35">
      <c r="A57">
        <v>3647.823304</v>
      </c>
      <c r="B57" s="2">
        <v>7.0298029165931833E-5</v>
      </c>
      <c r="C57" s="2">
        <f t="shared" si="0"/>
        <v>8.0676834497771556E-3</v>
      </c>
    </row>
    <row r="58" spans="1:3" x14ac:dyDescent="0.35">
      <c r="A58">
        <v>3640.4341439999998</v>
      </c>
      <c r="B58" s="2">
        <v>6.9412712440281607E-5</v>
      </c>
      <c r="C58" s="2">
        <f t="shared" si="0"/>
        <v>7.9660809556520336E-3</v>
      </c>
    </row>
    <row r="59" spans="1:3" x14ac:dyDescent="0.35">
      <c r="A59">
        <v>3619.8726529999999</v>
      </c>
      <c r="B59" s="2">
        <v>6.3122335251410247E-5</v>
      </c>
      <c r="C59" s="2">
        <f t="shared" si="0"/>
        <v>7.2441720694195978E-3</v>
      </c>
    </row>
    <row r="60" spans="1:3" x14ac:dyDescent="0.35">
      <c r="A60">
        <v>2320.6492090000002</v>
      </c>
      <c r="B60" s="2">
        <v>5.7191965553954399E-5</v>
      </c>
      <c r="C60" s="2">
        <f t="shared" si="0"/>
        <v>6.563579085137031E-3</v>
      </c>
    </row>
    <row r="61" spans="1:3" x14ac:dyDescent="0.35">
      <c r="A61">
        <v>2078.9386089999998</v>
      </c>
      <c r="B61" s="2">
        <v>5.5875953508399647E-5</v>
      </c>
      <c r="C61" s="2">
        <f t="shared" si="0"/>
        <v>6.4125482706803606E-3</v>
      </c>
    </row>
    <row r="62" spans="1:3" x14ac:dyDescent="0.35">
      <c r="A62">
        <v>2444.0099319999999</v>
      </c>
      <c r="B62" s="2">
        <v>5.4247115878840761E-5</v>
      </c>
      <c r="C62" s="2">
        <f t="shared" si="0"/>
        <v>6.2256163389849701E-3</v>
      </c>
    </row>
    <row r="63" spans="1:3" x14ac:dyDescent="0.35">
      <c r="A63">
        <v>1604.7653580000001</v>
      </c>
      <c r="B63" s="2">
        <v>5.4067894258669403E-5</v>
      </c>
      <c r="C63" s="2">
        <f t="shared" si="0"/>
        <v>6.2050481478698859E-3</v>
      </c>
    </row>
    <row r="64" spans="1:3" x14ac:dyDescent="0.35">
      <c r="A64">
        <v>2485.6647659999999</v>
      </c>
      <c r="B64" s="2">
        <v>5.3172718565872662E-5</v>
      </c>
      <c r="C64" s="2">
        <f t="shared" si="0"/>
        <v>6.1023141991787743E-3</v>
      </c>
    </row>
    <row r="65" spans="1:3" x14ac:dyDescent="0.35">
      <c r="A65">
        <v>2574.9887229999999</v>
      </c>
      <c r="B65" s="2">
        <v>5.2402323677979802E-5</v>
      </c>
      <c r="C65" s="2">
        <f t="shared" si="0"/>
        <v>6.0139005955459389E-3</v>
      </c>
    </row>
    <row r="66" spans="1:3" x14ac:dyDescent="0.35">
      <c r="A66">
        <v>1673.6371320000001</v>
      </c>
      <c r="B66" s="2">
        <v>4.7578801298085831E-5</v>
      </c>
      <c r="C66" s="2">
        <f t="shared" si="0"/>
        <v>5.4603338435955263E-3</v>
      </c>
    </row>
    <row r="67" spans="1:3" x14ac:dyDescent="0.35">
      <c r="A67">
        <v>2619.2275800000002</v>
      </c>
      <c r="B67" s="2">
        <v>4.5651326489133235E-5</v>
      </c>
      <c r="C67" s="2">
        <f t="shared" ref="C67:C130" si="1">B67*1.3/(1.35*EXP(-990.163419*1.438776877/298))</f>
        <v>5.239129112815032E-3</v>
      </c>
    </row>
    <row r="68" spans="1:3" x14ac:dyDescent="0.35">
      <c r="A68">
        <v>2602.4759009999998</v>
      </c>
      <c r="B68" s="2">
        <v>4.2074113066768632E-5</v>
      </c>
      <c r="C68" s="2">
        <f t="shared" si="1"/>
        <v>4.8285937697002098E-3</v>
      </c>
    </row>
    <row r="69" spans="1:3" x14ac:dyDescent="0.35">
      <c r="A69">
        <v>2082.7064220000002</v>
      </c>
      <c r="B69" s="2">
        <v>4.1551219493873024E-5</v>
      </c>
      <c r="C69" s="2">
        <f t="shared" si="1"/>
        <v>4.7685844084976751E-3</v>
      </c>
    </row>
    <row r="70" spans="1:3" x14ac:dyDescent="0.35">
      <c r="A70">
        <v>1603.470429</v>
      </c>
      <c r="B70" s="2">
        <v>3.9681942653611651E-5</v>
      </c>
      <c r="C70" s="2">
        <f t="shared" si="1"/>
        <v>4.5540587097525256E-3</v>
      </c>
    </row>
    <row r="71" spans="1:3" x14ac:dyDescent="0.35">
      <c r="A71">
        <v>1772.1348270000001</v>
      </c>
      <c r="B71" s="2">
        <v>3.8488052216247705E-5</v>
      </c>
      <c r="C71" s="2">
        <f t="shared" si="1"/>
        <v>4.4170430602862645E-3</v>
      </c>
    </row>
    <row r="72" spans="1:3" x14ac:dyDescent="0.35">
      <c r="A72">
        <v>2534.9121030000001</v>
      </c>
      <c r="B72" s="2">
        <v>3.7662702704034304E-5</v>
      </c>
      <c r="C72" s="2">
        <f t="shared" si="1"/>
        <v>4.3223226438113081E-3</v>
      </c>
    </row>
    <row r="73" spans="1:3" x14ac:dyDescent="0.35">
      <c r="A73">
        <v>1648.1385150000001</v>
      </c>
      <c r="B73" s="2">
        <v>3.5871029097206784E-5</v>
      </c>
      <c r="C73" s="2">
        <f t="shared" si="1"/>
        <v>4.1167030030232841E-3</v>
      </c>
    </row>
    <row r="74" spans="1:3" x14ac:dyDescent="0.35">
      <c r="A74">
        <v>2538.8131659999999</v>
      </c>
      <c r="B74" s="2">
        <v>3.5745874016252192E-5</v>
      </c>
      <c r="C74" s="2">
        <f t="shared" si="1"/>
        <v>4.1023397045460317E-3</v>
      </c>
    </row>
    <row r="75" spans="1:3" x14ac:dyDescent="0.35">
      <c r="A75">
        <v>1729.786885</v>
      </c>
      <c r="B75" s="2">
        <v>3.5417682638889822E-5</v>
      </c>
      <c r="C75" s="2">
        <f t="shared" si="1"/>
        <v>4.0646751473042315E-3</v>
      </c>
    </row>
    <row r="76" spans="1:3" x14ac:dyDescent="0.35">
      <c r="A76">
        <v>3656.6691129999999</v>
      </c>
      <c r="B76" s="2">
        <v>3.3754978717663841E-5</v>
      </c>
      <c r="C76" s="2">
        <f t="shared" si="1"/>
        <v>3.8738565843045268E-3</v>
      </c>
    </row>
    <row r="77" spans="1:3" x14ac:dyDescent="0.35">
      <c r="A77">
        <v>3614.6476440000001</v>
      </c>
      <c r="B77" s="2">
        <v>3.3704069707311322E-5</v>
      </c>
      <c r="C77" s="2">
        <f t="shared" si="1"/>
        <v>3.8680140623286109E-3</v>
      </c>
    </row>
    <row r="78" spans="1:3" x14ac:dyDescent="0.35">
      <c r="A78">
        <v>3661.7130689999999</v>
      </c>
      <c r="B78" s="2">
        <v>3.3648768027016483E-5</v>
      </c>
      <c r="C78" s="2">
        <f t="shared" si="1"/>
        <v>3.861667419952529E-3</v>
      </c>
    </row>
    <row r="79" spans="1:3" x14ac:dyDescent="0.35">
      <c r="A79">
        <v>2374.526206</v>
      </c>
      <c r="B79" s="2">
        <v>3.2599186029200125E-5</v>
      </c>
      <c r="C79" s="2">
        <f t="shared" si="1"/>
        <v>3.7412131851264027E-3</v>
      </c>
    </row>
    <row r="80" spans="1:3" x14ac:dyDescent="0.35">
      <c r="A80">
        <v>2495.1192000000001</v>
      </c>
      <c r="B80" s="2">
        <v>3.2203903546941568E-5</v>
      </c>
      <c r="C80" s="2">
        <f t="shared" si="1"/>
        <v>3.6958489839113602E-3</v>
      </c>
    </row>
    <row r="81" spans="1:3" x14ac:dyDescent="0.35">
      <c r="A81">
        <v>3022.4315059999999</v>
      </c>
      <c r="B81" s="2">
        <v>3.0295234137286559E-5</v>
      </c>
      <c r="C81" s="2">
        <f t="shared" si="1"/>
        <v>3.4768024360910389E-3</v>
      </c>
    </row>
    <row r="82" spans="1:3" x14ac:dyDescent="0.35">
      <c r="A82">
        <v>1651.287722</v>
      </c>
      <c r="B82" s="2">
        <v>3.0198503862015006E-5</v>
      </c>
      <c r="C82" s="2">
        <f t="shared" si="1"/>
        <v>3.4657012821872973E-3</v>
      </c>
    </row>
    <row r="83" spans="1:3" x14ac:dyDescent="0.35">
      <c r="A83">
        <v>1816.464694</v>
      </c>
      <c r="B83" s="2">
        <v>3.0188314761109856E-5</v>
      </c>
      <c r="C83" s="2">
        <f t="shared" si="1"/>
        <v>3.4645319401486103E-3</v>
      </c>
    </row>
    <row r="84" spans="1:3" x14ac:dyDescent="0.35">
      <c r="A84">
        <v>3649.1688140000001</v>
      </c>
      <c r="B84" s="2">
        <v>2.7027606266732862E-5</v>
      </c>
      <c r="C84" s="2">
        <f t="shared" si="1"/>
        <v>3.1017963711404673E-3</v>
      </c>
    </row>
    <row r="85" spans="1:3" x14ac:dyDescent="0.35">
      <c r="A85">
        <v>2498.91318</v>
      </c>
      <c r="B85" s="2">
        <v>2.6898231712605343E-5</v>
      </c>
      <c r="C85" s="2">
        <f t="shared" si="1"/>
        <v>3.0869488290181523E-3</v>
      </c>
    </row>
    <row r="86" spans="1:3" x14ac:dyDescent="0.35">
      <c r="A86">
        <v>3628.9107979999999</v>
      </c>
      <c r="B86" s="2">
        <v>2.6101009994090722E-5</v>
      </c>
      <c r="C86" s="2">
        <f t="shared" si="1"/>
        <v>2.9954564708315262E-3</v>
      </c>
    </row>
    <row r="87" spans="1:3" x14ac:dyDescent="0.35">
      <c r="A87">
        <v>1689.9642510000001</v>
      </c>
      <c r="B87" s="2">
        <v>2.5644317273016829E-5</v>
      </c>
      <c r="C87" s="2">
        <f t="shared" si="1"/>
        <v>2.9430445845929415E-3</v>
      </c>
    </row>
    <row r="88" spans="1:3" x14ac:dyDescent="0.35">
      <c r="A88">
        <v>885.83238200000005</v>
      </c>
      <c r="B88" s="2">
        <v>2.5639125705875969E-5</v>
      </c>
      <c r="C88" s="2">
        <f t="shared" si="1"/>
        <v>2.9424487795497892E-3</v>
      </c>
    </row>
    <row r="89" spans="1:3" x14ac:dyDescent="0.35">
      <c r="A89">
        <v>3172.5049130000002</v>
      </c>
      <c r="B89" s="2">
        <v>2.4147586081537988E-5</v>
      </c>
      <c r="C89" s="2">
        <f t="shared" si="1"/>
        <v>2.7712737169665268E-3</v>
      </c>
    </row>
    <row r="90" spans="1:3" x14ac:dyDescent="0.35">
      <c r="A90">
        <v>2156.588393</v>
      </c>
      <c r="B90" s="2">
        <v>2.3696639687215458E-5</v>
      </c>
      <c r="C90" s="2">
        <f t="shared" si="1"/>
        <v>2.7195213022064321E-3</v>
      </c>
    </row>
    <row r="91" spans="1:3" x14ac:dyDescent="0.35">
      <c r="A91">
        <v>2134.4777960000001</v>
      </c>
      <c r="B91" s="2">
        <v>2.1952659327774658E-5</v>
      </c>
      <c r="C91" s="2">
        <f t="shared" si="1"/>
        <v>2.5193751295536208E-3</v>
      </c>
    </row>
    <row r="92" spans="1:3" x14ac:dyDescent="0.35">
      <c r="A92">
        <v>1777.1234260000001</v>
      </c>
      <c r="B92" s="2">
        <v>2.0691068585751199E-5</v>
      </c>
      <c r="C92" s="2">
        <f t="shared" si="1"/>
        <v>2.3745899219087484E-3</v>
      </c>
    </row>
    <row r="93" spans="1:3" x14ac:dyDescent="0.35">
      <c r="A93">
        <v>2551.9129189999999</v>
      </c>
      <c r="B93" s="2">
        <v>2.0182008412265856E-5</v>
      </c>
      <c r="C93" s="2">
        <f t="shared" si="1"/>
        <v>2.316168137040863E-3</v>
      </c>
    </row>
    <row r="94" spans="1:3" x14ac:dyDescent="0.35">
      <c r="A94">
        <v>3679.0532440000002</v>
      </c>
      <c r="B94" s="2">
        <v>1.9453332446757662E-5</v>
      </c>
      <c r="C94" s="2">
        <f t="shared" si="1"/>
        <v>2.2325423640721124E-3</v>
      </c>
    </row>
    <row r="95" spans="1:3" x14ac:dyDescent="0.35">
      <c r="A95">
        <v>2328.4383389999998</v>
      </c>
      <c r="B95" s="2">
        <v>1.9422296320380927E-5</v>
      </c>
      <c r="C95" s="2">
        <f t="shared" si="1"/>
        <v>2.2289805338745151E-3</v>
      </c>
    </row>
    <row r="96" spans="1:3" x14ac:dyDescent="0.35">
      <c r="A96">
        <v>2192.3040489999998</v>
      </c>
      <c r="B96" s="2">
        <v>1.9286816459688962E-5</v>
      </c>
      <c r="C96" s="2">
        <f t="shared" si="1"/>
        <v>2.2134323223122429E-3</v>
      </c>
    </row>
    <row r="97" spans="1:3" x14ac:dyDescent="0.35">
      <c r="A97">
        <v>2584.1458819999998</v>
      </c>
      <c r="B97" s="2">
        <v>1.8976563413791776E-5</v>
      </c>
      <c r="C97" s="2">
        <f t="shared" si="1"/>
        <v>2.1778264398525865E-3</v>
      </c>
    </row>
    <row r="98" spans="1:3" x14ac:dyDescent="0.35">
      <c r="A98">
        <v>2489.7582010000001</v>
      </c>
      <c r="B98" s="2">
        <v>1.7956451906186976E-5</v>
      </c>
      <c r="C98" s="2">
        <f t="shared" si="1"/>
        <v>2.0607543565456066E-3</v>
      </c>
    </row>
    <row r="99" spans="1:3" x14ac:dyDescent="0.35">
      <c r="A99">
        <v>3608.1451870000001</v>
      </c>
      <c r="B99" s="2">
        <v>1.6821848963227775E-5</v>
      </c>
      <c r="C99" s="2">
        <f t="shared" si="1"/>
        <v>1.9305427774503499E-3</v>
      </c>
    </row>
    <row r="100" spans="1:3" x14ac:dyDescent="0.35">
      <c r="A100">
        <v>2796.5480790000001</v>
      </c>
      <c r="B100" s="2">
        <v>1.5144040910661314E-5</v>
      </c>
      <c r="C100" s="2">
        <f t="shared" si="1"/>
        <v>1.737990803828973E-3</v>
      </c>
    </row>
    <row r="101" spans="1:3" x14ac:dyDescent="0.35">
      <c r="A101">
        <v>3358.450871</v>
      </c>
      <c r="B101" s="2">
        <v>1.4781724470241664E-5</v>
      </c>
      <c r="C101" s="2">
        <f t="shared" si="1"/>
        <v>1.6964099176414501E-3</v>
      </c>
    </row>
    <row r="102" spans="1:3" x14ac:dyDescent="0.35">
      <c r="A102">
        <v>3665.8270790000001</v>
      </c>
      <c r="B102" s="2">
        <v>1.4599850097047903E-5</v>
      </c>
      <c r="C102" s="2">
        <f t="shared" si="1"/>
        <v>1.6755372859622538E-3</v>
      </c>
    </row>
    <row r="103" spans="1:3" x14ac:dyDescent="0.35">
      <c r="A103">
        <v>2797.3154519999998</v>
      </c>
      <c r="B103" s="2">
        <v>1.396305164531181E-5</v>
      </c>
      <c r="C103" s="2">
        <f t="shared" si="1"/>
        <v>1.6024557445467977E-3</v>
      </c>
    </row>
    <row r="104" spans="1:3" x14ac:dyDescent="0.35">
      <c r="A104">
        <v>2075.164495</v>
      </c>
      <c r="B104" s="2">
        <v>1.3740747148085985E-5</v>
      </c>
      <c r="C104" s="2">
        <f t="shared" si="1"/>
        <v>1.5769431898655494E-3</v>
      </c>
    </row>
    <row r="105" spans="1:3" x14ac:dyDescent="0.35">
      <c r="A105">
        <v>1533.8783619999999</v>
      </c>
      <c r="B105" s="2">
        <v>1.3668325786146302E-5</v>
      </c>
      <c r="C105" s="2">
        <f t="shared" si="1"/>
        <v>1.5686318242403199E-3</v>
      </c>
    </row>
    <row r="106" spans="1:3" x14ac:dyDescent="0.35">
      <c r="A106">
        <v>3670.6863159999998</v>
      </c>
      <c r="B106" s="2">
        <v>1.3650591846139869E-5</v>
      </c>
      <c r="C106" s="2">
        <f t="shared" si="1"/>
        <v>1.5665966062408004E-3</v>
      </c>
    </row>
    <row r="107" spans="1:3" x14ac:dyDescent="0.35">
      <c r="A107">
        <v>925.53360099999998</v>
      </c>
      <c r="B107" s="2">
        <v>1.3611924884491233E-5</v>
      </c>
      <c r="C107" s="2">
        <f t="shared" si="1"/>
        <v>1.5621590308173196E-3</v>
      </c>
    </row>
    <row r="108" spans="1:3" x14ac:dyDescent="0.35">
      <c r="A108">
        <v>3820.5443190000001</v>
      </c>
      <c r="B108" s="2">
        <v>1.278639747823859E-5</v>
      </c>
      <c r="C108" s="2">
        <f t="shared" si="1"/>
        <v>1.4674181985097543E-3</v>
      </c>
    </row>
    <row r="109" spans="1:3" x14ac:dyDescent="0.35">
      <c r="A109">
        <v>1922.8883109999999</v>
      </c>
      <c r="B109" s="2">
        <v>1.260134353514525E-5</v>
      </c>
      <c r="C109" s="2">
        <f t="shared" si="1"/>
        <v>1.4461806666511273E-3</v>
      </c>
    </row>
    <row r="110" spans="1:3" x14ac:dyDescent="0.35">
      <c r="A110">
        <v>2128.3969189999998</v>
      </c>
      <c r="B110" s="2">
        <v>1.1906597274446782E-5</v>
      </c>
      <c r="C110" s="2">
        <f t="shared" si="1"/>
        <v>1.3664488025329808E-3</v>
      </c>
    </row>
    <row r="111" spans="1:3" x14ac:dyDescent="0.35">
      <c r="A111">
        <v>1354.4170429999999</v>
      </c>
      <c r="B111" s="2">
        <v>1.1481025471492095E-5</v>
      </c>
      <c r="C111" s="2">
        <f t="shared" si="1"/>
        <v>1.3176084775320452E-3</v>
      </c>
    </row>
    <row r="112" spans="1:3" x14ac:dyDescent="0.35">
      <c r="A112">
        <v>2531.0738820000001</v>
      </c>
      <c r="B112" s="2">
        <v>1.1415945038966209E-5</v>
      </c>
      <c r="C112" s="2">
        <f t="shared" si="1"/>
        <v>1.3101395863750242E-3</v>
      </c>
    </row>
    <row r="113" spans="1:3" x14ac:dyDescent="0.35">
      <c r="A113">
        <v>2620.1972890000002</v>
      </c>
      <c r="B113" s="2">
        <v>1.138218268944931E-5</v>
      </c>
      <c r="C113" s="2">
        <f t="shared" si="1"/>
        <v>1.3062648838882711E-3</v>
      </c>
    </row>
    <row r="114" spans="1:3" x14ac:dyDescent="0.35">
      <c r="A114">
        <v>1566.180233</v>
      </c>
      <c r="B114" s="2">
        <v>1.1061281053303934E-5</v>
      </c>
      <c r="C114" s="2">
        <f t="shared" si="1"/>
        <v>1.2694369265521482E-3</v>
      </c>
    </row>
    <row r="115" spans="1:3" x14ac:dyDescent="0.35">
      <c r="A115">
        <v>1678.542743</v>
      </c>
      <c r="B115" s="2">
        <v>1.1060782118938657E-5</v>
      </c>
      <c r="C115" s="2">
        <f t="shared" si="1"/>
        <v>1.2693796668455956E-3</v>
      </c>
    </row>
    <row r="116" spans="1:3" x14ac:dyDescent="0.35">
      <c r="A116">
        <v>2498.8642610000002</v>
      </c>
      <c r="B116" s="2">
        <v>1.1028026852027743E-5</v>
      </c>
      <c r="C116" s="2">
        <f t="shared" si="1"/>
        <v>1.265620541193204E-3</v>
      </c>
    </row>
    <row r="117" spans="1:3" x14ac:dyDescent="0.35">
      <c r="A117">
        <v>2547.9369750000001</v>
      </c>
      <c r="B117" s="2">
        <v>1.0995719572170945E-5</v>
      </c>
      <c r="C117" s="2">
        <f t="shared" si="1"/>
        <v>1.2619128283298353E-3</v>
      </c>
    </row>
    <row r="118" spans="1:3" x14ac:dyDescent="0.35">
      <c r="A118">
        <v>3183.0666110000002</v>
      </c>
      <c r="B118" s="2">
        <v>1.0852832779402015E-5</v>
      </c>
      <c r="C118" s="2">
        <f t="shared" si="1"/>
        <v>1.2455145675693145E-3</v>
      </c>
    </row>
    <row r="119" spans="1:3" x14ac:dyDescent="0.35">
      <c r="A119">
        <v>2432.8402599999999</v>
      </c>
      <c r="B119" s="2">
        <v>1.0153567805354271E-5</v>
      </c>
      <c r="C119" s="2">
        <f t="shared" si="1"/>
        <v>1.1652641178046743E-3</v>
      </c>
    </row>
    <row r="120" spans="1:3" x14ac:dyDescent="0.35">
      <c r="A120">
        <v>3803.4858020000001</v>
      </c>
      <c r="B120" s="2">
        <v>1.010405412502512E-5</v>
      </c>
      <c r="C120" s="2">
        <f t="shared" si="1"/>
        <v>1.1595817294921063E-3</v>
      </c>
    </row>
    <row r="121" spans="1:3" x14ac:dyDescent="0.35">
      <c r="A121">
        <v>2588.0128100000002</v>
      </c>
      <c r="B121" s="2">
        <v>9.6523571310732799E-6</v>
      </c>
      <c r="C121" s="2">
        <f t="shared" si="1"/>
        <v>1.1077431729115557E-3</v>
      </c>
    </row>
    <row r="122" spans="1:3" x14ac:dyDescent="0.35">
      <c r="A122">
        <v>3538.5504989999999</v>
      </c>
      <c r="B122" s="2">
        <v>9.2677638282919029E-6</v>
      </c>
      <c r="C122" s="2">
        <f t="shared" si="1"/>
        <v>1.0636057047555048E-3</v>
      </c>
    </row>
    <row r="123" spans="1:3" x14ac:dyDescent="0.35">
      <c r="A123">
        <v>3689.9348890000001</v>
      </c>
      <c r="B123" s="2">
        <v>8.6872334900062381E-6</v>
      </c>
      <c r="C123" s="2">
        <f t="shared" si="1"/>
        <v>9.9698171745671803E-4</v>
      </c>
    </row>
    <row r="124" spans="1:3" x14ac:dyDescent="0.35">
      <c r="A124">
        <v>3583.0304590000001</v>
      </c>
      <c r="B124" s="2">
        <v>8.6579489032811851E-6</v>
      </c>
      <c r="C124" s="2">
        <f t="shared" si="1"/>
        <v>9.9362090096643467E-4</v>
      </c>
    </row>
    <row r="125" spans="1:3" x14ac:dyDescent="0.35">
      <c r="A125">
        <v>2258.095221</v>
      </c>
      <c r="B125" s="2">
        <v>8.5094770566915196E-6</v>
      </c>
      <c r="C125" s="2">
        <f t="shared" si="1"/>
        <v>9.7658167705502253E-4</v>
      </c>
    </row>
    <row r="126" spans="1:3" x14ac:dyDescent="0.35">
      <c r="A126">
        <v>3688.4101740000001</v>
      </c>
      <c r="B126" s="2">
        <v>8.4215816835234254E-6</v>
      </c>
      <c r="C126" s="2">
        <f t="shared" si="1"/>
        <v>9.6649445191039683E-4</v>
      </c>
    </row>
    <row r="127" spans="1:3" x14ac:dyDescent="0.35">
      <c r="A127">
        <v>2133.5821019999998</v>
      </c>
      <c r="B127" s="2">
        <v>8.4153956802722554E-6</v>
      </c>
      <c r="C127" s="2">
        <f t="shared" si="1"/>
        <v>9.657845213953901E-4</v>
      </c>
    </row>
    <row r="128" spans="1:3" x14ac:dyDescent="0.35">
      <c r="A128">
        <v>3616.925287</v>
      </c>
      <c r="B128" s="2">
        <v>8.218167076230592E-6</v>
      </c>
      <c r="C128" s="2">
        <f t="shared" si="1"/>
        <v>9.4314977667311981E-4</v>
      </c>
    </row>
    <row r="129" spans="1:3" x14ac:dyDescent="0.35">
      <c r="A129">
        <v>3641.8930890000001</v>
      </c>
      <c r="B129" s="2">
        <v>8.0751432797584629E-6</v>
      </c>
      <c r="C129" s="2">
        <f t="shared" si="1"/>
        <v>9.2673579281876608E-4</v>
      </c>
    </row>
    <row r="130" spans="1:3" x14ac:dyDescent="0.35">
      <c r="A130">
        <v>2513.5271349999998</v>
      </c>
      <c r="B130" s="2">
        <v>8.0324269101930879E-6</v>
      </c>
      <c r="C130" s="2">
        <f t="shared" si="1"/>
        <v>9.2183349112032588E-4</v>
      </c>
    </row>
    <row r="131" spans="1:3" x14ac:dyDescent="0.35">
      <c r="A131">
        <v>2922.5669269999999</v>
      </c>
      <c r="B131" s="2">
        <v>7.1644969481321593E-6</v>
      </c>
      <c r="C131" s="2">
        <f t="shared" ref="C131:C194" si="2">B131*1.3/(1.35*EXP(-990.163419*1.438776877/298))</f>
        <v>8.2222637163826087E-4</v>
      </c>
    </row>
    <row r="132" spans="1:3" x14ac:dyDescent="0.35">
      <c r="A132">
        <v>1831.4201049999999</v>
      </c>
      <c r="B132" s="2">
        <v>7.1264557471340472E-6</v>
      </c>
      <c r="C132" s="2">
        <f t="shared" si="2"/>
        <v>8.1786061101390972E-4</v>
      </c>
    </row>
    <row r="133" spans="1:3" x14ac:dyDescent="0.35">
      <c r="A133">
        <v>3095.0154040000002</v>
      </c>
      <c r="B133" s="2">
        <v>6.9700493084905268E-6</v>
      </c>
      <c r="C133" s="2">
        <f t="shared" si="2"/>
        <v>7.9991078153142923E-4</v>
      </c>
    </row>
    <row r="134" spans="1:3" x14ac:dyDescent="0.35">
      <c r="A134">
        <v>3411.1078950000001</v>
      </c>
      <c r="B134" s="2">
        <v>6.7707955789406397E-6</v>
      </c>
      <c r="C134" s="2">
        <f t="shared" si="2"/>
        <v>7.7704362529292925E-4</v>
      </c>
    </row>
    <row r="135" spans="1:3" x14ac:dyDescent="0.35">
      <c r="A135">
        <v>2769.807941</v>
      </c>
      <c r="B135" s="2">
        <v>6.6525152534805121E-6</v>
      </c>
      <c r="C135" s="2">
        <f t="shared" si="2"/>
        <v>7.6346930129735145E-4</v>
      </c>
    </row>
    <row r="136" spans="1:3" x14ac:dyDescent="0.35">
      <c r="A136">
        <v>3607.3956819999999</v>
      </c>
      <c r="B136" s="2">
        <v>6.5323975728623037E-6</v>
      </c>
      <c r="C136" s="2">
        <f t="shared" si="2"/>
        <v>7.4968411506315792E-4</v>
      </c>
    </row>
    <row r="137" spans="1:3" x14ac:dyDescent="0.35">
      <c r="A137">
        <v>3419.0992310000001</v>
      </c>
      <c r="B137" s="2">
        <v>6.4799520735060801E-6</v>
      </c>
      <c r="C137" s="2">
        <f t="shared" si="2"/>
        <v>7.4366525945380969E-4</v>
      </c>
    </row>
    <row r="138" spans="1:3" x14ac:dyDescent="0.35">
      <c r="A138">
        <v>1987.592425</v>
      </c>
      <c r="B138" s="2">
        <v>6.34773777888432E-6</v>
      </c>
      <c r="C138" s="2">
        <f t="shared" si="2"/>
        <v>7.2849181733602021E-4</v>
      </c>
    </row>
    <row r="139" spans="1:3" x14ac:dyDescent="0.35">
      <c r="A139">
        <v>3683.6968550000001</v>
      </c>
      <c r="B139" s="2">
        <v>6.3323247117208012E-6</v>
      </c>
      <c r="C139" s="2">
        <f t="shared" si="2"/>
        <v>7.2672295200166051E-4</v>
      </c>
    </row>
    <row r="140" spans="1:3" x14ac:dyDescent="0.35">
      <c r="A140">
        <v>3680.0780279999999</v>
      </c>
      <c r="B140" s="2">
        <v>6.0092852878571134E-6</v>
      </c>
      <c r="C140" s="2">
        <f t="shared" si="2"/>
        <v>6.8964965358273922E-4</v>
      </c>
    </row>
    <row r="141" spans="1:3" x14ac:dyDescent="0.35">
      <c r="A141">
        <v>3152.7856139999999</v>
      </c>
      <c r="B141" s="2">
        <v>5.9871073692687303E-6</v>
      </c>
      <c r="C141" s="2">
        <f t="shared" si="2"/>
        <v>6.8710442679802153E-4</v>
      </c>
    </row>
    <row r="142" spans="1:3" x14ac:dyDescent="0.35">
      <c r="A142">
        <v>2980.3400219999999</v>
      </c>
      <c r="B142" s="2">
        <v>5.9487990803039965E-6</v>
      </c>
      <c r="C142" s="2">
        <f t="shared" si="2"/>
        <v>6.8270801408863301E-4</v>
      </c>
    </row>
    <row r="143" spans="1:3" x14ac:dyDescent="0.35">
      <c r="A143">
        <v>2117.0479150000001</v>
      </c>
      <c r="B143" s="2">
        <v>5.815136521041244E-6</v>
      </c>
      <c r="C143" s="2">
        <f t="shared" si="2"/>
        <v>6.6736836331871409E-4</v>
      </c>
    </row>
    <row r="144" spans="1:3" x14ac:dyDescent="0.35">
      <c r="A144">
        <v>2028.1481100000001</v>
      </c>
      <c r="B144" s="2">
        <v>5.73052962216696E-6</v>
      </c>
      <c r="C144" s="2">
        <f t="shared" si="2"/>
        <v>6.5765853665808525E-4</v>
      </c>
    </row>
    <row r="145" spans="1:3" x14ac:dyDescent="0.35">
      <c r="A145">
        <v>3826.8667009999999</v>
      </c>
      <c r="B145" s="2">
        <v>5.4859991677355902E-6</v>
      </c>
      <c r="C145" s="2">
        <f t="shared" si="2"/>
        <v>6.2959524208796496E-4</v>
      </c>
    </row>
    <row r="146" spans="1:3" x14ac:dyDescent="0.35">
      <c r="A146">
        <v>2287.0627850000001</v>
      </c>
      <c r="B146" s="2">
        <v>5.473444202573609E-6</v>
      </c>
      <c r="C146" s="2">
        <f t="shared" si="2"/>
        <v>6.2815438398921577E-4</v>
      </c>
    </row>
    <row r="147" spans="1:3" x14ac:dyDescent="0.35">
      <c r="A147">
        <v>2108.227316</v>
      </c>
      <c r="B147" s="2">
        <v>5.4105302291783805E-6</v>
      </c>
      <c r="C147" s="2">
        <f t="shared" si="2"/>
        <v>6.2093412436113517E-4</v>
      </c>
    </row>
    <row r="148" spans="1:3" x14ac:dyDescent="0.35">
      <c r="A148">
        <v>2376.4945830000001</v>
      </c>
      <c r="B148" s="2">
        <v>5.3464402882605725E-6</v>
      </c>
      <c r="C148" s="2">
        <f t="shared" si="2"/>
        <v>6.1357890598909054E-4</v>
      </c>
    </row>
    <row r="149" spans="1:3" x14ac:dyDescent="0.35">
      <c r="A149">
        <v>2338.9318450000001</v>
      </c>
      <c r="B149" s="2">
        <v>5.2763113144378203E-6</v>
      </c>
      <c r="C149" s="2">
        <f t="shared" si="2"/>
        <v>6.0553062400775352E-4</v>
      </c>
    </row>
    <row r="150" spans="1:3" x14ac:dyDescent="0.35">
      <c r="A150">
        <v>3599.5795320000002</v>
      </c>
      <c r="B150" s="2">
        <v>5.1385049983784193E-6</v>
      </c>
      <c r="C150" s="2">
        <f t="shared" si="2"/>
        <v>5.8971541910744329E-4</v>
      </c>
    </row>
    <row r="151" spans="1:3" x14ac:dyDescent="0.35">
      <c r="A151">
        <v>2078.788035</v>
      </c>
      <c r="B151" s="2">
        <v>5.0250764528087963E-6</v>
      </c>
      <c r="C151" s="2">
        <f t="shared" si="2"/>
        <v>5.7669790480893691E-4</v>
      </c>
    </row>
    <row r="152" spans="1:3" x14ac:dyDescent="0.35">
      <c r="A152">
        <v>3329.3659429999998</v>
      </c>
      <c r="B152" s="2">
        <v>4.9902422585837538E-6</v>
      </c>
      <c r="C152" s="2">
        <f t="shared" si="2"/>
        <v>5.727001931295333E-4</v>
      </c>
    </row>
    <row r="153" spans="1:3" x14ac:dyDescent="0.35">
      <c r="A153">
        <v>2595.5363550000002</v>
      </c>
      <c r="B153" s="2">
        <v>4.9163697233090751E-6</v>
      </c>
      <c r="C153" s="2">
        <f t="shared" si="2"/>
        <v>5.6422228503879798E-4</v>
      </c>
    </row>
    <row r="154" spans="1:3" x14ac:dyDescent="0.35">
      <c r="A154">
        <v>3628.7137400000001</v>
      </c>
      <c r="B154" s="2">
        <v>4.9032428414574594E-6</v>
      </c>
      <c r="C154" s="2">
        <f t="shared" si="2"/>
        <v>5.6271579148957644E-4</v>
      </c>
    </row>
    <row r="155" spans="1:3" x14ac:dyDescent="0.35">
      <c r="A155">
        <v>2641.8654569999999</v>
      </c>
      <c r="B155" s="2">
        <v>4.8423532408028545E-6</v>
      </c>
      <c r="C155" s="2">
        <f t="shared" si="2"/>
        <v>5.5572785698710032E-4</v>
      </c>
    </row>
    <row r="156" spans="1:3" x14ac:dyDescent="0.35">
      <c r="A156">
        <v>3375.3251479999999</v>
      </c>
      <c r="B156" s="2">
        <v>4.8222536412923808E-6</v>
      </c>
      <c r="C156" s="2">
        <f t="shared" si="2"/>
        <v>5.5342114642576942E-4</v>
      </c>
    </row>
    <row r="157" spans="1:3" x14ac:dyDescent="0.35">
      <c r="A157">
        <v>2989.9240639999998</v>
      </c>
      <c r="B157" s="2">
        <v>4.8176590128361761E-6</v>
      </c>
      <c r="C157" s="2">
        <f t="shared" si="2"/>
        <v>5.5289384845747924E-4</v>
      </c>
    </row>
    <row r="158" spans="1:3" x14ac:dyDescent="0.35">
      <c r="A158">
        <v>2273.5125029999999</v>
      </c>
      <c r="B158" s="2">
        <v>4.6856603048329153E-6</v>
      </c>
      <c r="C158" s="2">
        <f t="shared" si="2"/>
        <v>5.3774514792369582E-4</v>
      </c>
    </row>
    <row r="159" spans="1:3" x14ac:dyDescent="0.35">
      <c r="A159">
        <v>3151.6490060000001</v>
      </c>
      <c r="B159" s="2">
        <v>4.6426624543844064E-6</v>
      </c>
      <c r="C159" s="2">
        <f t="shared" si="2"/>
        <v>5.3281054235145963E-4</v>
      </c>
    </row>
    <row r="160" spans="1:3" x14ac:dyDescent="0.35">
      <c r="A160">
        <v>3825.154321</v>
      </c>
      <c r="B160" s="2">
        <v>4.4249277382618469E-6</v>
      </c>
      <c r="C160" s="2">
        <f t="shared" si="2"/>
        <v>5.0782243405673663E-4</v>
      </c>
    </row>
    <row r="161" spans="1:3" x14ac:dyDescent="0.35">
      <c r="A161">
        <v>3259.6455299999998</v>
      </c>
      <c r="B161" s="2">
        <v>4.3898156884824319E-6</v>
      </c>
      <c r="C161" s="2">
        <f t="shared" si="2"/>
        <v>5.0379283456078916E-4</v>
      </c>
    </row>
    <row r="162" spans="1:3" x14ac:dyDescent="0.35">
      <c r="A162">
        <v>3107.0437870000001</v>
      </c>
      <c r="B162" s="2">
        <v>4.3845706085984191E-6</v>
      </c>
      <c r="C162" s="2">
        <f t="shared" si="2"/>
        <v>5.0319088818085399E-4</v>
      </c>
    </row>
    <row r="163" spans="1:3" x14ac:dyDescent="0.35">
      <c r="A163">
        <v>2631.6755549999998</v>
      </c>
      <c r="B163" s="2">
        <v>4.3736466198293026E-6</v>
      </c>
      <c r="C163" s="2">
        <f t="shared" si="2"/>
        <v>5.0193720746684529E-4</v>
      </c>
    </row>
    <row r="164" spans="1:3" x14ac:dyDescent="0.35">
      <c r="A164">
        <v>3352.801097</v>
      </c>
      <c r="B164" s="2">
        <v>4.3188431572649788E-6</v>
      </c>
      <c r="C164" s="2">
        <f t="shared" si="2"/>
        <v>4.9564774255343984E-4</v>
      </c>
    </row>
    <row r="165" spans="1:3" x14ac:dyDescent="0.35">
      <c r="A165">
        <v>2410.1583270000001</v>
      </c>
      <c r="B165" s="2">
        <v>4.3155882082290024E-6</v>
      </c>
      <c r="C165" s="2">
        <f t="shared" si="2"/>
        <v>4.9527419156233834E-4</v>
      </c>
    </row>
    <row r="166" spans="1:3" x14ac:dyDescent="0.35">
      <c r="A166">
        <v>2453.3531670000002</v>
      </c>
      <c r="B166" s="2">
        <v>4.2125339383719906E-6</v>
      </c>
      <c r="C166" s="2">
        <f t="shared" si="2"/>
        <v>4.8344727070525695E-4</v>
      </c>
    </row>
    <row r="167" spans="1:3" x14ac:dyDescent="0.35">
      <c r="A167">
        <v>2485.442137</v>
      </c>
      <c r="B167" s="2">
        <v>4.1447038445339478E-6</v>
      </c>
      <c r="C167" s="2">
        <f t="shared" si="2"/>
        <v>4.7566281740056581E-4</v>
      </c>
    </row>
    <row r="168" spans="1:3" x14ac:dyDescent="0.35">
      <c r="A168">
        <v>3169.6975000000002</v>
      </c>
      <c r="B168" s="2">
        <v>4.1007520327834532E-6</v>
      </c>
      <c r="C168" s="2">
        <f t="shared" si="2"/>
        <v>4.706187314076255E-4</v>
      </c>
    </row>
    <row r="169" spans="1:3" x14ac:dyDescent="0.35">
      <c r="A169">
        <v>3709.5047760000002</v>
      </c>
      <c r="B169" s="2">
        <v>3.7858257032490751E-6</v>
      </c>
      <c r="C169" s="2">
        <f t="shared" si="2"/>
        <v>4.3447652419600615E-4</v>
      </c>
    </row>
    <row r="170" spans="1:3" x14ac:dyDescent="0.35">
      <c r="A170">
        <v>3726.588553</v>
      </c>
      <c r="B170" s="2">
        <v>3.7765518051477212E-6</v>
      </c>
      <c r="C170" s="2">
        <f t="shared" si="2"/>
        <v>4.334122144974994E-4</v>
      </c>
    </row>
    <row r="171" spans="1:3" x14ac:dyDescent="0.35">
      <c r="A171">
        <v>2953.8521500000002</v>
      </c>
      <c r="B171" s="2">
        <v>3.7562304643908512E-6</v>
      </c>
      <c r="C171" s="2">
        <f t="shared" si="2"/>
        <v>4.3108005602240896E-4</v>
      </c>
    </row>
    <row r="172" spans="1:3" x14ac:dyDescent="0.35">
      <c r="A172">
        <v>3804.0729160000001</v>
      </c>
      <c r="B172" s="2">
        <v>3.7482121344691708E-6</v>
      </c>
      <c r="C172" s="2">
        <f t="shared" si="2"/>
        <v>4.3015984035816462E-4</v>
      </c>
    </row>
    <row r="173" spans="1:3" x14ac:dyDescent="0.35">
      <c r="A173">
        <v>1985.506758</v>
      </c>
      <c r="B173" s="2">
        <v>3.6621347070993568E-6</v>
      </c>
      <c r="C173" s="2">
        <f t="shared" si="2"/>
        <v>4.2028124995626776E-4</v>
      </c>
    </row>
    <row r="174" spans="1:3" x14ac:dyDescent="0.35">
      <c r="A174">
        <v>3704.1900559999999</v>
      </c>
      <c r="B174" s="2">
        <v>3.5770594723571967E-6</v>
      </c>
      <c r="C174" s="2">
        <f t="shared" si="2"/>
        <v>4.1051767519522932E-4</v>
      </c>
    </row>
    <row r="175" spans="1:3" x14ac:dyDescent="0.35">
      <c r="A175">
        <v>3409.5785919999998</v>
      </c>
      <c r="B175" s="2">
        <v>3.4502731199248416E-6</v>
      </c>
      <c r="C175" s="2">
        <f t="shared" si="2"/>
        <v>3.9596716546811127E-4</v>
      </c>
    </row>
    <row r="176" spans="1:3" x14ac:dyDescent="0.35">
      <c r="A176">
        <v>2526.8974370000001</v>
      </c>
      <c r="B176" s="2">
        <v>3.4084898690321441E-6</v>
      </c>
      <c r="C176" s="2">
        <f t="shared" si="2"/>
        <v>3.9117195220673767E-4</v>
      </c>
    </row>
    <row r="177" spans="1:3" x14ac:dyDescent="0.35">
      <c r="A177">
        <v>3405.9273640000001</v>
      </c>
      <c r="B177" s="2">
        <v>3.4040889969340385E-6</v>
      </c>
      <c r="C177" s="2">
        <f t="shared" si="2"/>
        <v>3.9066689049431518E-4</v>
      </c>
    </row>
    <row r="178" spans="1:3" x14ac:dyDescent="0.35">
      <c r="A178">
        <v>2879.0320419999998</v>
      </c>
      <c r="B178" s="2">
        <v>3.3070208434307613E-6</v>
      </c>
      <c r="C178" s="2">
        <f t="shared" si="2"/>
        <v>3.7952696033111881E-4</v>
      </c>
    </row>
    <row r="179" spans="1:3" x14ac:dyDescent="0.35">
      <c r="A179">
        <v>2402.122844</v>
      </c>
      <c r="B179" s="2">
        <v>3.1500749715250817E-6</v>
      </c>
      <c r="C179" s="2">
        <f t="shared" si="2"/>
        <v>3.6151522332643593E-4</v>
      </c>
    </row>
    <row r="180" spans="1:3" x14ac:dyDescent="0.35">
      <c r="A180">
        <v>1285.7550289999999</v>
      </c>
      <c r="B180" s="2">
        <v>3.1037644799317314E-6</v>
      </c>
      <c r="C180" s="2">
        <f t="shared" si="2"/>
        <v>3.5620044578556307E-4</v>
      </c>
    </row>
    <row r="181" spans="1:3" x14ac:dyDescent="0.35">
      <c r="A181">
        <v>2107.1680540000002</v>
      </c>
      <c r="B181" s="2">
        <v>3.0462326322787009E-6</v>
      </c>
      <c r="C181" s="2">
        <f t="shared" si="2"/>
        <v>3.4959786046912585E-4</v>
      </c>
    </row>
    <row r="182" spans="1:3" x14ac:dyDescent="0.35">
      <c r="A182">
        <v>3066.4812160000001</v>
      </c>
      <c r="B182" s="2">
        <v>2.9605094212086014E-6</v>
      </c>
      <c r="C182" s="2">
        <f t="shared" si="2"/>
        <v>3.3975992134881899E-4</v>
      </c>
    </row>
    <row r="183" spans="1:3" x14ac:dyDescent="0.35">
      <c r="A183">
        <v>2076.0274399999998</v>
      </c>
      <c r="B183" s="2">
        <v>2.9456234178300384E-6</v>
      </c>
      <c r="C183" s="2">
        <f t="shared" si="2"/>
        <v>3.3805154396590419E-4</v>
      </c>
    </row>
    <row r="184" spans="1:3" x14ac:dyDescent="0.35">
      <c r="A184">
        <v>3849.8497819999998</v>
      </c>
      <c r="B184" s="2">
        <v>2.9228236048055197E-6</v>
      </c>
      <c r="C184" s="2">
        <f t="shared" si="2"/>
        <v>3.3543494608430862E-4</v>
      </c>
    </row>
    <row r="185" spans="1:3" x14ac:dyDescent="0.35">
      <c r="A185">
        <v>2212.6208419999998</v>
      </c>
      <c r="B185" s="2">
        <v>2.898096863300662E-6</v>
      </c>
      <c r="C185" s="2">
        <f t="shared" si="2"/>
        <v>3.3259720617079285E-4</v>
      </c>
    </row>
    <row r="186" spans="1:3" x14ac:dyDescent="0.35">
      <c r="A186">
        <v>2755.01872</v>
      </c>
      <c r="B186" s="2">
        <v>2.8976025840502211E-6</v>
      </c>
      <c r="C186" s="2">
        <f t="shared" si="2"/>
        <v>3.3254048070386781E-4</v>
      </c>
    </row>
    <row r="187" spans="1:3" x14ac:dyDescent="0.35">
      <c r="A187">
        <v>2958.0100520000001</v>
      </c>
      <c r="B187" s="2">
        <v>2.8879059015540028E-6</v>
      </c>
      <c r="C187" s="2">
        <f t="shared" si="2"/>
        <v>3.3142765057447924E-4</v>
      </c>
    </row>
    <row r="188" spans="1:3" x14ac:dyDescent="0.35">
      <c r="A188">
        <v>2965.808176</v>
      </c>
      <c r="B188" s="2">
        <v>2.8778830418456356E-6</v>
      </c>
      <c r="C188" s="2">
        <f t="shared" si="2"/>
        <v>3.3027738704151778E-4</v>
      </c>
    </row>
    <row r="189" spans="1:3" x14ac:dyDescent="0.35">
      <c r="A189">
        <v>3725.4581400000002</v>
      </c>
      <c r="B189" s="2">
        <v>2.8294391406303357E-6</v>
      </c>
      <c r="C189" s="2">
        <f t="shared" si="2"/>
        <v>3.2471777086572436E-4</v>
      </c>
    </row>
    <row r="190" spans="1:3" x14ac:dyDescent="0.35">
      <c r="A190">
        <v>3221.9659409999999</v>
      </c>
      <c r="B190" s="2">
        <v>2.8271882450635205E-6</v>
      </c>
      <c r="C190" s="2">
        <f t="shared" si="2"/>
        <v>3.2445944907310756E-4</v>
      </c>
    </row>
    <row r="191" spans="1:3" x14ac:dyDescent="0.35">
      <c r="A191">
        <v>2901.6065939999999</v>
      </c>
      <c r="B191" s="2">
        <v>2.7800465775969536E-6</v>
      </c>
      <c r="C191" s="2">
        <f t="shared" si="2"/>
        <v>3.190492824592299E-4</v>
      </c>
    </row>
    <row r="192" spans="1:3" x14ac:dyDescent="0.35">
      <c r="A192">
        <v>3824.4517430000001</v>
      </c>
      <c r="B192" s="2">
        <v>2.6957696498835231E-6</v>
      </c>
      <c r="C192" s="2">
        <f t="shared" si="2"/>
        <v>3.093773246109263E-4</v>
      </c>
    </row>
    <row r="193" spans="1:3" x14ac:dyDescent="0.35">
      <c r="A193">
        <v>3585.6130600000001</v>
      </c>
      <c r="B193" s="2">
        <v>2.673921088197632E-6</v>
      </c>
      <c r="C193" s="2">
        <f t="shared" si="2"/>
        <v>3.0686989614378345E-4</v>
      </c>
    </row>
    <row r="194" spans="1:3" x14ac:dyDescent="0.35">
      <c r="A194">
        <v>3651.9650000000001</v>
      </c>
      <c r="B194" s="2">
        <v>2.6249324241255645E-6</v>
      </c>
      <c r="C194" s="2">
        <f t="shared" si="2"/>
        <v>3.0124776080015918E-4</v>
      </c>
    </row>
    <row r="195" spans="1:3" x14ac:dyDescent="0.35">
      <c r="A195">
        <v>3790.4786629999999</v>
      </c>
      <c r="B195" s="2">
        <v>2.6038271873228987E-6</v>
      </c>
      <c r="C195" s="2">
        <f t="shared" ref="C195:C258" si="3">B195*1.3/(1.35*EXP(-990.163419*1.438776877/298))</f>
        <v>2.9882563927446768E-4</v>
      </c>
    </row>
    <row r="196" spans="1:3" x14ac:dyDescent="0.35">
      <c r="A196">
        <v>3715.4627220000002</v>
      </c>
      <c r="B196" s="2">
        <v>2.4576483671970878E-6</v>
      </c>
      <c r="C196" s="2">
        <f t="shared" si="3"/>
        <v>2.8204957226619817E-4</v>
      </c>
    </row>
    <row r="197" spans="1:3" x14ac:dyDescent="0.35">
      <c r="A197">
        <v>3494.9091950000002</v>
      </c>
      <c r="B197" s="2">
        <v>2.4310338953263579E-6</v>
      </c>
      <c r="C197" s="2">
        <f t="shared" si="3"/>
        <v>2.7899518885341103E-4</v>
      </c>
    </row>
    <row r="198" spans="1:3" x14ac:dyDescent="0.35">
      <c r="A198">
        <v>2942.6927649999998</v>
      </c>
      <c r="B198" s="2">
        <v>2.4282247894623677E-6</v>
      </c>
      <c r="C198" s="2">
        <f t="shared" si="3"/>
        <v>2.7867280461083021E-4</v>
      </c>
    </row>
    <row r="199" spans="1:3" x14ac:dyDescent="0.35">
      <c r="A199">
        <v>3317.5183489999999</v>
      </c>
      <c r="B199" s="2">
        <v>2.3448183019801698E-6</v>
      </c>
      <c r="C199" s="2">
        <f t="shared" si="3"/>
        <v>2.6910074197055524E-4</v>
      </c>
    </row>
    <row r="200" spans="1:3" x14ac:dyDescent="0.35">
      <c r="A200">
        <v>2993.5002370000002</v>
      </c>
      <c r="B200" s="2">
        <v>2.3360131311858433E-6</v>
      </c>
      <c r="C200" s="2">
        <f t="shared" si="3"/>
        <v>2.6809022529558315E-4</v>
      </c>
    </row>
    <row r="201" spans="1:3" x14ac:dyDescent="0.35">
      <c r="A201">
        <v>2315.690685</v>
      </c>
      <c r="B201" s="2">
        <v>2.327990067861494E-6</v>
      </c>
      <c r="C201" s="2">
        <f t="shared" si="3"/>
        <v>2.6716946640708596E-4</v>
      </c>
    </row>
    <row r="202" spans="1:3" x14ac:dyDescent="0.35">
      <c r="A202">
        <v>3772.1426240000001</v>
      </c>
      <c r="B202" s="2">
        <v>2.3242709382347939E-6</v>
      </c>
      <c r="C202" s="2">
        <f t="shared" si="3"/>
        <v>2.6674264419182753E-4</v>
      </c>
    </row>
    <row r="203" spans="1:3" x14ac:dyDescent="0.35">
      <c r="A203">
        <v>3149.8686539999999</v>
      </c>
      <c r="B203" s="2">
        <v>2.3061886173830814E-6</v>
      </c>
      <c r="C203" s="2">
        <f t="shared" si="3"/>
        <v>2.6466744461084668E-4</v>
      </c>
    </row>
    <row r="204" spans="1:3" x14ac:dyDescent="0.35">
      <c r="A204">
        <v>2932.0527400000001</v>
      </c>
      <c r="B204" s="2">
        <v>2.2699599543008128E-6</v>
      </c>
      <c r="C204" s="2">
        <f t="shared" si="3"/>
        <v>2.6050969809897129E-4</v>
      </c>
    </row>
    <row r="205" spans="1:3" x14ac:dyDescent="0.35">
      <c r="A205">
        <v>2922.7578090000002</v>
      </c>
      <c r="B205" s="2">
        <v>2.1740982885296897E-6</v>
      </c>
      <c r="C205" s="2">
        <f t="shared" si="3"/>
        <v>2.4950822930125768E-4</v>
      </c>
    </row>
    <row r="206" spans="1:3" x14ac:dyDescent="0.35">
      <c r="A206">
        <v>3809.3810979999998</v>
      </c>
      <c r="B206" s="2">
        <v>2.1584745367702817E-6</v>
      </c>
      <c r="C206" s="2">
        <f t="shared" si="3"/>
        <v>2.4771518495864489E-4</v>
      </c>
    </row>
    <row r="207" spans="1:3" x14ac:dyDescent="0.35">
      <c r="A207">
        <v>3400.98081</v>
      </c>
      <c r="B207" s="2">
        <v>2.1399028326685984E-6</v>
      </c>
      <c r="C207" s="2">
        <f t="shared" si="3"/>
        <v>2.455838217953669E-4</v>
      </c>
    </row>
    <row r="208" spans="1:3" x14ac:dyDescent="0.35">
      <c r="A208">
        <v>1822.8171620000001</v>
      </c>
      <c r="B208" s="2">
        <v>2.0778949927331228E-6</v>
      </c>
      <c r="C208" s="2">
        <f t="shared" si="3"/>
        <v>2.3846755367321155E-4</v>
      </c>
    </row>
    <row r="209" spans="1:3" x14ac:dyDescent="0.35">
      <c r="A209">
        <v>3613.6434789999998</v>
      </c>
      <c r="B209" s="2">
        <v>2.041169816186176E-6</v>
      </c>
      <c r="C209" s="2">
        <f t="shared" si="3"/>
        <v>2.342528252870346E-4</v>
      </c>
    </row>
    <row r="210" spans="1:3" x14ac:dyDescent="0.35">
      <c r="A210">
        <v>2684.8018040000002</v>
      </c>
      <c r="B210" s="2">
        <v>2.0388025608148227E-6</v>
      </c>
      <c r="C210" s="2">
        <f t="shared" si="3"/>
        <v>2.3398114957709707E-4</v>
      </c>
    </row>
    <row r="211" spans="1:3" x14ac:dyDescent="0.35">
      <c r="A211">
        <v>2571.8632050000001</v>
      </c>
      <c r="B211" s="2">
        <v>2.0213373166866048E-6</v>
      </c>
      <c r="C211" s="2">
        <f t="shared" si="3"/>
        <v>2.3197676819299097E-4</v>
      </c>
    </row>
    <row r="212" spans="1:3" x14ac:dyDescent="0.35">
      <c r="A212">
        <v>3306.754488</v>
      </c>
      <c r="B212" s="2">
        <v>1.9909856367224929E-6</v>
      </c>
      <c r="C212" s="2">
        <f t="shared" si="3"/>
        <v>2.2849348780768443E-4</v>
      </c>
    </row>
    <row r="213" spans="1:3" x14ac:dyDescent="0.35">
      <c r="A213">
        <v>2706.2777999999998</v>
      </c>
      <c r="B213" s="2">
        <v>1.9312477524294654E-6</v>
      </c>
      <c r="C213" s="2">
        <f t="shared" si="3"/>
        <v>2.2163772888878259E-4</v>
      </c>
    </row>
    <row r="214" spans="1:3" x14ac:dyDescent="0.35">
      <c r="A214">
        <v>1369.1541629999999</v>
      </c>
      <c r="B214" s="2">
        <v>1.923151598382227E-6</v>
      </c>
      <c r="C214" s="2">
        <f t="shared" si="3"/>
        <v>2.2070858181611603E-4</v>
      </c>
    </row>
    <row r="215" spans="1:3" x14ac:dyDescent="0.35">
      <c r="A215">
        <v>2975.0505779999999</v>
      </c>
      <c r="B215" s="2">
        <v>1.9190652506538238E-6</v>
      </c>
      <c r="C215" s="2">
        <f t="shared" si="3"/>
        <v>2.2023961618038452E-4</v>
      </c>
    </row>
    <row r="216" spans="1:3" x14ac:dyDescent="0.35">
      <c r="A216">
        <v>2821.8649869999999</v>
      </c>
      <c r="B216" s="2">
        <v>1.9137078277331872E-6</v>
      </c>
      <c r="C216" s="2">
        <f t="shared" si="3"/>
        <v>2.1962477686350617E-4</v>
      </c>
    </row>
    <row r="217" spans="1:3" x14ac:dyDescent="0.35">
      <c r="A217">
        <v>2509.4878410000001</v>
      </c>
      <c r="B217" s="2">
        <v>1.8930755879353759E-6</v>
      </c>
      <c r="C217" s="2">
        <f t="shared" si="3"/>
        <v>2.172569383689769E-4</v>
      </c>
    </row>
    <row r="218" spans="1:3" x14ac:dyDescent="0.35">
      <c r="A218">
        <v>3542.934499</v>
      </c>
      <c r="B218" s="2">
        <v>1.8558517239309216E-6</v>
      </c>
      <c r="C218" s="2">
        <f t="shared" si="3"/>
        <v>2.1298497861237207E-4</v>
      </c>
    </row>
    <row r="219" spans="1:3" x14ac:dyDescent="0.35">
      <c r="A219">
        <v>2601.8977920000002</v>
      </c>
      <c r="B219" s="2">
        <v>1.8018772150698594E-6</v>
      </c>
      <c r="C219" s="2">
        <f t="shared" si="3"/>
        <v>2.0679064774684517E-4</v>
      </c>
    </row>
    <row r="220" spans="1:3" x14ac:dyDescent="0.35">
      <c r="A220">
        <v>2610.9598500000002</v>
      </c>
      <c r="B220" s="2">
        <v>1.7211958787867583E-6</v>
      </c>
      <c r="C220" s="2">
        <f t="shared" si="3"/>
        <v>1.9753133437547507E-4</v>
      </c>
    </row>
    <row r="221" spans="1:3" x14ac:dyDescent="0.35">
      <c r="A221">
        <v>2708.4907370000001</v>
      </c>
      <c r="B221" s="2">
        <v>1.7167478051490624E-6</v>
      </c>
      <c r="C221" s="2">
        <f t="shared" si="3"/>
        <v>1.970208556252739E-4</v>
      </c>
    </row>
    <row r="222" spans="1:3" x14ac:dyDescent="0.35">
      <c r="A222">
        <v>3295.8670900000002</v>
      </c>
      <c r="B222" s="2">
        <v>1.7070745427584158E-6</v>
      </c>
      <c r="C222" s="2">
        <f t="shared" si="3"/>
        <v>1.9591071328102462E-4</v>
      </c>
    </row>
    <row r="223" spans="1:3" x14ac:dyDescent="0.35">
      <c r="A223">
        <v>3193.9497459999998</v>
      </c>
      <c r="B223" s="2">
        <v>1.7031754956531746E-6</v>
      </c>
      <c r="C223" s="2">
        <f t="shared" si="3"/>
        <v>1.9546324301515693E-4</v>
      </c>
    </row>
    <row r="224" spans="1:3" x14ac:dyDescent="0.35">
      <c r="A224">
        <v>2640.808391</v>
      </c>
      <c r="B224" s="2">
        <v>1.6607154524888098E-6</v>
      </c>
      <c r="C224" s="2">
        <f t="shared" si="3"/>
        <v>1.9059035836137235E-4</v>
      </c>
    </row>
    <row r="225" spans="1:3" x14ac:dyDescent="0.35">
      <c r="A225">
        <v>3694.6560169999998</v>
      </c>
      <c r="B225" s="2">
        <v>1.6305205288497212E-6</v>
      </c>
      <c r="C225" s="2">
        <f t="shared" si="3"/>
        <v>1.871250679599109E-4</v>
      </c>
    </row>
    <row r="226" spans="1:3" x14ac:dyDescent="0.35">
      <c r="A226">
        <v>2775.3656980000001</v>
      </c>
      <c r="B226" s="2">
        <v>1.616201046322637E-6</v>
      </c>
      <c r="C226" s="2">
        <f t="shared" si="3"/>
        <v>1.8548170677946523E-4</v>
      </c>
    </row>
    <row r="227" spans="1:3" x14ac:dyDescent="0.35">
      <c r="A227">
        <v>3343.988699</v>
      </c>
      <c r="B227" s="2">
        <v>1.6107719057272129E-6</v>
      </c>
      <c r="C227" s="2">
        <f t="shared" si="3"/>
        <v>1.8485863685491826E-4</v>
      </c>
    </row>
    <row r="228" spans="1:3" x14ac:dyDescent="0.35">
      <c r="A228">
        <v>2961.6581630000001</v>
      </c>
      <c r="B228" s="2">
        <v>1.5998350175325025E-6</v>
      </c>
      <c r="C228" s="2">
        <f t="shared" si="3"/>
        <v>1.8360347575115167E-4</v>
      </c>
    </row>
    <row r="229" spans="1:3" x14ac:dyDescent="0.35">
      <c r="A229">
        <v>3214.9719399999999</v>
      </c>
      <c r="B229" s="2">
        <v>1.5803612027611201E-6</v>
      </c>
      <c r="C229" s="2">
        <f t="shared" si="3"/>
        <v>1.8136858275345088E-4</v>
      </c>
    </row>
    <row r="230" spans="1:3" x14ac:dyDescent="0.35">
      <c r="A230">
        <v>2996.7493899999999</v>
      </c>
      <c r="B230" s="2">
        <v>1.5675309474767488E-6</v>
      </c>
      <c r="C230" s="2">
        <f t="shared" si="3"/>
        <v>1.7989613125740946E-4</v>
      </c>
    </row>
    <row r="231" spans="1:3" x14ac:dyDescent="0.35">
      <c r="A231">
        <v>3861.2334599999999</v>
      </c>
      <c r="B231" s="2">
        <v>1.5535897939011424E-6</v>
      </c>
      <c r="C231" s="2">
        <f t="shared" si="3"/>
        <v>1.7829618862306846E-4</v>
      </c>
    </row>
    <row r="232" spans="1:3" x14ac:dyDescent="0.35">
      <c r="A232">
        <v>3031.95964</v>
      </c>
      <c r="B232" s="2">
        <v>1.5263939626240033E-6</v>
      </c>
      <c r="C232" s="2">
        <f t="shared" si="3"/>
        <v>1.7517508607580335E-4</v>
      </c>
    </row>
    <row r="233" spans="1:3" x14ac:dyDescent="0.35">
      <c r="A233">
        <v>3846.012033</v>
      </c>
      <c r="B233" s="2">
        <v>1.5231860465076737E-6</v>
      </c>
      <c r="C233" s="2">
        <f t="shared" si="3"/>
        <v>1.7480693277098028E-4</v>
      </c>
    </row>
    <row r="234" spans="1:3" x14ac:dyDescent="0.35">
      <c r="A234">
        <v>3122.6757739999998</v>
      </c>
      <c r="B234" s="2">
        <v>1.4093634240883808E-6</v>
      </c>
      <c r="C234" s="2">
        <f t="shared" si="3"/>
        <v>1.6174419263448458E-4</v>
      </c>
    </row>
    <row r="235" spans="1:3" x14ac:dyDescent="0.35">
      <c r="A235">
        <v>2851.9475229999998</v>
      </c>
      <c r="B235" s="2">
        <v>1.3979905268776095E-6</v>
      </c>
      <c r="C235" s="2">
        <f t="shared" si="3"/>
        <v>1.6043899338932818E-4</v>
      </c>
    </row>
    <row r="236" spans="1:3" x14ac:dyDescent="0.35">
      <c r="A236">
        <v>3732.71119</v>
      </c>
      <c r="B236" s="2">
        <v>1.3725711066936546E-6</v>
      </c>
      <c r="C236" s="2">
        <f t="shared" si="3"/>
        <v>1.5752175889564184E-4</v>
      </c>
    </row>
    <row r="237" spans="1:3" x14ac:dyDescent="0.35">
      <c r="A237">
        <v>3441.3322520000002</v>
      </c>
      <c r="B237" s="2">
        <v>1.3597753462317857E-6</v>
      </c>
      <c r="C237" s="2">
        <f t="shared" si="3"/>
        <v>1.5605326616362141E-4</v>
      </c>
    </row>
    <row r="238" spans="1:3" x14ac:dyDescent="0.35">
      <c r="A238">
        <v>2857.5035560000001</v>
      </c>
      <c r="B238" s="2">
        <v>1.3507317287724832E-6</v>
      </c>
      <c r="C238" s="2">
        <f t="shared" si="3"/>
        <v>1.550153843941295E-4</v>
      </c>
    </row>
    <row r="239" spans="1:3" x14ac:dyDescent="0.35">
      <c r="A239">
        <v>2422.4013239999999</v>
      </c>
      <c r="B239" s="2">
        <v>1.3358502600659423E-6</v>
      </c>
      <c r="C239" s="2">
        <f t="shared" si="3"/>
        <v>1.5330752742834247E-4</v>
      </c>
    </row>
    <row r="240" spans="1:3" x14ac:dyDescent="0.35">
      <c r="A240">
        <v>3001.47523</v>
      </c>
      <c r="B240" s="2">
        <v>1.3172892392420383E-6</v>
      </c>
      <c r="C240" s="2">
        <f t="shared" si="3"/>
        <v>1.5117739032082097E-4</v>
      </c>
    </row>
    <row r="241" spans="1:3" x14ac:dyDescent="0.35">
      <c r="A241">
        <v>3315.1414030000001</v>
      </c>
      <c r="B241" s="2">
        <v>1.2949171246792767E-6</v>
      </c>
      <c r="C241" s="2">
        <f t="shared" si="3"/>
        <v>1.4860987682811013E-4</v>
      </c>
    </row>
    <row r="242" spans="1:3" x14ac:dyDescent="0.35">
      <c r="A242">
        <v>3399.8721580000001</v>
      </c>
      <c r="B242" s="2">
        <v>1.2643856597237216E-6</v>
      </c>
      <c r="C242" s="2">
        <f t="shared" si="3"/>
        <v>1.451059635969444E-4</v>
      </c>
    </row>
    <row r="243" spans="1:3" x14ac:dyDescent="0.35">
      <c r="A243">
        <v>3755.8373959999999</v>
      </c>
      <c r="B243" s="2">
        <v>1.2472624912593662E-6</v>
      </c>
      <c r="C243" s="2">
        <f t="shared" si="3"/>
        <v>1.4314084018642105E-4</v>
      </c>
    </row>
    <row r="244" spans="1:3" x14ac:dyDescent="0.35">
      <c r="A244">
        <v>3016.4291320000002</v>
      </c>
      <c r="B244" s="2">
        <v>1.2452639474806335E-6</v>
      </c>
      <c r="C244" s="2">
        <f t="shared" si="3"/>
        <v>1.429114792959574E-4</v>
      </c>
    </row>
    <row r="245" spans="1:3" x14ac:dyDescent="0.35">
      <c r="A245">
        <v>2900.266204</v>
      </c>
      <c r="B245" s="2">
        <v>1.2140287592397535E-6</v>
      </c>
      <c r="C245" s="2">
        <f t="shared" si="3"/>
        <v>1.3932680396136431E-4</v>
      </c>
    </row>
    <row r="246" spans="1:3" x14ac:dyDescent="0.35">
      <c r="A246">
        <v>2673.7311719999998</v>
      </c>
      <c r="B246" s="2">
        <v>1.2062296954646016E-6</v>
      </c>
      <c r="C246" s="2">
        <f t="shared" si="3"/>
        <v>1.3843175215850321E-4</v>
      </c>
    </row>
    <row r="247" spans="1:3" x14ac:dyDescent="0.35">
      <c r="A247">
        <v>3950.1840080000002</v>
      </c>
      <c r="B247" s="2">
        <v>1.1941187788766495E-6</v>
      </c>
      <c r="C247" s="2">
        <f t="shared" si="3"/>
        <v>1.3704185485302365E-4</v>
      </c>
    </row>
    <row r="248" spans="1:3" x14ac:dyDescent="0.35">
      <c r="A248">
        <v>3796.899011</v>
      </c>
      <c r="B248" s="2">
        <v>1.1839772468616767E-6</v>
      </c>
      <c r="C248" s="2">
        <f t="shared" si="3"/>
        <v>1.3587797201074003E-4</v>
      </c>
    </row>
    <row r="249" spans="1:3" x14ac:dyDescent="0.35">
      <c r="A249">
        <v>2807.6121370000001</v>
      </c>
      <c r="B249" s="2">
        <v>1.1648387509121791E-6</v>
      </c>
      <c r="C249" s="2">
        <f t="shared" si="3"/>
        <v>1.3368156154436786E-4</v>
      </c>
    </row>
    <row r="250" spans="1:3" x14ac:dyDescent="0.35">
      <c r="A250">
        <v>2218.1651790000001</v>
      </c>
      <c r="B250" s="2">
        <v>1.1484513013672192E-6</v>
      </c>
      <c r="C250" s="2">
        <f t="shared" si="3"/>
        <v>1.3180087218441633E-4</v>
      </c>
    </row>
    <row r="251" spans="1:3" x14ac:dyDescent="0.35">
      <c r="A251">
        <v>3521.7813449999999</v>
      </c>
      <c r="B251" s="2">
        <v>1.130272295044963E-6</v>
      </c>
      <c r="C251" s="2">
        <f t="shared" si="3"/>
        <v>1.2971457659150177E-4</v>
      </c>
    </row>
    <row r="252" spans="1:3" x14ac:dyDescent="0.35">
      <c r="A252">
        <v>2382.1766899999998</v>
      </c>
      <c r="B252" s="2">
        <v>1.1207751260734495E-6</v>
      </c>
      <c r="C252" s="2">
        <f t="shared" si="3"/>
        <v>1.2862464343348448E-4</v>
      </c>
    </row>
    <row r="253" spans="1:3" x14ac:dyDescent="0.35">
      <c r="A253">
        <v>3485.5751639999999</v>
      </c>
      <c r="B253" s="2">
        <v>1.1201534123015391E-6</v>
      </c>
      <c r="C253" s="2">
        <f t="shared" si="3"/>
        <v>1.2855329307035694E-4</v>
      </c>
    </row>
    <row r="254" spans="1:3" x14ac:dyDescent="0.35">
      <c r="A254">
        <v>2804.2791670000001</v>
      </c>
      <c r="B254" s="2">
        <v>1.074451933785152E-6</v>
      </c>
      <c r="C254" s="2">
        <f t="shared" si="3"/>
        <v>1.2330840830997896E-4</v>
      </c>
    </row>
    <row r="255" spans="1:3" x14ac:dyDescent="0.35">
      <c r="A255">
        <v>1255.326515</v>
      </c>
      <c r="B255" s="2">
        <v>1.0581528350678687E-6</v>
      </c>
      <c r="C255" s="2">
        <f t="shared" si="3"/>
        <v>1.2143785844495605E-4</v>
      </c>
    </row>
    <row r="256" spans="1:3" x14ac:dyDescent="0.35">
      <c r="A256">
        <v>3086.760362</v>
      </c>
      <c r="B256" s="2">
        <v>1.0446410541091616E-6</v>
      </c>
      <c r="C256" s="2">
        <f t="shared" si="3"/>
        <v>1.1988719233225079E-4</v>
      </c>
    </row>
    <row r="257" spans="1:3" x14ac:dyDescent="0.35">
      <c r="A257">
        <v>3030.4479740000002</v>
      </c>
      <c r="B257" s="2">
        <v>1.0434487244300286E-6</v>
      </c>
      <c r="C257" s="2">
        <f t="shared" si="3"/>
        <v>1.1975035580165173E-4</v>
      </c>
    </row>
    <row r="258" spans="1:3" x14ac:dyDescent="0.35">
      <c r="A258">
        <v>2783.0768349999998</v>
      </c>
      <c r="B258" s="2">
        <v>1.0423734651680479E-6</v>
      </c>
      <c r="C258" s="2">
        <f t="shared" si="3"/>
        <v>1.1962695474112376E-4</v>
      </c>
    </row>
    <row r="259" spans="1:3" x14ac:dyDescent="0.35">
      <c r="A259">
        <v>3828.938169</v>
      </c>
      <c r="B259" s="2">
        <v>1.0368752747062112E-6</v>
      </c>
      <c r="C259" s="2">
        <f t="shared" ref="C259:C322" si="4">B259*1.3/(1.35*EXP(-990.163419*1.438776877/298))</f>
        <v>1.1899596037728491E-4</v>
      </c>
    </row>
    <row r="260" spans="1:3" x14ac:dyDescent="0.35">
      <c r="A260">
        <v>3858.1691900000001</v>
      </c>
      <c r="B260" s="2">
        <v>1.0144315809779008E-6</v>
      </c>
      <c r="C260" s="2">
        <f t="shared" si="4"/>
        <v>1.1642023217278059E-4</v>
      </c>
    </row>
    <row r="261" spans="1:3" x14ac:dyDescent="0.35">
      <c r="A261">
        <v>2332.6014890000001</v>
      </c>
      <c r="B261" s="2">
        <v>1.0108109795968288E-6</v>
      </c>
      <c r="C261" s="2">
        <f t="shared" si="4"/>
        <v>1.1600471745370691E-4</v>
      </c>
    </row>
    <row r="262" spans="1:3" x14ac:dyDescent="0.35">
      <c r="A262">
        <v>3365.3834390000002</v>
      </c>
      <c r="B262" s="2">
        <v>1.0018506784554946E-6</v>
      </c>
      <c r="C262" s="2">
        <f t="shared" si="4"/>
        <v>1.1497639739864065E-4</v>
      </c>
    </row>
    <row r="263" spans="1:3" x14ac:dyDescent="0.35">
      <c r="A263">
        <v>3018.8817260000001</v>
      </c>
      <c r="B263" s="2">
        <v>9.928590501377184E-7</v>
      </c>
      <c r="C263" s="2">
        <f t="shared" si="4"/>
        <v>1.1394448211130531E-4</v>
      </c>
    </row>
    <row r="264" spans="1:3" x14ac:dyDescent="0.35">
      <c r="A264">
        <v>3906.104926</v>
      </c>
      <c r="B264" s="2">
        <v>9.8619230540862724E-7</v>
      </c>
      <c r="C264" s="2">
        <f t="shared" si="4"/>
        <v>1.1317937977838182E-4</v>
      </c>
    </row>
    <row r="265" spans="1:3" x14ac:dyDescent="0.35">
      <c r="A265">
        <v>3160.280229</v>
      </c>
      <c r="B265" s="2">
        <v>9.5168275877197117E-7</v>
      </c>
      <c r="C265" s="2">
        <f t="shared" si="4"/>
        <v>1.0921892595680031E-4</v>
      </c>
    </row>
    <row r="266" spans="1:3" x14ac:dyDescent="0.35">
      <c r="A266">
        <v>2854.4277820000002</v>
      </c>
      <c r="B266" s="2">
        <v>9.5143258699885752E-7</v>
      </c>
      <c r="C266" s="2">
        <f t="shared" si="4"/>
        <v>1.0919021524189838E-4</v>
      </c>
    </row>
    <row r="267" spans="1:3" x14ac:dyDescent="0.35">
      <c r="A267">
        <v>3734.6713140000002</v>
      </c>
      <c r="B267" s="2">
        <v>9.432591267301695E-7</v>
      </c>
      <c r="C267" s="2">
        <f t="shared" si="4"/>
        <v>1.0825219619755991E-4</v>
      </c>
    </row>
    <row r="268" spans="1:3" x14ac:dyDescent="0.35">
      <c r="A268">
        <v>2091.783269</v>
      </c>
      <c r="B268" s="2">
        <v>9.2777940651227513E-7</v>
      </c>
      <c r="C268" s="2">
        <f t="shared" si="4"/>
        <v>1.064756814916596E-4</v>
      </c>
    </row>
    <row r="269" spans="1:3" x14ac:dyDescent="0.35">
      <c r="A269">
        <v>2685.2042780000002</v>
      </c>
      <c r="B269" s="2">
        <v>9.1844093901726404E-7</v>
      </c>
      <c r="C269" s="2">
        <f t="shared" si="4"/>
        <v>1.0540396155086366E-4</v>
      </c>
    </row>
    <row r="270" spans="1:3" x14ac:dyDescent="0.35">
      <c r="A270">
        <v>3603.9343899999999</v>
      </c>
      <c r="B270" s="2">
        <v>9.039438153808608E-7</v>
      </c>
      <c r="C270" s="2">
        <f t="shared" si="4"/>
        <v>1.0374021356506005E-4</v>
      </c>
    </row>
    <row r="271" spans="1:3" x14ac:dyDescent="0.35">
      <c r="A271">
        <v>2578.2380990000001</v>
      </c>
      <c r="B271" s="2">
        <v>8.7473407182166706E-7</v>
      </c>
      <c r="C271" s="2">
        <f t="shared" si="4"/>
        <v>1.0038798637632193E-4</v>
      </c>
    </row>
    <row r="272" spans="1:3" x14ac:dyDescent="0.35">
      <c r="A272">
        <v>3068.286122</v>
      </c>
      <c r="B272" s="2">
        <v>8.7144822920338571E-7</v>
      </c>
      <c r="C272" s="2">
        <f t="shared" si="4"/>
        <v>1.0001088991395157E-4</v>
      </c>
    </row>
    <row r="273" spans="1:3" x14ac:dyDescent="0.35">
      <c r="A273">
        <v>2811.3825019999999</v>
      </c>
      <c r="B273" s="2">
        <v>8.6236275184338232E-7</v>
      </c>
      <c r="C273" s="2">
        <f t="shared" si="4"/>
        <v>9.8968204134559237E-5</v>
      </c>
    </row>
    <row r="274" spans="1:3" x14ac:dyDescent="0.35">
      <c r="A274">
        <v>2312.1527099999998</v>
      </c>
      <c r="B274" s="2">
        <v>8.5689589458012803E-7</v>
      </c>
      <c r="C274" s="2">
        <f t="shared" si="4"/>
        <v>9.8340805694114409E-5</v>
      </c>
    </row>
    <row r="275" spans="1:3" x14ac:dyDescent="0.35">
      <c r="A275">
        <v>3260.2509610000002</v>
      </c>
      <c r="B275" s="2">
        <v>8.5650810484545285E-7</v>
      </c>
      <c r="C275" s="2">
        <f t="shared" si="4"/>
        <v>9.8296301390628921E-5</v>
      </c>
    </row>
    <row r="276" spans="1:3" x14ac:dyDescent="0.35">
      <c r="A276">
        <v>3271.8421360000002</v>
      </c>
      <c r="B276" s="2">
        <v>8.3078489776884154E-7</v>
      </c>
      <c r="C276" s="2">
        <f t="shared" si="4"/>
        <v>9.5344203096133065E-5</v>
      </c>
    </row>
    <row r="277" spans="1:3" x14ac:dyDescent="0.35">
      <c r="A277">
        <v>3373.349847</v>
      </c>
      <c r="B277" s="2">
        <v>8.2163757904496321E-7</v>
      </c>
      <c r="C277" s="2">
        <f t="shared" si="4"/>
        <v>9.4294420154078198E-5</v>
      </c>
    </row>
    <row r="278" spans="1:3" x14ac:dyDescent="0.35">
      <c r="A278">
        <v>3321.3847949999999</v>
      </c>
      <c r="B278" s="2">
        <v>8.2026718068451513E-7</v>
      </c>
      <c r="C278" s="2">
        <f t="shared" si="4"/>
        <v>9.4137147748245994E-5</v>
      </c>
    </row>
    <row r="279" spans="1:3" x14ac:dyDescent="0.35">
      <c r="A279">
        <v>3815.0585930000002</v>
      </c>
      <c r="B279" s="2">
        <v>8.1923850870376321E-7</v>
      </c>
      <c r="C279" s="2">
        <f t="shared" si="4"/>
        <v>9.4019093230746334E-5</v>
      </c>
    </row>
    <row r="280" spans="1:3" x14ac:dyDescent="0.35">
      <c r="A280">
        <v>3819.4894690000001</v>
      </c>
      <c r="B280" s="2">
        <v>7.9373382705036152E-7</v>
      </c>
      <c r="C280" s="2">
        <f t="shared" si="4"/>
        <v>9.1092073789258179E-5</v>
      </c>
    </row>
    <row r="281" spans="1:3" x14ac:dyDescent="0.35">
      <c r="A281">
        <v>3697.524367</v>
      </c>
      <c r="B281" s="2">
        <v>7.8985329802808004E-7</v>
      </c>
      <c r="C281" s="2">
        <f t="shared" si="4"/>
        <v>9.0646728732776663E-5</v>
      </c>
    </row>
    <row r="282" spans="1:3" x14ac:dyDescent="0.35">
      <c r="A282">
        <v>3121.476122</v>
      </c>
      <c r="B282" s="2">
        <v>7.7186900558431041E-7</v>
      </c>
      <c r="C282" s="2">
        <f t="shared" si="4"/>
        <v>8.8582779284605406E-5</v>
      </c>
    </row>
    <row r="283" spans="1:3" x14ac:dyDescent="0.35">
      <c r="A283">
        <v>3421.5652369999998</v>
      </c>
      <c r="B283" s="2">
        <v>7.7007684659293441E-7</v>
      </c>
      <c r="C283" s="2">
        <f t="shared" si="4"/>
        <v>8.8377103939142081E-5</v>
      </c>
    </row>
    <row r="284" spans="1:3" x14ac:dyDescent="0.35">
      <c r="A284">
        <v>2983.9789970000002</v>
      </c>
      <c r="B284" s="2">
        <v>7.6681709188859841E-7</v>
      </c>
      <c r="C284" s="2">
        <f t="shared" si="4"/>
        <v>8.8003001430287533E-5</v>
      </c>
    </row>
    <row r="285" spans="1:3" x14ac:dyDescent="0.35">
      <c r="A285">
        <v>3851.8856529999998</v>
      </c>
      <c r="B285" s="2">
        <v>7.5043519475745585E-7</v>
      </c>
      <c r="C285" s="2">
        <f t="shared" si="4"/>
        <v>8.6122949287589331E-5</v>
      </c>
    </row>
    <row r="286" spans="1:3" x14ac:dyDescent="0.35">
      <c r="A286">
        <v>3605.1566240000002</v>
      </c>
      <c r="B286" s="2">
        <v>7.4601211902622081E-7</v>
      </c>
      <c r="C286" s="2">
        <f t="shared" si="4"/>
        <v>8.5615339397278361E-5</v>
      </c>
    </row>
    <row r="287" spans="1:3" x14ac:dyDescent="0.35">
      <c r="A287">
        <v>2123.0204880000001</v>
      </c>
      <c r="B287" s="2">
        <v>7.3066235660679034E-7</v>
      </c>
      <c r="C287" s="2">
        <f t="shared" si="4"/>
        <v>8.3853739168956957E-5</v>
      </c>
    </row>
    <row r="288" spans="1:3" x14ac:dyDescent="0.35">
      <c r="A288">
        <v>2128.939108</v>
      </c>
      <c r="B288" s="2">
        <v>7.1701720931792634E-7</v>
      </c>
      <c r="C288" s="2">
        <f t="shared" si="4"/>
        <v>8.2287767401920716E-5</v>
      </c>
    </row>
    <row r="289" spans="1:3" x14ac:dyDescent="0.35">
      <c r="A289">
        <v>2682.7435919999998</v>
      </c>
      <c r="B289" s="2">
        <v>7.1243205368920007E-7</v>
      </c>
      <c r="C289" s="2">
        <f t="shared" si="4"/>
        <v>8.1761556573261321E-5</v>
      </c>
    </row>
    <row r="290" spans="1:3" x14ac:dyDescent="0.35">
      <c r="A290">
        <v>3304.2296160000001</v>
      </c>
      <c r="B290" s="2">
        <v>7.0788465688328952E-7</v>
      </c>
      <c r="C290" s="2">
        <f t="shared" si="4"/>
        <v>8.1239679098374823E-5</v>
      </c>
    </row>
    <row r="291" spans="1:3" x14ac:dyDescent="0.35">
      <c r="A291">
        <v>3004.2524130000002</v>
      </c>
      <c r="B291" s="2">
        <v>7.0768535413351371E-7</v>
      </c>
      <c r="C291" s="2">
        <f t="shared" si="4"/>
        <v>8.1216806316378821E-5</v>
      </c>
    </row>
    <row r="292" spans="1:3" x14ac:dyDescent="0.35">
      <c r="A292">
        <v>3360.9671910000002</v>
      </c>
      <c r="B292" s="2">
        <v>7.0008387679800958E-7</v>
      </c>
      <c r="C292" s="2">
        <f t="shared" si="4"/>
        <v>8.0344430324887678E-5</v>
      </c>
    </row>
    <row r="293" spans="1:3" x14ac:dyDescent="0.35">
      <c r="A293">
        <v>3278.4141370000002</v>
      </c>
      <c r="B293" s="2">
        <v>6.938423554308064E-7</v>
      </c>
      <c r="C293" s="2">
        <f t="shared" si="4"/>
        <v>7.9628128328472405E-5</v>
      </c>
    </row>
    <row r="294" spans="1:3" x14ac:dyDescent="0.35">
      <c r="A294">
        <v>3954.572091</v>
      </c>
      <c r="B294" s="2">
        <v>6.929713732069023E-7</v>
      </c>
      <c r="C294" s="2">
        <f t="shared" si="4"/>
        <v>7.9528170919193473E-5</v>
      </c>
    </row>
    <row r="295" spans="1:3" x14ac:dyDescent="0.35">
      <c r="A295">
        <v>3072.3820519999999</v>
      </c>
      <c r="B295" s="2">
        <v>6.8898642026314875E-7</v>
      </c>
      <c r="C295" s="2">
        <f t="shared" si="4"/>
        <v>7.9070841755148549E-5</v>
      </c>
    </row>
    <row r="296" spans="1:3" x14ac:dyDescent="0.35">
      <c r="A296">
        <v>3370.3220329999999</v>
      </c>
      <c r="B296" s="2">
        <v>6.8423275911269761E-7</v>
      </c>
      <c r="C296" s="2">
        <f t="shared" si="4"/>
        <v>7.8525292557761814E-5</v>
      </c>
    </row>
    <row r="297" spans="1:3" x14ac:dyDescent="0.35">
      <c r="A297">
        <v>3070.780882</v>
      </c>
      <c r="B297" s="2">
        <v>6.8414357722959033E-7</v>
      </c>
      <c r="C297" s="2">
        <f t="shared" si="4"/>
        <v>7.851505768758266E-5</v>
      </c>
    </row>
    <row r="298" spans="1:3" x14ac:dyDescent="0.35">
      <c r="A298">
        <v>3234.47316</v>
      </c>
      <c r="B298" s="2">
        <v>6.7853444688993597E-7</v>
      </c>
      <c r="C298" s="2">
        <f t="shared" si="4"/>
        <v>7.7871331418926415E-5</v>
      </c>
    </row>
    <row r="299" spans="1:3" x14ac:dyDescent="0.35">
      <c r="A299">
        <v>3771.3114759999999</v>
      </c>
      <c r="B299" s="2">
        <v>6.7533896047221769E-7</v>
      </c>
      <c r="C299" s="2">
        <f t="shared" si="4"/>
        <v>7.7504604596110923E-5</v>
      </c>
    </row>
    <row r="300" spans="1:3" x14ac:dyDescent="0.35">
      <c r="A300">
        <v>1487.000712</v>
      </c>
      <c r="B300" s="2">
        <v>6.5988750818323835E-7</v>
      </c>
      <c r="C300" s="2">
        <f t="shared" si="4"/>
        <v>7.5731334030977747E-5</v>
      </c>
    </row>
    <row r="301" spans="1:3" x14ac:dyDescent="0.35">
      <c r="A301">
        <v>3584.1742260000001</v>
      </c>
      <c r="B301" s="2">
        <v>6.5340425808432314E-7</v>
      </c>
      <c r="C301" s="2">
        <f t="shared" si="4"/>
        <v>7.4987290276915683E-5</v>
      </c>
    </row>
    <row r="302" spans="1:3" x14ac:dyDescent="0.35">
      <c r="A302">
        <v>3426.8826039999999</v>
      </c>
      <c r="B302" s="2">
        <v>6.3494005521806088E-7</v>
      </c>
      <c r="C302" s="2">
        <f t="shared" si="4"/>
        <v>7.2868264386078007E-5</v>
      </c>
    </row>
    <row r="303" spans="1:3" x14ac:dyDescent="0.35">
      <c r="A303">
        <v>3231.5280309999998</v>
      </c>
      <c r="B303" s="2">
        <v>6.3153771428600313E-7</v>
      </c>
      <c r="C303" s="2">
        <f t="shared" si="4"/>
        <v>7.247779811051186E-5</v>
      </c>
    </row>
    <row r="304" spans="1:3" x14ac:dyDescent="0.35">
      <c r="A304">
        <v>1239.281555</v>
      </c>
      <c r="B304" s="2">
        <v>6.2530379286048961E-7</v>
      </c>
      <c r="C304" s="2">
        <f t="shared" si="4"/>
        <v>7.1762368313851215E-5</v>
      </c>
    </row>
    <row r="305" spans="1:3" x14ac:dyDescent="0.35">
      <c r="A305">
        <v>3439.32899</v>
      </c>
      <c r="B305" s="2">
        <v>6.1850766243631042E-7</v>
      </c>
      <c r="C305" s="2">
        <f t="shared" si="4"/>
        <v>7.0982417160224149E-5</v>
      </c>
    </row>
    <row r="306" spans="1:3" x14ac:dyDescent="0.35">
      <c r="A306">
        <v>3909.5504120000001</v>
      </c>
      <c r="B306" s="2">
        <v>6.1544562665872004E-7</v>
      </c>
      <c r="C306" s="2">
        <f t="shared" si="4"/>
        <v>7.063100566748968E-5</v>
      </c>
    </row>
    <row r="307" spans="1:3" x14ac:dyDescent="0.35">
      <c r="A307">
        <v>2360.8354210000002</v>
      </c>
      <c r="B307" s="2">
        <v>6.1447073841745283E-7</v>
      </c>
      <c r="C307" s="2">
        <f t="shared" si="4"/>
        <v>7.0519123587397674E-5</v>
      </c>
    </row>
    <row r="308" spans="1:3" x14ac:dyDescent="0.35">
      <c r="A308">
        <v>3178.5108679999998</v>
      </c>
      <c r="B308" s="2">
        <v>6.0927903276735033E-7</v>
      </c>
      <c r="C308" s="2">
        <f t="shared" si="4"/>
        <v>6.9923302648369908E-5</v>
      </c>
    </row>
    <row r="309" spans="1:3" x14ac:dyDescent="0.35">
      <c r="A309">
        <v>2149.9131259999999</v>
      </c>
      <c r="B309" s="2">
        <v>6.0430605729324475E-7</v>
      </c>
      <c r="C309" s="2">
        <f t="shared" si="4"/>
        <v>6.9352584060599983E-5</v>
      </c>
    </row>
    <row r="310" spans="1:3" x14ac:dyDescent="0.35">
      <c r="A310">
        <v>2635.14347</v>
      </c>
      <c r="B310" s="2">
        <v>5.9928732378669846E-7</v>
      </c>
      <c r="C310" s="2">
        <f t="shared" si="4"/>
        <v>6.8776614097714771E-5</v>
      </c>
    </row>
    <row r="311" spans="1:3" x14ac:dyDescent="0.35">
      <c r="A311">
        <v>3473.1504650000002</v>
      </c>
      <c r="B311" s="2">
        <v>5.9172753652752484E-7</v>
      </c>
      <c r="C311" s="2">
        <f t="shared" si="4"/>
        <v>6.7909022626398967E-5</v>
      </c>
    </row>
    <row r="312" spans="1:3" x14ac:dyDescent="0.35">
      <c r="A312">
        <v>2377.090342</v>
      </c>
      <c r="B312" s="2">
        <v>5.8635844028916119E-7</v>
      </c>
      <c r="C312" s="2">
        <f t="shared" si="4"/>
        <v>6.7292843632813488E-5</v>
      </c>
    </row>
    <row r="313" spans="1:3" x14ac:dyDescent="0.35">
      <c r="A313">
        <v>2609.6148330000001</v>
      </c>
      <c r="B313" s="2">
        <v>5.8482407649893754E-7</v>
      </c>
      <c r="C313" s="2">
        <f t="shared" si="4"/>
        <v>6.7116753897394218E-5</v>
      </c>
    </row>
    <row r="314" spans="1:3" x14ac:dyDescent="0.35">
      <c r="A314">
        <v>3829.6983740000001</v>
      </c>
      <c r="B314" s="2">
        <v>5.8180447754313661E-7</v>
      </c>
      <c r="C314" s="2">
        <f t="shared" si="4"/>
        <v>6.6770212624335523E-5</v>
      </c>
    </row>
    <row r="315" spans="1:3" x14ac:dyDescent="0.35">
      <c r="A315">
        <v>3208.1749399999999</v>
      </c>
      <c r="B315" s="2">
        <v>5.7627860570889849E-7</v>
      </c>
      <c r="C315" s="2">
        <f t="shared" si="4"/>
        <v>6.6136041435304845E-5</v>
      </c>
    </row>
    <row r="316" spans="1:3" x14ac:dyDescent="0.35">
      <c r="A316">
        <v>2751.9106149999998</v>
      </c>
      <c r="B316" s="2">
        <v>5.6928166157981657E-7</v>
      </c>
      <c r="C316" s="2">
        <f t="shared" si="4"/>
        <v>6.5333044096418336E-5</v>
      </c>
    </row>
    <row r="317" spans="1:3" x14ac:dyDescent="0.35">
      <c r="A317">
        <v>2914.29898</v>
      </c>
      <c r="B317" s="2">
        <v>5.6800894475200088E-7</v>
      </c>
      <c r="C317" s="2">
        <f t="shared" si="4"/>
        <v>6.518698201459545E-5</v>
      </c>
    </row>
    <row r="318" spans="1:3" x14ac:dyDescent="0.35">
      <c r="A318">
        <v>3236.8344390000002</v>
      </c>
      <c r="B318" s="2">
        <v>5.6431495515428385E-7</v>
      </c>
      <c r="C318" s="2">
        <f t="shared" si="4"/>
        <v>6.4763044969777213E-5</v>
      </c>
    </row>
    <row r="319" spans="1:3" x14ac:dyDescent="0.35">
      <c r="A319">
        <v>2827.7007210000002</v>
      </c>
      <c r="B319" s="2">
        <v>5.6385566032639165E-7</v>
      </c>
      <c r="C319" s="2">
        <f t="shared" si="4"/>
        <v>6.4710334455335804E-5</v>
      </c>
    </row>
    <row r="320" spans="1:3" x14ac:dyDescent="0.35">
      <c r="A320">
        <v>3401.4353510000001</v>
      </c>
      <c r="B320" s="2">
        <v>5.6084331082368573E-7</v>
      </c>
      <c r="C320" s="2">
        <f t="shared" si="4"/>
        <v>6.4364625158556509E-5</v>
      </c>
    </row>
    <row r="321" spans="1:3" x14ac:dyDescent="0.35">
      <c r="A321">
        <v>1989.3332190000001</v>
      </c>
      <c r="B321" s="2">
        <v>5.5033133344175584E-7</v>
      </c>
      <c r="C321" s="2">
        <f t="shared" si="4"/>
        <v>6.3158228521910427E-5</v>
      </c>
    </row>
    <row r="322" spans="1:3" x14ac:dyDescent="0.35">
      <c r="A322">
        <v>2802.7828650000001</v>
      </c>
      <c r="B322" s="2">
        <v>5.4875235161034483E-7</v>
      </c>
      <c r="C322" s="2">
        <f t="shared" si="4"/>
        <v>6.2977018241339053E-5</v>
      </c>
    </row>
    <row r="323" spans="1:3" x14ac:dyDescent="0.35">
      <c r="A323">
        <v>3509.6689040000001</v>
      </c>
      <c r="B323" s="2">
        <v>5.4751656194770079E-7</v>
      </c>
      <c r="C323" s="2">
        <f t="shared" ref="C323:C386" si="5">B323*1.3/(1.35*EXP(-990.163419*1.438776877/298))</f>
        <v>6.2835194068926122E-5</v>
      </c>
    </row>
    <row r="324" spans="1:3" x14ac:dyDescent="0.35">
      <c r="A324">
        <v>3450.6077759999998</v>
      </c>
      <c r="B324" s="2">
        <v>5.4666903957549728E-7</v>
      </c>
      <c r="C324" s="2">
        <f t="shared" si="5"/>
        <v>6.2737929006211442E-5</v>
      </c>
    </row>
    <row r="325" spans="1:3" x14ac:dyDescent="0.35">
      <c r="A325">
        <v>2356.153534</v>
      </c>
      <c r="B325" s="2">
        <v>5.3919440418280738E-7</v>
      </c>
      <c r="C325" s="2">
        <f t="shared" si="5"/>
        <v>6.1880109904222344E-5</v>
      </c>
    </row>
    <row r="326" spans="1:3" x14ac:dyDescent="0.35">
      <c r="A326">
        <v>1883.2484910000001</v>
      </c>
      <c r="B326" s="2">
        <v>5.3265884155340473E-7</v>
      </c>
      <c r="C326" s="2">
        <f t="shared" si="5"/>
        <v>6.1130062554591003E-5</v>
      </c>
    </row>
    <row r="327" spans="1:3" x14ac:dyDescent="0.35">
      <c r="A327">
        <v>2832.0108959999998</v>
      </c>
      <c r="B327" s="2">
        <v>5.3071548166189282E-7</v>
      </c>
      <c r="C327" s="2">
        <f t="shared" si="5"/>
        <v>6.0907034788098385E-5</v>
      </c>
    </row>
    <row r="328" spans="1:3" x14ac:dyDescent="0.35">
      <c r="A328">
        <v>3868.761336</v>
      </c>
      <c r="B328" s="2">
        <v>5.2840905473033183E-7</v>
      </c>
      <c r="C328" s="2">
        <f t="shared" si="5"/>
        <v>6.0642339993597762E-5</v>
      </c>
    </row>
    <row r="329" spans="1:3" x14ac:dyDescent="0.35">
      <c r="A329">
        <v>2962.2194949999998</v>
      </c>
      <c r="B329" s="2">
        <v>5.2711608544300576E-7</v>
      </c>
      <c r="C329" s="2">
        <f t="shared" si="5"/>
        <v>6.0493953658387589E-5</v>
      </c>
    </row>
    <row r="330" spans="1:3" x14ac:dyDescent="0.35">
      <c r="A330">
        <v>1995.2389989999999</v>
      </c>
      <c r="B330" s="2">
        <v>5.258525379267721E-7</v>
      </c>
      <c r="C330" s="2">
        <f t="shared" si="5"/>
        <v>6.0348943883495268E-5</v>
      </c>
    </row>
    <row r="331" spans="1:3" x14ac:dyDescent="0.35">
      <c r="A331">
        <v>2711.590952</v>
      </c>
      <c r="B331" s="2">
        <v>5.1062184768409576E-7</v>
      </c>
      <c r="C331" s="2">
        <f t="shared" si="5"/>
        <v>5.8601008855196189E-5</v>
      </c>
    </row>
    <row r="332" spans="1:3" x14ac:dyDescent="0.35">
      <c r="A332">
        <v>3792.5407399999999</v>
      </c>
      <c r="B332" s="2">
        <v>5.0149243338702975E-7</v>
      </c>
      <c r="C332" s="2">
        <f t="shared" si="5"/>
        <v>5.7553280696889692E-5</v>
      </c>
    </row>
    <row r="333" spans="1:3" x14ac:dyDescent="0.35">
      <c r="A333">
        <v>1944.4370449999999</v>
      </c>
      <c r="B333" s="2">
        <v>4.9495119910542175E-7</v>
      </c>
      <c r="C333" s="2">
        <f t="shared" si="5"/>
        <v>5.6802582445729921E-5</v>
      </c>
    </row>
    <row r="334" spans="1:3" x14ac:dyDescent="0.35">
      <c r="A334">
        <v>3002.4191559999999</v>
      </c>
      <c r="B334" s="2">
        <v>4.9438389959113785E-7</v>
      </c>
      <c r="C334" s="2">
        <f t="shared" si="5"/>
        <v>5.6737476880797908E-5</v>
      </c>
    </row>
    <row r="335" spans="1:3" x14ac:dyDescent="0.35">
      <c r="A335">
        <v>2917.5800709999999</v>
      </c>
      <c r="B335" s="2">
        <v>4.8819628662173406E-7</v>
      </c>
      <c r="C335" s="2">
        <f t="shared" si="5"/>
        <v>5.6027361628077883E-5</v>
      </c>
    </row>
    <row r="336" spans="1:3" x14ac:dyDescent="0.35">
      <c r="A336">
        <v>3008.428375</v>
      </c>
      <c r="B336" s="2">
        <v>4.8796961625309242E-7</v>
      </c>
      <c r="C336" s="2">
        <f t="shared" si="5"/>
        <v>5.6001348028502726E-5</v>
      </c>
    </row>
    <row r="337" spans="1:3" x14ac:dyDescent="0.35">
      <c r="A337">
        <v>2782.1795670000001</v>
      </c>
      <c r="B337" s="2">
        <v>4.8489074678532385E-7</v>
      </c>
      <c r="C337" s="2">
        <f t="shared" si="5"/>
        <v>5.5648004634045541E-5</v>
      </c>
    </row>
    <row r="338" spans="1:3" x14ac:dyDescent="0.35">
      <c r="A338">
        <v>3999.9754750000002</v>
      </c>
      <c r="B338" s="2">
        <v>4.7979707315644827E-7</v>
      </c>
      <c r="C338" s="2">
        <f t="shared" si="5"/>
        <v>5.5063434242502312E-5</v>
      </c>
    </row>
    <row r="339" spans="1:3" x14ac:dyDescent="0.35">
      <c r="A339">
        <v>2834.8062730000001</v>
      </c>
      <c r="B339" s="2">
        <v>4.7716535908514712E-7</v>
      </c>
      <c r="C339" s="2">
        <f t="shared" si="5"/>
        <v>5.4761408192704159E-5</v>
      </c>
    </row>
    <row r="340" spans="1:3" x14ac:dyDescent="0.35">
      <c r="A340">
        <v>3778.3760600000001</v>
      </c>
      <c r="B340" s="2">
        <v>4.7633965252020576E-7</v>
      </c>
      <c r="C340" s="2">
        <f t="shared" si="5"/>
        <v>5.4666646799427746E-5</v>
      </c>
    </row>
    <row r="341" spans="1:3" x14ac:dyDescent="0.35">
      <c r="A341">
        <v>3959.9931620000002</v>
      </c>
      <c r="B341" s="2">
        <v>4.7201954756786747E-7</v>
      </c>
      <c r="C341" s="2">
        <f t="shared" si="5"/>
        <v>5.4170854248216779E-5</v>
      </c>
    </row>
    <row r="342" spans="1:3" x14ac:dyDescent="0.35">
      <c r="A342">
        <v>3575.2434309999999</v>
      </c>
      <c r="B342" s="2">
        <v>4.6832875392027291E-7</v>
      </c>
      <c r="C342" s="2">
        <f t="shared" si="5"/>
        <v>5.3747283983437981E-5</v>
      </c>
    </row>
    <row r="343" spans="1:3" x14ac:dyDescent="0.35">
      <c r="A343">
        <v>2705.562383</v>
      </c>
      <c r="B343" s="2">
        <v>4.6720531753189219E-7</v>
      </c>
      <c r="C343" s="2">
        <f t="shared" si="5"/>
        <v>5.361835392288077E-5</v>
      </c>
    </row>
    <row r="344" spans="1:3" x14ac:dyDescent="0.35">
      <c r="A344">
        <v>3269.9848780000002</v>
      </c>
      <c r="B344" s="2">
        <v>4.6323306769194207E-7</v>
      </c>
      <c r="C344" s="2">
        <f t="shared" si="5"/>
        <v>5.3162482617918547E-5</v>
      </c>
    </row>
    <row r="345" spans="1:3" x14ac:dyDescent="0.35">
      <c r="A345">
        <v>2034.5989750000001</v>
      </c>
      <c r="B345" s="2">
        <v>4.6099384724949502E-7</v>
      </c>
      <c r="C345" s="2">
        <f t="shared" si="5"/>
        <v>5.2905500709346241E-5</v>
      </c>
    </row>
    <row r="346" spans="1:3" x14ac:dyDescent="0.35">
      <c r="A346">
        <v>3663.8890719999999</v>
      </c>
      <c r="B346" s="2">
        <v>4.5921293701491938E-7</v>
      </c>
      <c r="C346" s="2">
        <f t="shared" si="5"/>
        <v>5.2701116316277264E-5</v>
      </c>
    </row>
    <row r="347" spans="1:3" x14ac:dyDescent="0.35">
      <c r="A347">
        <v>3071.211636</v>
      </c>
      <c r="B347" s="2">
        <v>4.526952065466397E-7</v>
      </c>
      <c r="C347" s="2">
        <f t="shared" si="5"/>
        <v>5.1953115456894264E-5</v>
      </c>
    </row>
    <row r="348" spans="1:3" x14ac:dyDescent="0.35">
      <c r="A348">
        <v>3531.2576140000001</v>
      </c>
      <c r="B348" s="2">
        <v>4.5028881448665508E-7</v>
      </c>
      <c r="C348" s="2">
        <f t="shared" si="5"/>
        <v>5.1676948263782944E-5</v>
      </c>
    </row>
    <row r="349" spans="1:3" x14ac:dyDescent="0.35">
      <c r="A349">
        <v>3625.3205800000001</v>
      </c>
      <c r="B349" s="2">
        <v>4.4999959816366456E-7</v>
      </c>
      <c r="C349" s="2">
        <f t="shared" si="5"/>
        <v>5.16437566399198E-5</v>
      </c>
    </row>
    <row r="350" spans="1:3" x14ac:dyDescent="0.35">
      <c r="A350">
        <v>1923.6789240000001</v>
      </c>
      <c r="B350" s="2">
        <v>4.4994166276031235E-7</v>
      </c>
      <c r="C350" s="2">
        <f t="shared" si="5"/>
        <v>5.1637107740934623E-5</v>
      </c>
    </row>
    <row r="351" spans="1:3" x14ac:dyDescent="0.35">
      <c r="A351">
        <v>3209.7690229999998</v>
      </c>
      <c r="B351" s="2">
        <v>4.4466637220476221E-7</v>
      </c>
      <c r="C351" s="2">
        <f t="shared" si="5"/>
        <v>5.1031694263306112E-5</v>
      </c>
    </row>
    <row r="352" spans="1:3" x14ac:dyDescent="0.35">
      <c r="A352">
        <v>3902.32584</v>
      </c>
      <c r="B352" s="2">
        <v>4.4310137438650309E-7</v>
      </c>
      <c r="C352" s="2">
        <f t="shared" si="5"/>
        <v>5.0852088844105745E-5</v>
      </c>
    </row>
    <row r="353" spans="1:3" x14ac:dyDescent="0.35">
      <c r="A353">
        <v>3053.7731690000001</v>
      </c>
      <c r="B353" s="2">
        <v>4.3348409321451942E-7</v>
      </c>
      <c r="C353" s="2">
        <f t="shared" si="5"/>
        <v>4.9748371128777997E-5</v>
      </c>
    </row>
    <row r="354" spans="1:3" x14ac:dyDescent="0.35">
      <c r="A354">
        <v>3719.46686</v>
      </c>
      <c r="B354" s="2">
        <v>4.2472968786270877E-7</v>
      </c>
      <c r="C354" s="2">
        <f t="shared" si="5"/>
        <v>4.8743680499361726E-5</v>
      </c>
    </row>
    <row r="355" spans="1:3" x14ac:dyDescent="0.35">
      <c r="A355">
        <v>3243.8579500000001</v>
      </c>
      <c r="B355" s="2">
        <v>4.2354300394057596E-7</v>
      </c>
      <c r="C355" s="2">
        <f t="shared" si="5"/>
        <v>4.8607491898453587E-5</v>
      </c>
    </row>
    <row r="356" spans="1:3" x14ac:dyDescent="0.35">
      <c r="A356">
        <v>2539.477625</v>
      </c>
      <c r="B356" s="2">
        <v>4.1676675982974658E-7</v>
      </c>
      <c r="C356" s="2">
        <f t="shared" si="5"/>
        <v>4.7829822977813602E-5</v>
      </c>
    </row>
    <row r="357" spans="1:3" x14ac:dyDescent="0.35">
      <c r="A357">
        <v>2742.1619890000002</v>
      </c>
      <c r="B357" s="2">
        <v>4.1208674946127931E-7</v>
      </c>
      <c r="C357" s="2">
        <f t="shared" si="5"/>
        <v>4.7292726239221579E-5</v>
      </c>
    </row>
    <row r="358" spans="1:3" x14ac:dyDescent="0.35">
      <c r="A358">
        <v>3292.4488719999999</v>
      </c>
      <c r="B358" s="2">
        <v>4.0225990682266686E-7</v>
      </c>
      <c r="C358" s="2">
        <f t="shared" si="5"/>
        <v>4.6164958410454068E-5</v>
      </c>
    </row>
    <row r="359" spans="1:3" x14ac:dyDescent="0.35">
      <c r="A359">
        <v>3376.2302399999999</v>
      </c>
      <c r="B359" s="2">
        <v>4.0007156082348411E-7</v>
      </c>
      <c r="C359" s="2">
        <f t="shared" si="5"/>
        <v>4.5913815056800161E-5</v>
      </c>
    </row>
    <row r="360" spans="1:3" x14ac:dyDescent="0.35">
      <c r="A360">
        <v>3169.4392200000002</v>
      </c>
      <c r="B360" s="2">
        <v>3.9427485043333503E-7</v>
      </c>
      <c r="C360" s="2">
        <f t="shared" si="5"/>
        <v>4.5248561350080017E-5</v>
      </c>
    </row>
    <row r="361" spans="1:3" x14ac:dyDescent="0.35">
      <c r="A361">
        <v>3864.1037569999999</v>
      </c>
      <c r="B361" s="2">
        <v>3.9124918959060482E-7</v>
      </c>
      <c r="C361" s="2">
        <f t="shared" si="5"/>
        <v>4.490132439059263E-5</v>
      </c>
    </row>
    <row r="362" spans="1:3" x14ac:dyDescent="0.35">
      <c r="A362">
        <v>3123.960439</v>
      </c>
      <c r="B362" s="2">
        <v>3.8406342424780933E-7</v>
      </c>
      <c r="C362" s="2">
        <f t="shared" si="5"/>
        <v>4.4076657172778966E-5</v>
      </c>
    </row>
    <row r="363" spans="1:3" x14ac:dyDescent="0.35">
      <c r="A363">
        <v>3254.5406170000001</v>
      </c>
      <c r="B363" s="2">
        <v>3.8375997519725217E-7</v>
      </c>
      <c r="C363" s="2">
        <f t="shared" si="5"/>
        <v>4.4041832144082178E-5</v>
      </c>
    </row>
    <row r="364" spans="1:3" x14ac:dyDescent="0.35">
      <c r="A364">
        <v>2961.8226460000001</v>
      </c>
      <c r="B364" s="2">
        <v>3.6807957195491046E-7</v>
      </c>
      <c r="C364" s="2">
        <f t="shared" si="5"/>
        <v>4.2242286250334999E-5</v>
      </c>
    </row>
    <row r="365" spans="1:3" x14ac:dyDescent="0.35">
      <c r="A365">
        <v>2163.6354550000001</v>
      </c>
      <c r="B365" s="2">
        <v>3.6676716018601152E-7</v>
      </c>
      <c r="C365" s="2">
        <f t="shared" si="5"/>
        <v>4.2091668618050507E-5</v>
      </c>
    </row>
    <row r="366" spans="1:3" x14ac:dyDescent="0.35">
      <c r="A366">
        <v>3125.339849</v>
      </c>
      <c r="B366" s="2">
        <v>3.6652842024277857E-7</v>
      </c>
      <c r="C366" s="2">
        <f t="shared" si="5"/>
        <v>4.2064269865743029E-5</v>
      </c>
    </row>
    <row r="367" spans="1:3" x14ac:dyDescent="0.35">
      <c r="A367">
        <v>1200.803549</v>
      </c>
      <c r="B367" s="2">
        <v>3.6592357328282078E-7</v>
      </c>
      <c r="C367" s="2">
        <f t="shared" si="5"/>
        <v>4.1994855205525725E-5</v>
      </c>
    </row>
    <row r="368" spans="1:3" x14ac:dyDescent="0.35">
      <c r="A368">
        <v>3502.169758</v>
      </c>
      <c r="B368" s="2">
        <v>3.5692183077957118E-7</v>
      </c>
      <c r="C368" s="2">
        <f t="shared" si="5"/>
        <v>4.0961779173746767E-5</v>
      </c>
    </row>
    <row r="369" spans="1:3" x14ac:dyDescent="0.35">
      <c r="A369">
        <v>3947.5747470000001</v>
      </c>
      <c r="B369" s="2">
        <v>3.5063698432481055E-7</v>
      </c>
      <c r="C369" s="2">
        <f t="shared" si="5"/>
        <v>4.0240505016717688E-5</v>
      </c>
    </row>
    <row r="370" spans="1:3" x14ac:dyDescent="0.35">
      <c r="A370">
        <v>3214.9164930000002</v>
      </c>
      <c r="B370" s="2">
        <v>3.4314678290258081E-7</v>
      </c>
      <c r="C370" s="2">
        <f t="shared" si="5"/>
        <v>3.9380899494819136E-5</v>
      </c>
    </row>
    <row r="371" spans="1:3" x14ac:dyDescent="0.35">
      <c r="A371">
        <v>3180.8016830000001</v>
      </c>
      <c r="B371" s="2">
        <v>3.3879427702609633E-7</v>
      </c>
      <c r="C371" s="2">
        <f t="shared" si="5"/>
        <v>3.888138848375101E-5</v>
      </c>
    </row>
    <row r="372" spans="1:3" x14ac:dyDescent="0.35">
      <c r="A372">
        <v>2992.4122640000001</v>
      </c>
      <c r="B372" s="2">
        <v>3.3782697005788218E-7</v>
      </c>
      <c r="C372" s="2">
        <f t="shared" si="5"/>
        <v>3.8770376460926082E-5</v>
      </c>
    </row>
    <row r="373" spans="1:3" x14ac:dyDescent="0.35">
      <c r="A373">
        <v>2727.4704929999998</v>
      </c>
      <c r="B373" s="2">
        <v>3.3740951164434175E-7</v>
      </c>
      <c r="C373" s="2">
        <f t="shared" si="5"/>
        <v>3.8722467260997587E-5</v>
      </c>
    </row>
    <row r="374" spans="1:3" x14ac:dyDescent="0.35">
      <c r="A374">
        <v>3219.5270190000001</v>
      </c>
      <c r="B374" s="2">
        <v>3.3542257192871649E-7</v>
      </c>
      <c r="C374" s="2">
        <f t="shared" si="5"/>
        <v>3.8494438099303479E-5</v>
      </c>
    </row>
    <row r="375" spans="1:3" x14ac:dyDescent="0.35">
      <c r="A375">
        <v>3114.7149420000001</v>
      </c>
      <c r="B375" s="2">
        <v>3.3483840861355037E-7</v>
      </c>
      <c r="C375" s="2">
        <f t="shared" si="5"/>
        <v>3.8427397177023736E-5</v>
      </c>
    </row>
    <row r="376" spans="1:3" x14ac:dyDescent="0.35">
      <c r="A376">
        <v>3885.9164770000002</v>
      </c>
      <c r="B376" s="2">
        <v>3.3353388464467133E-7</v>
      </c>
      <c r="C376" s="2">
        <f t="shared" si="5"/>
        <v>3.8277684780269042E-5</v>
      </c>
    </row>
    <row r="377" spans="1:3" x14ac:dyDescent="0.35">
      <c r="A377">
        <v>2919.0614380000002</v>
      </c>
      <c r="B377" s="2">
        <v>3.3101094187828568E-7</v>
      </c>
      <c r="C377" s="2">
        <f t="shared" si="5"/>
        <v>3.7988141761174437E-5</v>
      </c>
    </row>
    <row r="378" spans="1:3" x14ac:dyDescent="0.35">
      <c r="A378">
        <v>2684.119467</v>
      </c>
      <c r="B378" s="2">
        <v>3.2739190083389507E-7</v>
      </c>
      <c r="C378" s="2">
        <f t="shared" si="5"/>
        <v>3.7572806112589229E-5</v>
      </c>
    </row>
    <row r="379" spans="1:3" x14ac:dyDescent="0.35">
      <c r="A379">
        <v>3291.6816509999999</v>
      </c>
      <c r="B379" s="2">
        <v>3.268090690140598E-7</v>
      </c>
      <c r="C379" s="2">
        <f t="shared" si="5"/>
        <v>3.7505917998047784E-5</v>
      </c>
    </row>
    <row r="380" spans="1:3" x14ac:dyDescent="0.35">
      <c r="A380">
        <v>1737.8956840000001</v>
      </c>
      <c r="B380" s="2">
        <v>3.2476959756202207E-7</v>
      </c>
      <c r="C380" s="2">
        <f t="shared" si="5"/>
        <v>3.7271860083834282E-5</v>
      </c>
    </row>
    <row r="381" spans="1:3" x14ac:dyDescent="0.35">
      <c r="A381">
        <v>3451.1805140000001</v>
      </c>
      <c r="B381" s="2">
        <v>3.2144927276773379E-7</v>
      </c>
      <c r="C381" s="2">
        <f t="shared" si="5"/>
        <v>3.6890806308805464E-5</v>
      </c>
    </row>
    <row r="382" spans="1:3" x14ac:dyDescent="0.35">
      <c r="A382">
        <v>809.39757599999996</v>
      </c>
      <c r="B382" s="2">
        <v>3.1904164255560068E-7</v>
      </c>
      <c r="C382" s="2">
        <f t="shared" si="5"/>
        <v>3.6614497020393394E-5</v>
      </c>
    </row>
    <row r="383" spans="1:3" x14ac:dyDescent="0.35">
      <c r="A383">
        <v>2235.3027489999999</v>
      </c>
      <c r="B383" s="2">
        <v>3.1046551244453472E-7</v>
      </c>
      <c r="C383" s="2">
        <f t="shared" si="5"/>
        <v>3.5630265971797893E-5</v>
      </c>
    </row>
    <row r="384" spans="1:3" x14ac:dyDescent="0.35">
      <c r="A384">
        <v>2011.8785519999999</v>
      </c>
      <c r="B384" s="2">
        <v>3.0899887666081823E-7</v>
      </c>
      <c r="C384" s="2">
        <f t="shared" si="5"/>
        <v>3.5461948973732249E-5</v>
      </c>
    </row>
    <row r="385" spans="1:3" x14ac:dyDescent="0.35">
      <c r="A385">
        <v>3016.0548480000002</v>
      </c>
      <c r="B385" s="2">
        <v>3.0847654025638948E-7</v>
      </c>
      <c r="C385" s="2">
        <f t="shared" si="5"/>
        <v>3.5402003555415054E-5</v>
      </c>
    </row>
    <row r="386" spans="1:3" x14ac:dyDescent="0.35">
      <c r="A386">
        <v>3435.5716040000002</v>
      </c>
      <c r="B386" s="2">
        <v>3.0732959403253951E-7</v>
      </c>
      <c r="C386" s="2">
        <f t="shared" si="5"/>
        <v>3.5270375411956051E-5</v>
      </c>
    </row>
    <row r="387" spans="1:3" x14ac:dyDescent="0.35">
      <c r="A387">
        <v>3207.3313360000002</v>
      </c>
      <c r="B387" s="2">
        <v>3.0417394166735683E-7</v>
      </c>
      <c r="C387" s="2">
        <f t="shared" ref="C387:C450" si="6">B387*1.3/(1.35*EXP(-990.163419*1.438776877/298))</f>
        <v>3.4908220104589731E-5</v>
      </c>
    </row>
    <row r="388" spans="1:3" x14ac:dyDescent="0.35">
      <c r="A388">
        <v>3814.1840149999998</v>
      </c>
      <c r="B388" s="2">
        <v>3.0216309284832737E-7</v>
      </c>
      <c r="C388" s="2">
        <f t="shared" si="6"/>
        <v>3.467744703840611E-5</v>
      </c>
    </row>
    <row r="389" spans="1:3" x14ac:dyDescent="0.35">
      <c r="A389">
        <v>2066.8426049999998</v>
      </c>
      <c r="B389" s="2">
        <v>2.985462541008272E-7</v>
      </c>
      <c r="C389" s="2">
        <f t="shared" si="6"/>
        <v>3.4262364134234719E-5</v>
      </c>
    </row>
    <row r="390" spans="1:3" x14ac:dyDescent="0.35">
      <c r="A390">
        <v>2666.1490570000001</v>
      </c>
      <c r="B390" s="2">
        <v>2.9674921777761725E-7</v>
      </c>
      <c r="C390" s="2">
        <f t="shared" si="6"/>
        <v>3.4056129046630939E-5</v>
      </c>
    </row>
    <row r="391" spans="1:3" x14ac:dyDescent="0.35">
      <c r="A391">
        <v>3736.1330619999999</v>
      </c>
      <c r="B391" s="2">
        <v>2.9357649806319322E-7</v>
      </c>
      <c r="C391" s="2">
        <f t="shared" si="6"/>
        <v>3.3692015021891746E-5</v>
      </c>
    </row>
    <row r="392" spans="1:3" x14ac:dyDescent="0.35">
      <c r="A392">
        <v>2984.7477720000002</v>
      </c>
      <c r="B392" s="2">
        <v>2.9034275479161468E-7</v>
      </c>
      <c r="C392" s="2">
        <f t="shared" si="6"/>
        <v>3.3320897689265505E-5</v>
      </c>
    </row>
    <row r="393" spans="1:3" x14ac:dyDescent="0.35">
      <c r="A393">
        <v>3903.6717800000001</v>
      </c>
      <c r="B393" s="2">
        <v>2.8907600650754591E-7</v>
      </c>
      <c r="C393" s="2">
        <f t="shared" si="6"/>
        <v>3.3175520581433755E-5</v>
      </c>
    </row>
    <row r="394" spans="1:3" x14ac:dyDescent="0.35">
      <c r="A394">
        <v>3571.5740649999998</v>
      </c>
      <c r="B394" s="2">
        <v>2.8811962189610079E-7</v>
      </c>
      <c r="C394" s="2">
        <f t="shared" si="6"/>
        <v>3.3065762052027969E-5</v>
      </c>
    </row>
    <row r="395" spans="1:3" x14ac:dyDescent="0.35">
      <c r="A395">
        <v>1941.6369520000001</v>
      </c>
      <c r="B395" s="2">
        <v>2.8599694914898435E-7</v>
      </c>
      <c r="C395" s="2">
        <f t="shared" si="6"/>
        <v>3.2822155623876448E-5</v>
      </c>
    </row>
    <row r="396" spans="1:3" x14ac:dyDescent="0.35">
      <c r="A396">
        <v>1374.7393589999999</v>
      </c>
      <c r="B396" s="2">
        <v>2.8436109060657376E-7</v>
      </c>
      <c r="C396" s="2">
        <f t="shared" si="6"/>
        <v>3.2634417944095544E-5</v>
      </c>
    </row>
    <row r="397" spans="1:3" x14ac:dyDescent="0.35">
      <c r="A397">
        <v>3511.275494</v>
      </c>
      <c r="B397" s="2">
        <v>2.829017741327856E-7</v>
      </c>
      <c r="C397" s="2">
        <f t="shared" si="6"/>
        <v>3.2466940939359351E-5</v>
      </c>
    </row>
    <row r="398" spans="1:3" x14ac:dyDescent="0.35">
      <c r="A398">
        <v>3767.114231</v>
      </c>
      <c r="B398" s="2">
        <v>2.8136078960096641E-7</v>
      </c>
      <c r="C398" s="2">
        <f t="shared" si="6"/>
        <v>3.2290091381111063E-5</v>
      </c>
    </row>
    <row r="399" spans="1:3" x14ac:dyDescent="0.35">
      <c r="A399">
        <v>3934.3642049999999</v>
      </c>
      <c r="B399" s="2">
        <v>2.8037420034012481E-7</v>
      </c>
      <c r="C399" s="2">
        <f t="shared" si="6"/>
        <v>3.2176866445136936E-5</v>
      </c>
    </row>
    <row r="400" spans="1:3" x14ac:dyDescent="0.35">
      <c r="A400">
        <v>3869.6227680000002</v>
      </c>
      <c r="B400" s="2">
        <v>2.7644730986689438E-7</v>
      </c>
      <c r="C400" s="2">
        <f t="shared" si="6"/>
        <v>3.172620076281476E-5</v>
      </c>
    </row>
    <row r="401" spans="1:3" x14ac:dyDescent="0.35">
      <c r="A401">
        <v>3898.2530160000001</v>
      </c>
      <c r="B401" s="2">
        <v>2.7631705276803259E-7</v>
      </c>
      <c r="C401" s="2">
        <f t="shared" si="6"/>
        <v>3.1711251936323164E-5</v>
      </c>
    </row>
    <row r="402" spans="1:3" x14ac:dyDescent="0.35">
      <c r="A402">
        <v>3757.7804500000002</v>
      </c>
      <c r="B402" s="2">
        <v>2.7558824606184763E-7</v>
      </c>
      <c r="C402" s="2">
        <f t="shared" si="6"/>
        <v>3.1627611159030577E-5</v>
      </c>
    </row>
    <row r="403" spans="1:3" x14ac:dyDescent="0.35">
      <c r="A403">
        <v>2955.385961</v>
      </c>
      <c r="B403" s="2">
        <v>2.72395814073943E-7</v>
      </c>
      <c r="C403" s="2">
        <f t="shared" si="6"/>
        <v>3.126123487481692E-5</v>
      </c>
    </row>
    <row r="404" spans="1:3" x14ac:dyDescent="0.35">
      <c r="A404">
        <v>2846.5369169999999</v>
      </c>
      <c r="B404" s="2">
        <v>2.701675816295997E-7</v>
      </c>
      <c r="C404" s="2">
        <f t="shared" si="6"/>
        <v>3.1005513992926297E-5</v>
      </c>
    </row>
    <row r="405" spans="1:3" x14ac:dyDescent="0.35">
      <c r="A405">
        <v>3693.7301080000002</v>
      </c>
      <c r="B405" s="2">
        <v>2.6894531709297821E-7</v>
      </c>
      <c r="C405" s="2">
        <f t="shared" si="6"/>
        <v>3.086524201815905E-5</v>
      </c>
    </row>
    <row r="406" spans="1:3" x14ac:dyDescent="0.35">
      <c r="A406">
        <v>2969.8780080000001</v>
      </c>
      <c r="B406" s="2">
        <v>2.6736618711690365E-7</v>
      </c>
      <c r="C406" s="2">
        <f t="shared" si="6"/>
        <v>3.0684014735912597E-5</v>
      </c>
    </row>
    <row r="407" spans="1:3" x14ac:dyDescent="0.35">
      <c r="A407">
        <v>3793.6594049999999</v>
      </c>
      <c r="B407" s="2">
        <v>2.6648549840645821E-7</v>
      </c>
      <c r="C407" s="2">
        <f t="shared" si="6"/>
        <v>3.0582943371352789E-5</v>
      </c>
    </row>
    <row r="408" spans="1:3" x14ac:dyDescent="0.35">
      <c r="A408">
        <v>3956.459456</v>
      </c>
      <c r="B408" s="2">
        <v>2.6287928090868701E-7</v>
      </c>
      <c r="C408" s="2">
        <f t="shared" si="6"/>
        <v>3.0169079404350352E-5</v>
      </c>
    </row>
    <row r="409" spans="1:3" x14ac:dyDescent="0.35">
      <c r="A409">
        <v>3843.202918</v>
      </c>
      <c r="B409" s="2">
        <v>2.6170865321835521E-7</v>
      </c>
      <c r="C409" s="2">
        <f t="shared" si="6"/>
        <v>3.003473348092697E-5</v>
      </c>
    </row>
    <row r="410" spans="1:3" x14ac:dyDescent="0.35">
      <c r="A410">
        <v>3196.0419139999999</v>
      </c>
      <c r="B410" s="2">
        <v>2.6117147886120928E-7</v>
      </c>
      <c r="C410" s="2">
        <f t="shared" si="6"/>
        <v>2.9973085199713264E-5</v>
      </c>
    </row>
    <row r="411" spans="1:3" x14ac:dyDescent="0.35">
      <c r="A411">
        <v>3583.4570829999998</v>
      </c>
      <c r="B411" s="2">
        <v>2.6043177027353407E-7</v>
      </c>
      <c r="C411" s="2">
        <f t="shared" si="6"/>
        <v>2.988819327882656E-5</v>
      </c>
    </row>
    <row r="412" spans="1:3" x14ac:dyDescent="0.35">
      <c r="A412">
        <v>3792.0934510000002</v>
      </c>
      <c r="B412" s="2">
        <v>2.5491931034907169E-7</v>
      </c>
      <c r="C412" s="2">
        <f t="shared" si="6"/>
        <v>2.925556129429153E-5</v>
      </c>
    </row>
    <row r="413" spans="1:3" x14ac:dyDescent="0.35">
      <c r="A413">
        <v>3330.9804089999998</v>
      </c>
      <c r="B413" s="2">
        <v>2.5391703341144607E-7</v>
      </c>
      <c r="C413" s="2">
        <f t="shared" si="6"/>
        <v>2.9140535977682876E-5</v>
      </c>
    </row>
    <row r="414" spans="1:3" x14ac:dyDescent="0.35">
      <c r="A414">
        <v>3745.5892239999998</v>
      </c>
      <c r="B414" s="2">
        <v>2.5357765145116355E-7</v>
      </c>
      <c r="C414" s="2">
        <f t="shared" si="6"/>
        <v>2.9101587144314282E-5</v>
      </c>
    </row>
    <row r="415" spans="1:3" x14ac:dyDescent="0.35">
      <c r="A415">
        <v>2950.2060339999998</v>
      </c>
      <c r="B415" s="2">
        <v>2.5089630229317471E-7</v>
      </c>
      <c r="C415" s="2">
        <f t="shared" si="6"/>
        <v>2.8793864773123489E-5</v>
      </c>
    </row>
    <row r="416" spans="1:3" x14ac:dyDescent="0.35">
      <c r="A416">
        <v>3346.6794970000001</v>
      </c>
      <c r="B416" s="2">
        <v>2.4861135874670365E-7</v>
      </c>
      <c r="C416" s="2">
        <f t="shared" si="6"/>
        <v>2.8531635497960914E-5</v>
      </c>
    </row>
    <row r="417" spans="1:3" x14ac:dyDescent="0.35">
      <c r="A417">
        <v>3879.997136</v>
      </c>
      <c r="B417" s="2">
        <v>2.4770974610804865E-7</v>
      </c>
      <c r="C417" s="2">
        <f t="shared" si="6"/>
        <v>2.8428162819575896E-5</v>
      </c>
    </row>
    <row r="418" spans="1:3" x14ac:dyDescent="0.35">
      <c r="A418">
        <v>3478.0526260000001</v>
      </c>
      <c r="B418" s="2">
        <v>2.4716625030970496E-7</v>
      </c>
      <c r="C418" s="2">
        <f t="shared" si="6"/>
        <v>2.836578906444585E-5</v>
      </c>
    </row>
    <row r="419" spans="1:3" x14ac:dyDescent="0.35">
      <c r="A419">
        <v>2800.0954449999999</v>
      </c>
      <c r="B419" s="2">
        <v>2.4013310588784607E-7</v>
      </c>
      <c r="C419" s="2">
        <f t="shared" si="6"/>
        <v>2.7558637234937353E-5</v>
      </c>
    </row>
    <row r="420" spans="1:3" x14ac:dyDescent="0.35">
      <c r="A420">
        <v>3779.658136</v>
      </c>
      <c r="B420" s="2">
        <v>2.3929087818183392E-7</v>
      </c>
      <c r="C420" s="2">
        <f t="shared" si="6"/>
        <v>2.7461979809325898E-5</v>
      </c>
    </row>
    <row r="421" spans="1:3" x14ac:dyDescent="0.35">
      <c r="A421">
        <v>3801.3585029999999</v>
      </c>
      <c r="B421" s="2">
        <v>2.3655698403872287E-7</v>
      </c>
      <c r="C421" s="2">
        <f t="shared" si="6"/>
        <v>2.7148227165140697E-5</v>
      </c>
    </row>
    <row r="422" spans="1:3" x14ac:dyDescent="0.35">
      <c r="A422">
        <v>1709.1606300000001</v>
      </c>
      <c r="B422" s="2">
        <v>2.3344228945754914E-7</v>
      </c>
      <c r="C422" s="2">
        <f t="shared" si="6"/>
        <v>2.6790772337149248E-5</v>
      </c>
    </row>
    <row r="423" spans="1:3" x14ac:dyDescent="0.35">
      <c r="A423">
        <v>2849.2176899999999</v>
      </c>
      <c r="B423" s="2">
        <v>2.2942984122554496E-7</v>
      </c>
      <c r="C423" s="2">
        <f t="shared" si="6"/>
        <v>2.6330287703675117E-5</v>
      </c>
    </row>
    <row r="424" spans="1:3" x14ac:dyDescent="0.35">
      <c r="A424">
        <v>3138.495379</v>
      </c>
      <c r="B424" s="2">
        <v>2.2735640309275293E-7</v>
      </c>
      <c r="C424" s="2">
        <f t="shared" si="6"/>
        <v>2.6092331637103487E-5</v>
      </c>
    </row>
    <row r="425" spans="1:3" x14ac:dyDescent="0.35">
      <c r="A425">
        <v>3377.0095529999999</v>
      </c>
      <c r="B425" s="2">
        <v>2.2729782332033502E-7</v>
      </c>
      <c r="C425" s="2">
        <f t="shared" si="6"/>
        <v>2.6085608787742913E-5</v>
      </c>
    </row>
    <row r="426" spans="1:3" x14ac:dyDescent="0.35">
      <c r="A426">
        <v>3266.3599119999999</v>
      </c>
      <c r="B426" s="2">
        <v>2.2595185919396896E-7</v>
      </c>
      <c r="C426" s="2">
        <f t="shared" si="6"/>
        <v>2.5931140552500556E-5</v>
      </c>
    </row>
    <row r="427" spans="1:3" x14ac:dyDescent="0.35">
      <c r="A427">
        <v>3276.4665340000001</v>
      </c>
      <c r="B427" s="2">
        <v>2.2170297448758784E-7</v>
      </c>
      <c r="C427" s="2">
        <f t="shared" si="6"/>
        <v>2.5443521522032848E-5</v>
      </c>
    </row>
    <row r="428" spans="1:3" x14ac:dyDescent="0.35">
      <c r="A428">
        <v>3845.522344</v>
      </c>
      <c r="B428" s="2">
        <v>2.1918236770961852E-7</v>
      </c>
      <c r="C428" s="2">
        <f t="shared" si="6"/>
        <v>2.5154246590327164E-5</v>
      </c>
    </row>
    <row r="429" spans="1:3" x14ac:dyDescent="0.35">
      <c r="A429">
        <v>2944.9052550000001</v>
      </c>
      <c r="B429" s="2">
        <v>2.1863350437717983E-7</v>
      </c>
      <c r="C429" s="2">
        <f t="shared" si="6"/>
        <v>2.509125683548136E-5</v>
      </c>
    </row>
    <row r="430" spans="1:3" x14ac:dyDescent="0.35">
      <c r="A430">
        <v>1522.792398</v>
      </c>
      <c r="B430" s="2">
        <v>2.1669466169348192E-7</v>
      </c>
      <c r="C430" s="2">
        <f t="shared" si="6"/>
        <v>2.486874748185397E-5</v>
      </c>
    </row>
    <row r="431" spans="1:3" x14ac:dyDescent="0.35">
      <c r="A431">
        <v>3225.1655040000001</v>
      </c>
      <c r="B431" s="2">
        <v>2.1627516659192287E-7</v>
      </c>
      <c r="C431" s="2">
        <f t="shared" si="6"/>
        <v>2.4820604543449219E-5</v>
      </c>
    </row>
    <row r="432" spans="1:3" x14ac:dyDescent="0.35">
      <c r="A432">
        <v>3256.1142450000002</v>
      </c>
      <c r="B432" s="2">
        <v>2.1593609416967746E-7</v>
      </c>
      <c r="C432" s="2">
        <f t="shared" si="6"/>
        <v>2.4781691233905816E-5</v>
      </c>
    </row>
    <row r="433" spans="1:3" x14ac:dyDescent="0.35">
      <c r="A433">
        <v>2059.4333539999998</v>
      </c>
      <c r="B433" s="2">
        <v>2.1417858838310688E-7</v>
      </c>
      <c r="C433" s="2">
        <f t="shared" si="6"/>
        <v>2.4579992829051041E-5</v>
      </c>
    </row>
    <row r="434" spans="1:3" x14ac:dyDescent="0.35">
      <c r="A434">
        <v>3394.3701769999998</v>
      </c>
      <c r="B434" s="2">
        <v>2.136028747336973E-7</v>
      </c>
      <c r="C434" s="2">
        <f t="shared" si="6"/>
        <v>2.4513921624263933E-5</v>
      </c>
    </row>
    <row r="435" spans="1:3" x14ac:dyDescent="0.35">
      <c r="A435">
        <v>2897.1672509999999</v>
      </c>
      <c r="B435" s="2">
        <v>2.1228322916926943E-7</v>
      </c>
      <c r="C435" s="2">
        <f t="shared" si="6"/>
        <v>2.4362473812625051E-5</v>
      </c>
    </row>
    <row r="436" spans="1:3" x14ac:dyDescent="0.35">
      <c r="A436">
        <v>2729.4440960000002</v>
      </c>
      <c r="B436" s="2">
        <v>2.0361668022737598E-7</v>
      </c>
      <c r="C436" s="2">
        <f t="shared" si="6"/>
        <v>2.3367865936774643E-5</v>
      </c>
    </row>
    <row r="437" spans="1:3" x14ac:dyDescent="0.35">
      <c r="A437">
        <v>3614.0231720000002</v>
      </c>
      <c r="B437" s="2">
        <v>2.0226905820564766E-7</v>
      </c>
      <c r="C437" s="2">
        <f t="shared" si="6"/>
        <v>2.3213207434818779E-5</v>
      </c>
    </row>
    <row r="438" spans="1:3" x14ac:dyDescent="0.35">
      <c r="A438">
        <v>3539.142488</v>
      </c>
      <c r="B438" s="2">
        <v>2.0134766343667874E-7</v>
      </c>
      <c r="C438" s="2">
        <f t="shared" si="6"/>
        <v>2.3107464479909247E-5</v>
      </c>
    </row>
    <row r="439" spans="1:3" x14ac:dyDescent="0.35">
      <c r="A439">
        <v>3366.2029769999999</v>
      </c>
      <c r="B439" s="2">
        <v>1.9816600927416382E-7</v>
      </c>
      <c r="C439" s="2">
        <f t="shared" si="6"/>
        <v>2.2742325102114632E-5</v>
      </c>
    </row>
    <row r="440" spans="1:3" x14ac:dyDescent="0.35">
      <c r="A440">
        <v>1971.324102</v>
      </c>
      <c r="B440" s="2">
        <v>1.9777065573064384E-7</v>
      </c>
      <c r="C440" s="2">
        <f t="shared" si="6"/>
        <v>2.2696952745624548E-5</v>
      </c>
    </row>
    <row r="441" spans="1:3" x14ac:dyDescent="0.35">
      <c r="A441">
        <v>3580.125372</v>
      </c>
      <c r="B441" s="2">
        <v>1.9423514960793215E-7</v>
      </c>
      <c r="C441" s="2">
        <f t="shared" si="6"/>
        <v>2.2291203899302553E-5</v>
      </c>
    </row>
    <row r="442" spans="1:3" x14ac:dyDescent="0.35">
      <c r="A442">
        <v>3745.8562919999999</v>
      </c>
      <c r="B442" s="2">
        <v>1.9409530044320416E-7</v>
      </c>
      <c r="C442" s="2">
        <f t="shared" si="6"/>
        <v>2.2275154248905128E-5</v>
      </c>
    </row>
    <row r="443" spans="1:3" x14ac:dyDescent="0.35">
      <c r="A443">
        <v>3787.4564730000002</v>
      </c>
      <c r="B443" s="2">
        <v>1.937632287596387E-7</v>
      </c>
      <c r="C443" s="2">
        <f t="shared" si="6"/>
        <v>2.2237044372178468E-5</v>
      </c>
    </row>
    <row r="444" spans="1:3" x14ac:dyDescent="0.35">
      <c r="A444">
        <v>2969.7184219999999</v>
      </c>
      <c r="B444" s="2">
        <v>1.9329990752840768E-7</v>
      </c>
      <c r="C444" s="2">
        <f t="shared" si="6"/>
        <v>2.2183871771559611E-5</v>
      </c>
    </row>
    <row r="445" spans="1:3" x14ac:dyDescent="0.35">
      <c r="A445">
        <v>3965.179693</v>
      </c>
      <c r="B445" s="2">
        <v>1.9284759236170269E-7</v>
      </c>
      <c r="C445" s="2">
        <f t="shared" si="6"/>
        <v>2.2131962270997434E-5</v>
      </c>
    </row>
    <row r="446" spans="1:3" x14ac:dyDescent="0.35">
      <c r="A446">
        <v>3676.1763299999998</v>
      </c>
      <c r="B446" s="2">
        <v>1.9155206908446333E-7</v>
      </c>
      <c r="C446" s="2">
        <f t="shared" si="6"/>
        <v>2.1983282829673201E-5</v>
      </c>
    </row>
    <row r="447" spans="1:3" x14ac:dyDescent="0.35">
      <c r="A447">
        <v>3143.6307870000001</v>
      </c>
      <c r="B447" s="2">
        <v>1.8783651660939778E-7</v>
      </c>
      <c r="C447" s="2">
        <f t="shared" si="6"/>
        <v>2.1556871142666878E-5</v>
      </c>
    </row>
    <row r="448" spans="1:3" x14ac:dyDescent="0.35">
      <c r="A448">
        <v>2239.7916260000002</v>
      </c>
      <c r="B448" s="2">
        <v>1.8565933565925822E-7</v>
      </c>
      <c r="C448" s="2">
        <f t="shared" si="6"/>
        <v>2.1307009134769744E-5</v>
      </c>
    </row>
    <row r="449" spans="1:3" x14ac:dyDescent="0.35">
      <c r="A449">
        <v>3589.9832160000001</v>
      </c>
      <c r="B449" s="2">
        <v>1.8544184785090847E-7</v>
      </c>
      <c r="C449" s="2">
        <f t="shared" si="6"/>
        <v>2.1282049362600169E-5</v>
      </c>
    </row>
    <row r="450" spans="1:3" x14ac:dyDescent="0.35">
      <c r="A450">
        <v>1543.8831250000001</v>
      </c>
      <c r="B450" s="2">
        <v>1.8373697557492993E-7</v>
      </c>
      <c r="C450" s="2">
        <f t="shared" si="6"/>
        <v>2.108639139027736E-5</v>
      </c>
    </row>
    <row r="451" spans="1:3" x14ac:dyDescent="0.35">
      <c r="A451">
        <v>2614.9906839999999</v>
      </c>
      <c r="B451" s="2">
        <v>1.8233434129699359E-7</v>
      </c>
      <c r="C451" s="2">
        <f t="shared" ref="C451:C514" si="7">B451*1.3/(1.35*EXP(-990.163419*1.438776877/298))</f>
        <v>2.0925419461413083E-5</v>
      </c>
    </row>
    <row r="452" spans="1:3" x14ac:dyDescent="0.35">
      <c r="A452">
        <v>2967.5748659999999</v>
      </c>
      <c r="B452" s="2">
        <v>1.764308330574691E-7</v>
      </c>
      <c r="C452" s="2">
        <f t="shared" si="7"/>
        <v>2.0247909205653082E-5</v>
      </c>
    </row>
    <row r="453" spans="1:3" x14ac:dyDescent="0.35">
      <c r="A453">
        <v>3738.3810079999998</v>
      </c>
      <c r="B453" s="2">
        <v>1.7530471260093378E-7</v>
      </c>
      <c r="C453" s="2">
        <f t="shared" si="7"/>
        <v>2.0118671110681729E-5</v>
      </c>
    </row>
    <row r="454" spans="1:3" x14ac:dyDescent="0.35">
      <c r="A454">
        <v>2091.0300109999998</v>
      </c>
      <c r="B454" s="2">
        <v>1.7478353425418081E-7</v>
      </c>
      <c r="C454" s="2">
        <f t="shared" si="7"/>
        <v>2.0058858595702734E-5</v>
      </c>
    </row>
    <row r="455" spans="1:3" x14ac:dyDescent="0.35">
      <c r="A455">
        <v>3456.6514080000002</v>
      </c>
      <c r="B455" s="2">
        <v>1.7379221219288446E-7</v>
      </c>
      <c r="C455" s="2">
        <f t="shared" si="7"/>
        <v>1.9945090504588236E-5</v>
      </c>
    </row>
    <row r="456" spans="1:3" x14ac:dyDescent="0.35">
      <c r="A456">
        <v>2764.3139350000001</v>
      </c>
      <c r="B456" s="2">
        <v>1.7320398152382209E-7</v>
      </c>
      <c r="C456" s="2">
        <f t="shared" si="7"/>
        <v>1.9877582796481023E-5</v>
      </c>
    </row>
    <row r="457" spans="1:3" x14ac:dyDescent="0.35">
      <c r="A457">
        <v>2812.3428749999998</v>
      </c>
      <c r="B457" s="2">
        <v>1.7290031507398205E-7</v>
      </c>
      <c r="C457" s="2">
        <f t="shared" si="7"/>
        <v>1.9842732818171614E-5</v>
      </c>
    </row>
    <row r="458" spans="1:3" x14ac:dyDescent="0.35">
      <c r="A458">
        <v>3392.9468010000001</v>
      </c>
      <c r="B458" s="2">
        <v>1.7054750561397951E-7</v>
      </c>
      <c r="C458" s="2">
        <f t="shared" si="7"/>
        <v>1.9572714978892831E-5</v>
      </c>
    </row>
    <row r="459" spans="1:3" x14ac:dyDescent="0.35">
      <c r="A459">
        <v>3998.4980780000001</v>
      </c>
      <c r="B459" s="2">
        <v>1.6966019315086817E-7</v>
      </c>
      <c r="C459" s="2">
        <f t="shared" si="7"/>
        <v>1.9470883445941498E-5</v>
      </c>
    </row>
    <row r="460" spans="1:3" x14ac:dyDescent="0.35">
      <c r="A460">
        <v>3927.9581600000001</v>
      </c>
      <c r="B460" s="2">
        <v>1.6883600536983646E-7</v>
      </c>
      <c r="C460" s="2">
        <f t="shared" si="7"/>
        <v>1.9376296354390994E-5</v>
      </c>
    </row>
    <row r="461" spans="1:3" x14ac:dyDescent="0.35">
      <c r="A461">
        <v>2955.2782579999998</v>
      </c>
      <c r="B461" s="2">
        <v>1.6882766771589887E-7</v>
      </c>
      <c r="C461" s="2">
        <f t="shared" si="7"/>
        <v>1.937533949182343E-5</v>
      </c>
    </row>
    <row r="462" spans="1:3" x14ac:dyDescent="0.35">
      <c r="A462">
        <v>3142.2707140000002</v>
      </c>
      <c r="B462" s="2">
        <v>1.6714749223934114E-7</v>
      </c>
      <c r="C462" s="2">
        <f t="shared" si="7"/>
        <v>1.918251582314062E-5</v>
      </c>
    </row>
    <row r="463" spans="1:3" x14ac:dyDescent="0.35">
      <c r="A463">
        <v>3720.6450369999998</v>
      </c>
      <c r="B463" s="2">
        <v>1.6688772358264864E-7</v>
      </c>
      <c r="C463" s="2">
        <f t="shared" si="7"/>
        <v>1.9152703731432871E-5</v>
      </c>
    </row>
    <row r="464" spans="1:3" x14ac:dyDescent="0.35">
      <c r="A464">
        <v>3768.3678749999999</v>
      </c>
      <c r="B464" s="2">
        <v>1.6456386676897027E-7</v>
      </c>
      <c r="C464" s="2">
        <f t="shared" si="7"/>
        <v>1.8886008613834172E-5</v>
      </c>
    </row>
    <row r="465" spans="1:3" x14ac:dyDescent="0.35">
      <c r="A465">
        <v>2068.9779800000001</v>
      </c>
      <c r="B465" s="2">
        <v>1.6093948950561663E-7</v>
      </c>
      <c r="C465" s="2">
        <f t="shared" si="7"/>
        <v>1.8470060559383203E-5</v>
      </c>
    </row>
    <row r="466" spans="1:3" x14ac:dyDescent="0.35">
      <c r="A466">
        <v>3459.1539539999999</v>
      </c>
      <c r="B466" s="2">
        <v>1.6071032597068385E-7</v>
      </c>
      <c r="C466" s="2">
        <f t="shared" si="7"/>
        <v>1.8443760834056543E-5</v>
      </c>
    </row>
    <row r="467" spans="1:3" x14ac:dyDescent="0.35">
      <c r="A467">
        <v>3475.6651419999998</v>
      </c>
      <c r="B467" s="2">
        <v>1.5953166293788252E-7</v>
      </c>
      <c r="C467" s="2">
        <f t="shared" si="7"/>
        <v>1.8308492742540775E-5</v>
      </c>
    </row>
    <row r="468" spans="1:3" x14ac:dyDescent="0.35">
      <c r="A468">
        <v>2236.5021339999998</v>
      </c>
      <c r="B468" s="2">
        <v>1.5810821011920061E-7</v>
      </c>
      <c r="C468" s="2">
        <f t="shared" si="7"/>
        <v>1.8145131594538858E-5</v>
      </c>
    </row>
    <row r="469" spans="1:3" x14ac:dyDescent="0.35">
      <c r="A469">
        <v>1705.0191050000001</v>
      </c>
      <c r="B469" s="2">
        <v>1.5576836151062784E-7</v>
      </c>
      <c r="C469" s="2">
        <f t="shared" si="7"/>
        <v>1.7876601194492951E-5</v>
      </c>
    </row>
    <row r="470" spans="1:3" x14ac:dyDescent="0.35">
      <c r="A470">
        <v>3941.5435229999998</v>
      </c>
      <c r="B470" s="2">
        <v>1.5046295483115106E-7</v>
      </c>
      <c r="C470" s="2">
        <f t="shared" si="7"/>
        <v>1.7267731469833654E-5</v>
      </c>
    </row>
    <row r="471" spans="1:3" x14ac:dyDescent="0.35">
      <c r="A471">
        <v>3763.589003</v>
      </c>
      <c r="B471" s="2">
        <v>1.4996801736072001E-7</v>
      </c>
      <c r="C471" s="2">
        <f t="shared" si="7"/>
        <v>1.7210930462945597E-5</v>
      </c>
    </row>
    <row r="472" spans="1:3" x14ac:dyDescent="0.35">
      <c r="A472">
        <v>3468.16545</v>
      </c>
      <c r="B472" s="2">
        <v>1.4782850309464224E-7</v>
      </c>
      <c r="C472" s="2">
        <f t="shared" si="7"/>
        <v>1.6965391234608838E-5</v>
      </c>
    </row>
    <row r="473" spans="1:3" x14ac:dyDescent="0.35">
      <c r="A473">
        <v>3721.7295490000001</v>
      </c>
      <c r="B473" s="2">
        <v>1.4432289930985891E-7</v>
      </c>
      <c r="C473" s="2">
        <f t="shared" si="7"/>
        <v>1.6563074100380004E-5</v>
      </c>
    </row>
    <row r="474" spans="1:3" x14ac:dyDescent="0.35">
      <c r="A474">
        <v>3838.5232339999998</v>
      </c>
      <c r="B474" s="2">
        <v>1.4079387722614656E-7</v>
      </c>
      <c r="C474" s="2">
        <f t="shared" si="7"/>
        <v>1.6158069388349443E-5</v>
      </c>
    </row>
    <row r="475" spans="1:3" x14ac:dyDescent="0.35">
      <c r="A475">
        <v>3788.7483080000002</v>
      </c>
      <c r="B475" s="2">
        <v>1.3797036037922175E-7</v>
      </c>
      <c r="C475" s="2">
        <f t="shared" si="7"/>
        <v>1.5834031283634813E-5</v>
      </c>
    </row>
    <row r="476" spans="1:3" x14ac:dyDescent="0.35">
      <c r="A476">
        <v>3131.8685869999999</v>
      </c>
      <c r="B476" s="2">
        <v>1.3594812188529727E-7</v>
      </c>
      <c r="C476" s="2">
        <f t="shared" si="7"/>
        <v>1.5601951092731778E-5</v>
      </c>
    </row>
    <row r="477" spans="1:3" x14ac:dyDescent="0.35">
      <c r="A477">
        <v>3790.510205</v>
      </c>
      <c r="B477" s="2">
        <v>1.3430344753096961E-7</v>
      </c>
      <c r="C477" s="2">
        <f t="shared" si="7"/>
        <v>1.5413201675058021E-5</v>
      </c>
    </row>
    <row r="478" spans="1:3" x14ac:dyDescent="0.35">
      <c r="A478">
        <v>2643.1732689999999</v>
      </c>
      <c r="B478" s="2">
        <v>1.3351223458410239E-7</v>
      </c>
      <c r="C478" s="2">
        <f t="shared" si="7"/>
        <v>1.5322398907577543E-5</v>
      </c>
    </row>
    <row r="479" spans="1:3" x14ac:dyDescent="0.35">
      <c r="A479">
        <v>3805.0361800000001</v>
      </c>
      <c r="B479" s="2">
        <v>1.327094585246851E-7</v>
      </c>
      <c r="C479" s="2">
        <f t="shared" si="7"/>
        <v>1.5230269110977544E-5</v>
      </c>
    </row>
    <row r="480" spans="1:3" x14ac:dyDescent="0.35">
      <c r="A480">
        <v>3328.112118</v>
      </c>
      <c r="B480" s="2">
        <v>1.3262324435256417E-7</v>
      </c>
      <c r="C480" s="2">
        <f t="shared" si="7"/>
        <v>1.5220374827200191E-5</v>
      </c>
    </row>
    <row r="481" spans="1:3" x14ac:dyDescent="0.35">
      <c r="A481">
        <v>3493.4874880000002</v>
      </c>
      <c r="B481" s="2">
        <v>1.3248928122825407E-7</v>
      </c>
      <c r="C481" s="2">
        <f t="shared" si="7"/>
        <v>1.5205000682381337E-5</v>
      </c>
    </row>
    <row r="482" spans="1:3" x14ac:dyDescent="0.35">
      <c r="A482">
        <v>2995.4486189999998</v>
      </c>
      <c r="B482" s="2">
        <v>1.3223678912429022E-7</v>
      </c>
      <c r="C482" s="2">
        <f t="shared" si="7"/>
        <v>1.5176023677015506E-5</v>
      </c>
    </row>
    <row r="483" spans="1:3" x14ac:dyDescent="0.35">
      <c r="A483">
        <v>2947.495707</v>
      </c>
      <c r="B483" s="2">
        <v>1.3112560839465154E-7</v>
      </c>
      <c r="C483" s="2">
        <f t="shared" si="7"/>
        <v>1.5048500124953226E-5</v>
      </c>
    </row>
    <row r="484" spans="1:3" x14ac:dyDescent="0.35">
      <c r="A484">
        <v>3768.668729</v>
      </c>
      <c r="B484" s="2">
        <v>1.2926364737147681E-7</v>
      </c>
      <c r="C484" s="2">
        <f t="shared" si="7"/>
        <v>1.4834814018685017E-5</v>
      </c>
    </row>
    <row r="485" spans="1:3" x14ac:dyDescent="0.35">
      <c r="A485">
        <v>3186.84202</v>
      </c>
      <c r="B485" s="2">
        <v>1.2735963855680831E-7</v>
      </c>
      <c r="C485" s="2">
        <f t="shared" si="7"/>
        <v>1.4616302339416275E-5</v>
      </c>
    </row>
    <row r="486" spans="1:3" x14ac:dyDescent="0.35">
      <c r="A486">
        <v>3060.9297569999999</v>
      </c>
      <c r="B486" s="2">
        <v>1.2439385164455391E-7</v>
      </c>
      <c r="C486" s="2">
        <f t="shared" si="7"/>
        <v>1.4275936752052751E-5</v>
      </c>
    </row>
    <row r="487" spans="1:3" x14ac:dyDescent="0.35">
      <c r="A487">
        <v>3453.0264200000001</v>
      </c>
      <c r="B487" s="2">
        <v>1.2327289758261088E-7</v>
      </c>
      <c r="C487" s="2">
        <f t="shared" si="7"/>
        <v>1.4147291573222033E-5</v>
      </c>
    </row>
    <row r="488" spans="1:3" x14ac:dyDescent="0.35">
      <c r="A488">
        <v>3834.101893</v>
      </c>
      <c r="B488" s="2">
        <v>1.2212265965659969E-7</v>
      </c>
      <c r="C488" s="2">
        <f t="shared" si="7"/>
        <v>1.4015285660836034E-5</v>
      </c>
    </row>
    <row r="489" spans="1:3" x14ac:dyDescent="0.35">
      <c r="A489">
        <v>3841.6156620000002</v>
      </c>
      <c r="B489" s="2">
        <v>1.2052499112228641E-7</v>
      </c>
      <c r="C489" s="2">
        <f t="shared" si="7"/>
        <v>1.3831930819378324E-5</v>
      </c>
    </row>
    <row r="490" spans="1:3" x14ac:dyDescent="0.35">
      <c r="A490">
        <v>3618.7838369999999</v>
      </c>
      <c r="B490" s="2">
        <v>1.2034422632853505E-7</v>
      </c>
      <c r="C490" s="2">
        <f t="shared" si="7"/>
        <v>1.3811185527481052E-5</v>
      </c>
    </row>
    <row r="491" spans="1:3" x14ac:dyDescent="0.35">
      <c r="A491">
        <v>3499.0495310000001</v>
      </c>
      <c r="B491" s="2">
        <v>1.1861337273050303E-7</v>
      </c>
      <c r="C491" s="2">
        <f t="shared" si="7"/>
        <v>1.361254583455496E-5</v>
      </c>
    </row>
    <row r="492" spans="1:3" x14ac:dyDescent="0.35">
      <c r="A492">
        <v>3603.2955270000002</v>
      </c>
      <c r="B492" s="2">
        <v>1.1852949394458431E-7</v>
      </c>
      <c r="C492" s="2">
        <f t="shared" si="7"/>
        <v>1.360291956905402E-5</v>
      </c>
    </row>
    <row r="493" spans="1:3" x14ac:dyDescent="0.35">
      <c r="A493">
        <v>3862.6845819999999</v>
      </c>
      <c r="B493" s="2">
        <v>1.153521468171696E-7</v>
      </c>
      <c r="C493" s="2">
        <f t="shared" si="7"/>
        <v>1.3238274483862024E-5</v>
      </c>
    </row>
    <row r="494" spans="1:3" x14ac:dyDescent="0.35">
      <c r="A494">
        <v>3051.9175530000002</v>
      </c>
      <c r="B494" s="2">
        <v>1.1433776718317824E-7</v>
      </c>
      <c r="C494" s="2">
        <f t="shared" si="7"/>
        <v>1.3121860213333526E-5</v>
      </c>
    </row>
    <row r="495" spans="1:3" x14ac:dyDescent="0.35">
      <c r="A495">
        <v>2599.4187860000002</v>
      </c>
      <c r="B495" s="2">
        <v>1.136249426364624E-7</v>
      </c>
      <c r="C495" s="2">
        <f t="shared" si="7"/>
        <v>1.3040053612688152E-5</v>
      </c>
    </row>
    <row r="496" spans="1:3" x14ac:dyDescent="0.35">
      <c r="A496">
        <v>2857.265504</v>
      </c>
      <c r="B496" s="2">
        <v>1.131823634647888E-7</v>
      </c>
      <c r="C496" s="2">
        <f t="shared" si="7"/>
        <v>1.2989261453919389E-5</v>
      </c>
    </row>
    <row r="497" spans="1:3" x14ac:dyDescent="0.35">
      <c r="A497">
        <v>1434.7582339999999</v>
      </c>
      <c r="B497" s="2">
        <v>1.1279292547017662E-7</v>
      </c>
      <c r="C497" s="2">
        <f t="shared" si="7"/>
        <v>1.2944567989520395E-5</v>
      </c>
    </row>
    <row r="498" spans="1:3" x14ac:dyDescent="0.35">
      <c r="A498">
        <v>3987.9309549999998</v>
      </c>
      <c r="B498" s="2">
        <v>1.1118980328515486E-7</v>
      </c>
      <c r="C498" s="2">
        <f t="shared" si="7"/>
        <v>1.2760587265259371E-5</v>
      </c>
    </row>
    <row r="499" spans="1:3" x14ac:dyDescent="0.35">
      <c r="A499">
        <v>3887.9888489999998</v>
      </c>
      <c r="B499" s="2">
        <v>1.1097628828309088E-7</v>
      </c>
      <c r="C499" s="2">
        <f t="shared" si="7"/>
        <v>1.2736083428254712E-5</v>
      </c>
    </row>
    <row r="500" spans="1:3" x14ac:dyDescent="0.35">
      <c r="A500">
        <v>2999.7559299999998</v>
      </c>
      <c r="B500" s="2">
        <v>1.1051307123489568E-7</v>
      </c>
      <c r="C500" s="2">
        <f t="shared" si="7"/>
        <v>1.2682922784098417E-5</v>
      </c>
    </row>
    <row r="501" spans="1:3" x14ac:dyDescent="0.35">
      <c r="A501">
        <v>3247.54502</v>
      </c>
      <c r="B501" s="2">
        <v>1.1028141995359839E-7</v>
      </c>
      <c r="C501" s="2">
        <f t="shared" si="7"/>
        <v>1.2656337555032742E-5</v>
      </c>
    </row>
    <row r="502" spans="1:3" x14ac:dyDescent="0.35">
      <c r="A502">
        <v>3333.4769670000001</v>
      </c>
      <c r="B502" s="2">
        <v>1.1012009222149313E-7</v>
      </c>
      <c r="C502" s="2">
        <f t="shared" si="7"/>
        <v>1.2637822938197275E-5</v>
      </c>
    </row>
    <row r="503" spans="1:3" x14ac:dyDescent="0.35">
      <c r="A503">
        <v>2902.7991900000002</v>
      </c>
      <c r="B503" s="2">
        <v>1.0964248948335489E-7</v>
      </c>
      <c r="C503" s="2">
        <f t="shared" si="7"/>
        <v>1.2583011334632241E-5</v>
      </c>
    </row>
    <row r="504" spans="1:3" x14ac:dyDescent="0.35">
      <c r="A504">
        <v>3051.4984450000002</v>
      </c>
      <c r="B504" s="2">
        <v>1.0962221474192353E-7</v>
      </c>
      <c r="C504" s="2">
        <f t="shared" si="7"/>
        <v>1.2580684524082428E-5</v>
      </c>
    </row>
    <row r="505" spans="1:3" x14ac:dyDescent="0.35">
      <c r="A505">
        <v>3959.558892</v>
      </c>
      <c r="B505" s="2">
        <v>1.0957200514300353E-7</v>
      </c>
      <c r="C505" s="2">
        <f t="shared" si="7"/>
        <v>1.257492226936444E-5</v>
      </c>
    </row>
    <row r="506" spans="1:3" x14ac:dyDescent="0.35">
      <c r="A506">
        <v>3153.7579040000001</v>
      </c>
      <c r="B506" s="2">
        <v>1.0921799419828959E-7</v>
      </c>
      <c r="C506" s="2">
        <f t="shared" si="7"/>
        <v>1.2534294555136957E-5</v>
      </c>
    </row>
    <row r="507" spans="1:3" x14ac:dyDescent="0.35">
      <c r="A507">
        <v>3890.371999</v>
      </c>
      <c r="B507" s="2">
        <v>1.0504722810015199E-7</v>
      </c>
      <c r="C507" s="2">
        <f t="shared" si="7"/>
        <v>1.2055640729104189E-5</v>
      </c>
    </row>
    <row r="508" spans="1:3" x14ac:dyDescent="0.35">
      <c r="A508">
        <v>3982.525686</v>
      </c>
      <c r="B508" s="2">
        <v>1.047926902749584E-7</v>
      </c>
      <c r="C508" s="2">
        <f t="shared" si="7"/>
        <v>1.2026428948574619E-5</v>
      </c>
    </row>
    <row r="509" spans="1:3" x14ac:dyDescent="0.35">
      <c r="A509">
        <v>2906.996721</v>
      </c>
      <c r="B509" s="2">
        <v>1.0472467380790688E-7</v>
      </c>
      <c r="C509" s="2">
        <f t="shared" si="7"/>
        <v>1.2018623106333314E-5</v>
      </c>
    </row>
    <row r="510" spans="1:3" x14ac:dyDescent="0.35">
      <c r="A510">
        <v>1760.544517</v>
      </c>
      <c r="B510" s="2">
        <v>1.0226901822732192E-7</v>
      </c>
      <c r="C510" s="2">
        <f t="shared" si="7"/>
        <v>1.1736802234242077E-5</v>
      </c>
    </row>
    <row r="511" spans="1:3" x14ac:dyDescent="0.35">
      <c r="A511">
        <v>3782.5229549999999</v>
      </c>
      <c r="B511" s="2">
        <v>1.0023539066071648E-7</v>
      </c>
      <c r="C511" s="2">
        <f t="shared" si="7"/>
        <v>1.1503414987732122E-5</v>
      </c>
    </row>
    <row r="512" spans="1:3" x14ac:dyDescent="0.35">
      <c r="A512">
        <v>3413.7517899999998</v>
      </c>
      <c r="B512" s="2">
        <v>9.9178489292750406E-8</v>
      </c>
      <c r="C512" s="2">
        <f t="shared" si="7"/>
        <v>1.13821207526653E-5</v>
      </c>
    </row>
    <row r="513" spans="1:3" x14ac:dyDescent="0.35">
      <c r="A513">
        <v>1845.7327680000001</v>
      </c>
      <c r="B513" s="2">
        <v>9.8128806062747211E-8</v>
      </c>
      <c r="C513" s="2">
        <f t="shared" si="7"/>
        <v>1.1261654900027865E-5</v>
      </c>
    </row>
    <row r="514" spans="1:3" x14ac:dyDescent="0.35">
      <c r="A514">
        <v>2985.1401390000001</v>
      </c>
      <c r="B514" s="2">
        <v>9.8023199392822075E-8</v>
      </c>
      <c r="C514" s="2">
        <f t="shared" si="7"/>
        <v>1.1249535055513732E-5</v>
      </c>
    </row>
    <row r="515" spans="1:3" x14ac:dyDescent="0.35">
      <c r="A515">
        <v>2545.103024</v>
      </c>
      <c r="B515" s="2">
        <v>9.575951761665952E-8</v>
      </c>
      <c r="C515" s="2">
        <f t="shared" ref="C515:C578" si="8">B515*1.3/(1.35*EXP(-990.163419*1.438776877/298))</f>
        <v>1.0989745866289073E-5</v>
      </c>
    </row>
    <row r="516" spans="1:3" x14ac:dyDescent="0.35">
      <c r="A516">
        <v>3833.9786399999998</v>
      </c>
      <c r="B516" s="2">
        <v>9.4830707785723518E-8</v>
      </c>
      <c r="C516" s="2">
        <f t="shared" si="8"/>
        <v>1.0883151929162538E-5</v>
      </c>
    </row>
    <row r="517" spans="1:3" x14ac:dyDescent="0.35">
      <c r="A517">
        <v>3781.1142209999998</v>
      </c>
      <c r="B517" s="2">
        <v>9.3869142928762234E-8</v>
      </c>
      <c r="C517" s="2">
        <f t="shared" si="8"/>
        <v>1.0772798894028609E-5</v>
      </c>
    </row>
    <row r="518" spans="1:3" x14ac:dyDescent="0.35">
      <c r="A518">
        <v>2629.6031330000001</v>
      </c>
      <c r="B518" s="2">
        <v>9.308959245976833E-8</v>
      </c>
      <c r="C518" s="2">
        <f t="shared" si="8"/>
        <v>1.0683334559230216E-5</v>
      </c>
    </row>
    <row r="519" spans="1:3" x14ac:dyDescent="0.35">
      <c r="A519">
        <v>3318.9075120000002</v>
      </c>
      <c r="B519" s="2">
        <v>9.2882519943932154E-8</v>
      </c>
      <c r="C519" s="2">
        <f t="shared" si="8"/>
        <v>1.0659570087754467E-5</v>
      </c>
    </row>
    <row r="520" spans="1:3" x14ac:dyDescent="0.35">
      <c r="A520">
        <v>2761.515316</v>
      </c>
      <c r="B520" s="2">
        <v>9.225568072798688E-8</v>
      </c>
      <c r="C520" s="2">
        <f t="shared" si="8"/>
        <v>1.058763150813631E-5</v>
      </c>
    </row>
    <row r="521" spans="1:3" x14ac:dyDescent="0.35">
      <c r="A521">
        <v>3043.09744</v>
      </c>
      <c r="B521" s="2">
        <v>9.2074354068498861E-8</v>
      </c>
      <c r="C521" s="2">
        <f t="shared" si="8"/>
        <v>1.0566821734276193E-5</v>
      </c>
    </row>
    <row r="522" spans="1:3" x14ac:dyDescent="0.35">
      <c r="A522">
        <v>3918.8548169999999</v>
      </c>
      <c r="B522" s="2">
        <v>8.9033490933533121E-8</v>
      </c>
      <c r="C522" s="2">
        <f t="shared" si="8"/>
        <v>1.021784009882958E-5</v>
      </c>
    </row>
    <row r="523" spans="1:3" x14ac:dyDescent="0.35">
      <c r="A523">
        <v>3593.3655290000002</v>
      </c>
      <c r="B523" s="2">
        <v>8.8366961594217267E-8</v>
      </c>
      <c r="C523" s="2">
        <f t="shared" si="8"/>
        <v>1.0141346521649818E-5</v>
      </c>
    </row>
    <row r="524" spans="1:3" x14ac:dyDescent="0.35">
      <c r="A524">
        <v>3579.2475180000001</v>
      </c>
      <c r="B524" s="2">
        <v>8.80294772105008E-8</v>
      </c>
      <c r="C524" s="2">
        <f t="shared" si="8"/>
        <v>1.0102615461769876E-5</v>
      </c>
    </row>
    <row r="525" spans="1:3" x14ac:dyDescent="0.35">
      <c r="A525">
        <v>3226.4916239999998</v>
      </c>
      <c r="B525" s="2">
        <v>8.7016927102884464E-8</v>
      </c>
      <c r="C525" s="2">
        <f t="shared" si="8"/>
        <v>9.9864111550174867E-6</v>
      </c>
    </row>
    <row r="526" spans="1:3" x14ac:dyDescent="0.35">
      <c r="A526">
        <v>2909.0617160000002</v>
      </c>
      <c r="B526" s="2">
        <v>8.679105888339742E-8</v>
      </c>
      <c r="C526" s="2">
        <f t="shared" si="8"/>
        <v>9.9604896132928236E-6</v>
      </c>
    </row>
    <row r="527" spans="1:3" x14ac:dyDescent="0.35">
      <c r="A527">
        <v>3842.101326</v>
      </c>
      <c r="B527" s="2">
        <v>8.4709238532825901E-8</v>
      </c>
      <c r="C527" s="2">
        <f t="shared" si="8"/>
        <v>9.721571569828604E-6</v>
      </c>
    </row>
    <row r="528" spans="1:3" x14ac:dyDescent="0.35">
      <c r="A528">
        <v>3253.291733</v>
      </c>
      <c r="B528" s="2">
        <v>8.4679993210458877E-8</v>
      </c>
      <c r="C528" s="2">
        <f t="shared" si="8"/>
        <v>9.7182152594733465E-6</v>
      </c>
    </row>
    <row r="529" spans="1:3" x14ac:dyDescent="0.35">
      <c r="A529">
        <v>3810.3546670000001</v>
      </c>
      <c r="B529" s="2">
        <v>8.3801700709837746E-8</v>
      </c>
      <c r="C529" s="2">
        <f t="shared" si="8"/>
        <v>9.6174188935524877E-6</v>
      </c>
    </row>
    <row r="530" spans="1:3" x14ac:dyDescent="0.35">
      <c r="A530">
        <v>2543.2299410000001</v>
      </c>
      <c r="B530" s="2">
        <v>8.3000905934743688E-8</v>
      </c>
      <c r="C530" s="2">
        <f t="shared" si="8"/>
        <v>9.5255164770786928E-6</v>
      </c>
    </row>
    <row r="531" spans="1:3" x14ac:dyDescent="0.35">
      <c r="A531">
        <v>3440.2000619999999</v>
      </c>
      <c r="B531" s="2">
        <v>8.2178904793036483E-8</v>
      </c>
      <c r="C531" s="2">
        <f t="shared" si="8"/>
        <v>9.4311803330170196E-6</v>
      </c>
    </row>
    <row r="532" spans="1:3" x14ac:dyDescent="0.35">
      <c r="A532">
        <v>3428.84728</v>
      </c>
      <c r="B532" s="2">
        <v>8.1238493910063373E-8</v>
      </c>
      <c r="C532" s="2">
        <f t="shared" si="8"/>
        <v>9.3232550126834387E-6</v>
      </c>
    </row>
    <row r="533" spans="1:3" x14ac:dyDescent="0.35">
      <c r="A533">
        <v>3105.751456</v>
      </c>
      <c r="B533" s="2">
        <v>8.0000359828005762E-8</v>
      </c>
      <c r="C533" s="2">
        <f t="shared" si="8"/>
        <v>9.1811617853065608E-6</v>
      </c>
    </row>
    <row r="534" spans="1:3" x14ac:dyDescent="0.35">
      <c r="A534">
        <v>3979.4258060000002</v>
      </c>
      <c r="B534" s="2">
        <v>7.9500715452325444E-8</v>
      </c>
      <c r="C534" s="2">
        <f t="shared" si="8"/>
        <v>9.1238205951156421E-6</v>
      </c>
    </row>
    <row r="535" spans="1:3" x14ac:dyDescent="0.35">
      <c r="A535">
        <v>3116.344681</v>
      </c>
      <c r="B535" s="2">
        <v>7.9356932023012792E-8</v>
      </c>
      <c r="C535" s="2">
        <f t="shared" si="8"/>
        <v>9.1073194327533259E-6</v>
      </c>
    </row>
    <row r="536" spans="1:3" x14ac:dyDescent="0.35">
      <c r="A536">
        <v>2933.9852040000001</v>
      </c>
      <c r="B536" s="2">
        <v>7.9273128513854072E-8</v>
      </c>
      <c r="C536" s="2">
        <f t="shared" si="8"/>
        <v>9.0977018063149355E-6</v>
      </c>
    </row>
    <row r="537" spans="1:3" x14ac:dyDescent="0.35">
      <c r="A537">
        <v>3925.212078</v>
      </c>
      <c r="B537" s="2">
        <v>7.8385274660284799E-8</v>
      </c>
      <c r="C537" s="2">
        <f t="shared" si="8"/>
        <v>8.9958081412257725E-6</v>
      </c>
    </row>
    <row r="538" spans="1:3" x14ac:dyDescent="0.35">
      <c r="A538">
        <v>2940.1455460000002</v>
      </c>
      <c r="B538" s="2">
        <v>7.7424641428505274E-8</v>
      </c>
      <c r="C538" s="2">
        <f t="shared" si="8"/>
        <v>8.8855620231299112E-6</v>
      </c>
    </row>
    <row r="539" spans="1:3" x14ac:dyDescent="0.35">
      <c r="A539">
        <v>3055.9023010000001</v>
      </c>
      <c r="B539" s="2">
        <v>7.6250094528940796E-8</v>
      </c>
      <c r="C539" s="2">
        <f t="shared" si="8"/>
        <v>8.7507663155541485E-6</v>
      </c>
    </row>
    <row r="540" spans="1:3" x14ac:dyDescent="0.35">
      <c r="A540">
        <v>2193.26908</v>
      </c>
      <c r="B540" s="2">
        <v>7.5938589058421445E-8</v>
      </c>
      <c r="C540" s="2">
        <f t="shared" si="8"/>
        <v>8.7150166998274818E-6</v>
      </c>
    </row>
    <row r="541" spans="1:3" x14ac:dyDescent="0.35">
      <c r="A541">
        <v>3487.0213100000001</v>
      </c>
      <c r="B541" s="2">
        <v>7.537930922904095E-8</v>
      </c>
      <c r="C541" s="2">
        <f t="shared" si="8"/>
        <v>8.6508315060628481E-6</v>
      </c>
    </row>
    <row r="542" spans="1:3" x14ac:dyDescent="0.35">
      <c r="A542">
        <v>1281.802428</v>
      </c>
      <c r="B542" s="2">
        <v>7.5114947485560301E-8</v>
      </c>
      <c r="C542" s="2">
        <f t="shared" si="8"/>
        <v>8.6204922933148089E-6</v>
      </c>
    </row>
    <row r="543" spans="1:3" x14ac:dyDescent="0.35">
      <c r="A543">
        <v>3568.5718470000002</v>
      </c>
      <c r="B543" s="2">
        <v>7.4667045343633598E-8</v>
      </c>
      <c r="C543" s="2">
        <f t="shared" si="8"/>
        <v>8.5690892491553146E-6</v>
      </c>
    </row>
    <row r="544" spans="1:3" x14ac:dyDescent="0.35">
      <c r="A544">
        <v>3638.8401840000001</v>
      </c>
      <c r="B544" s="2">
        <v>7.4464911585467512E-8</v>
      </c>
      <c r="C544" s="2">
        <f t="shared" si="8"/>
        <v>8.5458915692950648E-6</v>
      </c>
    </row>
    <row r="545" spans="1:3" x14ac:dyDescent="0.35">
      <c r="A545">
        <v>3261.715886</v>
      </c>
      <c r="B545" s="2">
        <v>7.4356067412648312E-8</v>
      </c>
      <c r="C545" s="2">
        <f t="shared" si="8"/>
        <v>8.5334001759789674E-6</v>
      </c>
    </row>
    <row r="546" spans="1:3" x14ac:dyDescent="0.35">
      <c r="A546">
        <v>3743.7112579999998</v>
      </c>
      <c r="B546" s="2">
        <v>7.1561037098349753E-8</v>
      </c>
      <c r="C546" s="2">
        <f t="shared" si="8"/>
        <v>8.2126312998691397E-6</v>
      </c>
    </row>
    <row r="547" spans="1:3" x14ac:dyDescent="0.35">
      <c r="A547">
        <v>3395.4258479999999</v>
      </c>
      <c r="B547" s="2">
        <v>7.0209073113104644E-8</v>
      </c>
      <c r="C547" s="2">
        <f t="shared" si="8"/>
        <v>8.0574744967856376E-6</v>
      </c>
    </row>
    <row r="548" spans="1:3" x14ac:dyDescent="0.35">
      <c r="A548">
        <v>3099.2296190000002</v>
      </c>
      <c r="B548" s="2">
        <v>6.9106417325982391E-8</v>
      </c>
      <c r="C548" s="2">
        <f t="shared" si="8"/>
        <v>7.9309293012785299E-6</v>
      </c>
    </row>
    <row r="549" spans="1:3" x14ac:dyDescent="0.35">
      <c r="A549">
        <v>3988.9217279999998</v>
      </c>
      <c r="B549" s="2">
        <v>6.89563034222608E-8</v>
      </c>
      <c r="C549" s="2">
        <f t="shared" si="8"/>
        <v>7.9137016283123719E-6</v>
      </c>
    </row>
    <row r="550" spans="1:3" x14ac:dyDescent="0.35">
      <c r="A550">
        <v>3463.9301139999998</v>
      </c>
      <c r="B550" s="2">
        <v>6.8317321161606384E-8</v>
      </c>
      <c r="C550" s="2">
        <f t="shared" si="8"/>
        <v>7.8403694642368377E-6</v>
      </c>
    </row>
    <row r="551" spans="1:3" x14ac:dyDescent="0.35">
      <c r="A551">
        <v>2734.5098480000001</v>
      </c>
      <c r="B551" s="2">
        <v>6.7965621514531517E-8</v>
      </c>
      <c r="C551" s="2">
        <f t="shared" si="8"/>
        <v>7.8000070037857636E-6</v>
      </c>
    </row>
    <row r="552" spans="1:3" x14ac:dyDescent="0.35">
      <c r="A552">
        <v>2584.9868649999999</v>
      </c>
      <c r="B552" s="2">
        <v>6.7665664101210237E-8</v>
      </c>
      <c r="C552" s="2">
        <f t="shared" si="8"/>
        <v>7.7655826893661088E-6</v>
      </c>
    </row>
    <row r="553" spans="1:3" x14ac:dyDescent="0.35">
      <c r="A553">
        <v>2757.7647480000001</v>
      </c>
      <c r="B553" s="2">
        <v>6.7116687552524483E-8</v>
      </c>
      <c r="C553" s="2">
        <f t="shared" si="8"/>
        <v>7.7025799413702344E-6</v>
      </c>
    </row>
    <row r="554" spans="1:3" x14ac:dyDescent="0.35">
      <c r="A554">
        <v>3742.3404380000002</v>
      </c>
      <c r="B554" s="2">
        <v>6.6552226273199676E-8</v>
      </c>
      <c r="C554" s="2">
        <f t="shared" si="8"/>
        <v>7.6378001036524551E-6</v>
      </c>
    </row>
    <row r="555" spans="1:3" x14ac:dyDescent="0.35">
      <c r="A555">
        <v>3555.8640949999999</v>
      </c>
      <c r="B555" s="2">
        <v>6.6387553844094079E-8</v>
      </c>
      <c r="C555" s="2">
        <f t="shared" si="8"/>
        <v>7.6189016359899555E-6</v>
      </c>
    </row>
    <row r="556" spans="1:3" x14ac:dyDescent="0.35">
      <c r="A556">
        <v>2810.6139189999999</v>
      </c>
      <c r="B556" s="2">
        <v>6.4827428539956154E-8</v>
      </c>
      <c r="C556" s="2">
        <f t="shared" si="8"/>
        <v>7.4398554060300425E-6</v>
      </c>
    </row>
    <row r="557" spans="1:3" x14ac:dyDescent="0.35">
      <c r="A557">
        <v>3615.2829080000001</v>
      </c>
      <c r="B557" s="2">
        <v>6.456239412334816E-8</v>
      </c>
      <c r="C557" s="2">
        <f t="shared" si="8"/>
        <v>7.4094389946190967E-6</v>
      </c>
    </row>
    <row r="558" spans="1:3" x14ac:dyDescent="0.35">
      <c r="A558">
        <v>3007.0684719999999</v>
      </c>
      <c r="B558" s="2">
        <v>6.3601948180147522E-8</v>
      </c>
      <c r="C558" s="2">
        <f t="shared" si="8"/>
        <v>7.2992143705108504E-6</v>
      </c>
    </row>
    <row r="559" spans="1:3" x14ac:dyDescent="0.35">
      <c r="A559">
        <v>3946.3094649999998</v>
      </c>
      <c r="B559" s="2">
        <v>6.3555649961677124E-8</v>
      </c>
      <c r="C559" s="2">
        <f t="shared" si="8"/>
        <v>7.2939010014827354E-6</v>
      </c>
    </row>
    <row r="560" spans="1:3" x14ac:dyDescent="0.35">
      <c r="A560">
        <v>2577.585423</v>
      </c>
      <c r="B560" s="2">
        <v>6.3552405232214081E-8</v>
      </c>
      <c r="C560" s="2">
        <f t="shared" si="8"/>
        <v>7.2935286233307646E-6</v>
      </c>
    </row>
    <row r="561" spans="1:3" x14ac:dyDescent="0.35">
      <c r="A561">
        <v>2513.0345849999999</v>
      </c>
      <c r="B561" s="2">
        <v>6.3251979296338546E-8</v>
      </c>
      <c r="C561" s="2">
        <f t="shared" si="8"/>
        <v>7.2590505393858243E-6</v>
      </c>
    </row>
    <row r="562" spans="1:3" x14ac:dyDescent="0.35">
      <c r="A562">
        <v>3820.5629909999998</v>
      </c>
      <c r="B562" s="2">
        <v>6.2577303204948481E-8</v>
      </c>
      <c r="C562" s="2">
        <f t="shared" si="8"/>
        <v>7.181622008301117E-6</v>
      </c>
    </row>
    <row r="563" spans="1:3" x14ac:dyDescent="0.35">
      <c r="A563">
        <v>3818.3621039999998</v>
      </c>
      <c r="B563" s="2">
        <v>6.215153965703072E-8</v>
      </c>
      <c r="C563" s="2">
        <f t="shared" si="8"/>
        <v>7.1327596778800646E-6</v>
      </c>
    </row>
    <row r="564" spans="1:3" x14ac:dyDescent="0.35">
      <c r="A564">
        <v>3198.5692800000002</v>
      </c>
      <c r="B564" s="2">
        <v>6.141940571805376E-8</v>
      </c>
      <c r="C564" s="2">
        <f t="shared" si="8"/>
        <v>7.0487370540229647E-6</v>
      </c>
    </row>
    <row r="565" spans="1:3" x14ac:dyDescent="0.35">
      <c r="A565">
        <v>3448.4677980000001</v>
      </c>
      <c r="B565" s="2">
        <v>6.0493966479323512E-8</v>
      </c>
      <c r="C565" s="2">
        <f t="shared" si="8"/>
        <v>6.942529939560975E-6</v>
      </c>
    </row>
    <row r="566" spans="1:3" x14ac:dyDescent="0.35">
      <c r="A566">
        <v>3744.2726349999998</v>
      </c>
      <c r="B566" s="2">
        <v>5.8373415272189471E-8</v>
      </c>
      <c r="C566" s="2">
        <f t="shared" si="8"/>
        <v>6.6991669878369862E-6</v>
      </c>
    </row>
    <row r="567" spans="1:3" x14ac:dyDescent="0.35">
      <c r="A567">
        <v>2427.5852439999999</v>
      </c>
      <c r="B567" s="2">
        <v>5.7489730366031809E-8</v>
      </c>
      <c r="C567" s="2">
        <f t="shared" si="8"/>
        <v>6.5977517678541029E-6</v>
      </c>
    </row>
    <row r="568" spans="1:3" x14ac:dyDescent="0.35">
      <c r="A568">
        <v>3484.1257949999999</v>
      </c>
      <c r="B568" s="2">
        <v>5.690942609891177E-8</v>
      </c>
      <c r="C568" s="2">
        <f t="shared" si="8"/>
        <v>6.5311537253879529E-6</v>
      </c>
    </row>
    <row r="569" spans="1:3" x14ac:dyDescent="0.35">
      <c r="A569">
        <v>3424.7728379999999</v>
      </c>
      <c r="B569" s="2">
        <v>5.6051224965534652E-8</v>
      </c>
      <c r="C569" s="2">
        <f t="shared" si="8"/>
        <v>6.4326631252605459E-6</v>
      </c>
    </row>
    <row r="570" spans="1:3" x14ac:dyDescent="0.35">
      <c r="A570">
        <v>3249.7679990000001</v>
      </c>
      <c r="B570" s="2">
        <v>5.5796431922013952E-8</v>
      </c>
      <c r="C570" s="2">
        <f t="shared" si="8"/>
        <v>6.4034220548533189E-6</v>
      </c>
    </row>
    <row r="571" spans="1:3" x14ac:dyDescent="0.35">
      <c r="A571">
        <v>2957.3697400000001</v>
      </c>
      <c r="B571" s="2">
        <v>5.5676960055775131E-8</v>
      </c>
      <c r="C571" s="2">
        <f t="shared" si="8"/>
        <v>6.3897109848645166E-6</v>
      </c>
    </row>
    <row r="572" spans="1:3" x14ac:dyDescent="0.35">
      <c r="A572">
        <v>3049.5877860000001</v>
      </c>
      <c r="B572" s="2">
        <v>5.4331593385997823E-8</v>
      </c>
      <c r="C572" s="2">
        <f t="shared" si="8"/>
        <v>6.2353113161337713E-6</v>
      </c>
    </row>
    <row r="573" spans="1:3" x14ac:dyDescent="0.35">
      <c r="A573">
        <v>2156.2781749999999</v>
      </c>
      <c r="B573" s="2">
        <v>5.4266997615363515E-8</v>
      </c>
      <c r="C573" s="2">
        <f t="shared" si="8"/>
        <v>6.2278980467170431E-6</v>
      </c>
    </row>
    <row r="574" spans="1:3" x14ac:dyDescent="0.35">
      <c r="A574">
        <v>2749.5386520000002</v>
      </c>
      <c r="B574" s="2">
        <v>5.385764662931785E-8</v>
      </c>
      <c r="C574" s="2">
        <f t="shared" si="8"/>
        <v>6.1809192876472083E-6</v>
      </c>
    </row>
    <row r="575" spans="1:3" x14ac:dyDescent="0.35">
      <c r="A575">
        <v>3865.511606</v>
      </c>
      <c r="B575" s="2">
        <v>5.3357278332091968E-8</v>
      </c>
      <c r="C575" s="2">
        <f t="shared" si="8"/>
        <v>6.1234950173196024E-6</v>
      </c>
    </row>
    <row r="576" spans="1:3" x14ac:dyDescent="0.35">
      <c r="A576">
        <v>3516.7121590000002</v>
      </c>
      <c r="B576" s="2">
        <v>5.3085163262995549E-8</v>
      </c>
      <c r="C576" s="2">
        <f t="shared" si="8"/>
        <v>6.0922660018631045E-6</v>
      </c>
    </row>
    <row r="577" spans="1:3" x14ac:dyDescent="0.35">
      <c r="A577">
        <v>3910.2470560000002</v>
      </c>
      <c r="B577" s="2">
        <v>5.2676440145349692E-8</v>
      </c>
      <c r="C577" s="2">
        <f t="shared" si="8"/>
        <v>6.0453592994861516E-6</v>
      </c>
    </row>
    <row r="578" spans="1:3" x14ac:dyDescent="0.35">
      <c r="A578">
        <v>3764.5873120000001</v>
      </c>
      <c r="B578" s="2">
        <v>5.2579234181176349E-8</v>
      </c>
      <c r="C578" s="2">
        <f t="shared" si="8"/>
        <v>6.0342035536183716E-6</v>
      </c>
    </row>
    <row r="579" spans="1:3" x14ac:dyDescent="0.35">
      <c r="A579">
        <v>3414.6623380000001</v>
      </c>
      <c r="B579" s="2">
        <v>5.2570124669452411E-8</v>
      </c>
      <c r="C579" s="2">
        <f t="shared" ref="C579:C642" si="9">B579*1.3/(1.35*EXP(-990.163419*1.438776877/298))</f>
        <v>6.0331581095590897E-6</v>
      </c>
    </row>
    <row r="580" spans="1:3" x14ac:dyDescent="0.35">
      <c r="A580">
        <v>2968.2703419999998</v>
      </c>
      <c r="B580" s="2">
        <v>5.2256295194576927E-8</v>
      </c>
      <c r="C580" s="2">
        <f t="shared" si="9"/>
        <v>5.9971417817822624E-6</v>
      </c>
    </row>
    <row r="581" spans="1:3" x14ac:dyDescent="0.35">
      <c r="A581">
        <v>3368.0732699999999</v>
      </c>
      <c r="B581" s="2">
        <v>5.2073311603269209E-8</v>
      </c>
      <c r="C581" s="2">
        <f t="shared" si="9"/>
        <v>5.9761418517886416E-6</v>
      </c>
    </row>
    <row r="582" spans="1:3" x14ac:dyDescent="0.35">
      <c r="A582">
        <v>3989.1136029999998</v>
      </c>
      <c r="B582" s="2">
        <v>5.1914965312631196E-8</v>
      </c>
      <c r="C582" s="2">
        <f t="shared" si="9"/>
        <v>5.9579693971199824E-6</v>
      </c>
    </row>
    <row r="583" spans="1:3" x14ac:dyDescent="0.35">
      <c r="A583">
        <v>2478.6077180000002</v>
      </c>
      <c r="B583" s="2">
        <v>5.1511293626909791E-8</v>
      </c>
      <c r="C583" s="2">
        <f t="shared" si="9"/>
        <v>5.9116424173073471E-6</v>
      </c>
    </row>
    <row r="584" spans="1:3" x14ac:dyDescent="0.35">
      <c r="A584">
        <v>3899.0034470000001</v>
      </c>
      <c r="B584" s="2">
        <v>5.1189271691911383E-8</v>
      </c>
      <c r="C584" s="2">
        <f t="shared" si="9"/>
        <v>5.8746858899867923E-6</v>
      </c>
    </row>
    <row r="585" spans="1:3" x14ac:dyDescent="0.35">
      <c r="A585">
        <v>1511.357348</v>
      </c>
      <c r="B585" s="2">
        <v>5.1083224743272384E-8</v>
      </c>
      <c r="C585" s="2">
        <f t="shared" si="9"/>
        <v>5.8625155173236458E-6</v>
      </c>
    </row>
    <row r="586" spans="1:3" x14ac:dyDescent="0.35">
      <c r="A586">
        <v>3365.496306</v>
      </c>
      <c r="B586" s="2">
        <v>5.1018989457986368E-8</v>
      </c>
      <c r="C586" s="2">
        <f t="shared" si="9"/>
        <v>5.8551436186496375E-6</v>
      </c>
    </row>
    <row r="587" spans="1:3" x14ac:dyDescent="0.35">
      <c r="A587">
        <v>3703.293819</v>
      </c>
      <c r="B587" s="2">
        <v>5.0599332360839803E-8</v>
      </c>
      <c r="C587" s="2">
        <f t="shared" si="9"/>
        <v>5.806982088982293E-6</v>
      </c>
    </row>
    <row r="588" spans="1:3" x14ac:dyDescent="0.35">
      <c r="A588">
        <v>2928.3787430000002</v>
      </c>
      <c r="B588" s="2">
        <v>4.9496899995141245E-8</v>
      </c>
      <c r="C588" s="2">
        <f t="shared" si="9"/>
        <v>5.680462534212822E-6</v>
      </c>
    </row>
    <row r="589" spans="1:3" x14ac:dyDescent="0.35">
      <c r="A589">
        <v>3904.6562530000001</v>
      </c>
      <c r="B589" s="2">
        <v>4.8998477451607835E-8</v>
      </c>
      <c r="C589" s="2">
        <f t="shared" si="9"/>
        <v>5.623261566373897E-6</v>
      </c>
    </row>
    <row r="590" spans="1:3" x14ac:dyDescent="0.35">
      <c r="A590">
        <v>2583.4079470000001</v>
      </c>
      <c r="B590" s="2">
        <v>4.8913569542047811E-8</v>
      </c>
      <c r="C590" s="2">
        <f t="shared" si="9"/>
        <v>5.6135171945210862E-6</v>
      </c>
    </row>
    <row r="591" spans="1:3" x14ac:dyDescent="0.35">
      <c r="A591">
        <v>3823.5513540000002</v>
      </c>
      <c r="B591" s="2">
        <v>4.8367988517230719E-8</v>
      </c>
      <c r="C591" s="2">
        <f t="shared" si="9"/>
        <v>5.5509041304472724E-6</v>
      </c>
    </row>
    <row r="592" spans="1:3" x14ac:dyDescent="0.35">
      <c r="A592">
        <v>1651.789059</v>
      </c>
      <c r="B592" s="2">
        <v>4.7491732584185342E-8</v>
      </c>
      <c r="C592" s="2">
        <f t="shared" si="9"/>
        <v>5.4503414891801505E-6</v>
      </c>
    </row>
    <row r="593" spans="1:3" x14ac:dyDescent="0.35">
      <c r="A593">
        <v>3424.301833</v>
      </c>
      <c r="B593" s="2">
        <v>4.6686108533940923E-8</v>
      </c>
      <c r="C593" s="2">
        <f t="shared" si="9"/>
        <v>5.3578848457434213E-6</v>
      </c>
    </row>
    <row r="594" spans="1:3" x14ac:dyDescent="0.35">
      <c r="A594">
        <v>3855.3326189999998</v>
      </c>
      <c r="B594" s="2">
        <v>4.538022904138921E-8</v>
      </c>
      <c r="C594" s="2">
        <f t="shared" si="9"/>
        <v>5.208016883661655E-6</v>
      </c>
    </row>
    <row r="595" spans="1:3" x14ac:dyDescent="0.35">
      <c r="A595">
        <v>3993.9950309999999</v>
      </c>
      <c r="B595" s="2">
        <v>4.5324168029360892E-8</v>
      </c>
      <c r="C595" s="2">
        <f t="shared" si="9"/>
        <v>5.2015830973338609E-6</v>
      </c>
    </row>
    <row r="596" spans="1:3" x14ac:dyDescent="0.35">
      <c r="A596">
        <v>3568.6870560000002</v>
      </c>
      <c r="B596" s="2">
        <v>4.5057055853734082E-8</v>
      </c>
      <c r="C596" s="2">
        <f t="shared" si="9"/>
        <v>5.1709282339741533E-6</v>
      </c>
    </row>
    <row r="597" spans="1:3" x14ac:dyDescent="0.35">
      <c r="A597">
        <v>3258.974843</v>
      </c>
      <c r="B597" s="2">
        <v>4.4663115947545471E-8</v>
      </c>
      <c r="C597" s="2">
        <f t="shared" si="9"/>
        <v>5.1257181121674258E-6</v>
      </c>
    </row>
    <row r="598" spans="1:3" x14ac:dyDescent="0.35">
      <c r="A598">
        <v>2958.8774939999998</v>
      </c>
      <c r="B598" s="2">
        <v>4.4530746643019512E-8</v>
      </c>
      <c r="C598" s="2">
        <f t="shared" si="9"/>
        <v>5.110526880492042E-6</v>
      </c>
    </row>
    <row r="599" spans="1:3" x14ac:dyDescent="0.35">
      <c r="A599">
        <v>3886.489842</v>
      </c>
      <c r="B599" s="2">
        <v>4.3936501541497345E-8</v>
      </c>
      <c r="C599" s="2">
        <f t="shared" si="9"/>
        <v>5.0423289320211778E-6</v>
      </c>
    </row>
    <row r="600" spans="1:3" x14ac:dyDescent="0.35">
      <c r="A600">
        <v>2001.148471</v>
      </c>
      <c r="B600" s="2">
        <v>4.3656502707215427E-8</v>
      </c>
      <c r="C600" s="2">
        <f t="shared" si="9"/>
        <v>5.0101951440886438E-6</v>
      </c>
    </row>
    <row r="601" spans="1:3" x14ac:dyDescent="0.35">
      <c r="A601">
        <v>3116.4629719999998</v>
      </c>
      <c r="B601" s="2">
        <v>4.3167098560415649E-8</v>
      </c>
      <c r="C601" s="2">
        <f t="shared" si="9"/>
        <v>4.9540291635876947E-6</v>
      </c>
    </row>
    <row r="602" spans="1:3" x14ac:dyDescent="0.35">
      <c r="A602">
        <v>3111.5865920000001</v>
      </c>
      <c r="B602" s="2">
        <v>4.2911662834028767E-8</v>
      </c>
      <c r="C602" s="2">
        <f t="shared" si="9"/>
        <v>4.9247143363200768E-6</v>
      </c>
    </row>
    <row r="603" spans="1:3" x14ac:dyDescent="0.35">
      <c r="A603">
        <v>3952.5522860000001</v>
      </c>
      <c r="B603" s="2">
        <v>4.2284892270488613E-8</v>
      </c>
      <c r="C603" s="2">
        <f t="shared" si="9"/>
        <v>4.8527836355269608E-6</v>
      </c>
    </row>
    <row r="604" spans="1:3" x14ac:dyDescent="0.35">
      <c r="A604">
        <v>1914.5726850000001</v>
      </c>
      <c r="B604" s="2">
        <v>4.1670438369976821E-8</v>
      </c>
      <c r="C604" s="2">
        <f t="shared" si="9"/>
        <v>4.7822664443250715E-6</v>
      </c>
    </row>
    <row r="605" spans="1:3" x14ac:dyDescent="0.35">
      <c r="A605">
        <v>3360.1526399999998</v>
      </c>
      <c r="B605" s="2">
        <v>4.1301022307325246E-8</v>
      </c>
      <c r="C605" s="2">
        <f t="shared" si="9"/>
        <v>4.739870777048238E-6</v>
      </c>
    </row>
    <row r="606" spans="1:3" x14ac:dyDescent="0.35">
      <c r="A606">
        <v>2885.9779549999998</v>
      </c>
      <c r="B606" s="2">
        <v>4.0913025591670747E-8</v>
      </c>
      <c r="C606" s="2">
        <f t="shared" si="9"/>
        <v>4.6953427195963699E-6</v>
      </c>
    </row>
    <row r="607" spans="1:3" x14ac:dyDescent="0.35">
      <c r="A607">
        <v>421.36468100000002</v>
      </c>
      <c r="B607" s="2">
        <v>4.0558697701686526E-8</v>
      </c>
      <c r="C607" s="2">
        <f t="shared" si="9"/>
        <v>4.6546786314599488E-6</v>
      </c>
    </row>
    <row r="608" spans="1:3" x14ac:dyDescent="0.35">
      <c r="A608">
        <v>3756.1001470000001</v>
      </c>
      <c r="B608" s="2">
        <v>4.051589069890212E-8</v>
      </c>
      <c r="C608" s="2">
        <f t="shared" si="9"/>
        <v>4.6497659283302048E-6</v>
      </c>
    </row>
    <row r="609" spans="1:3" x14ac:dyDescent="0.35">
      <c r="A609">
        <v>2906.887115</v>
      </c>
      <c r="B609" s="2">
        <v>4.0428118297849151E-8</v>
      </c>
      <c r="C609" s="2">
        <f t="shared" si="9"/>
        <v>4.6396928159581532E-6</v>
      </c>
    </row>
    <row r="610" spans="1:3" x14ac:dyDescent="0.35">
      <c r="A610">
        <v>3525.1840499999998</v>
      </c>
      <c r="B610" s="2">
        <v>3.9732884544852929E-8</v>
      </c>
      <c r="C610" s="2">
        <f t="shared" si="9"/>
        <v>4.5599050052709603E-6</v>
      </c>
    </row>
    <row r="611" spans="1:3" x14ac:dyDescent="0.35">
      <c r="A611">
        <v>3835.0505910000002</v>
      </c>
      <c r="B611" s="2">
        <v>3.9452091149313857E-8</v>
      </c>
      <c r="C611" s="2">
        <f t="shared" si="9"/>
        <v>4.527680030305444E-6</v>
      </c>
    </row>
    <row r="612" spans="1:3" x14ac:dyDescent="0.35">
      <c r="A612">
        <v>1981.617722</v>
      </c>
      <c r="B612" s="2">
        <v>3.907935008206236E-8</v>
      </c>
      <c r="C612" s="2">
        <f t="shared" si="9"/>
        <v>4.4849027721803396E-6</v>
      </c>
    </row>
    <row r="613" spans="1:3" x14ac:dyDescent="0.35">
      <c r="A613">
        <v>2782.6085870000002</v>
      </c>
      <c r="B613" s="2">
        <v>3.8620162628940674E-8</v>
      </c>
      <c r="C613" s="2">
        <f t="shared" si="9"/>
        <v>4.4322045804977417E-6</v>
      </c>
    </row>
    <row r="614" spans="1:3" x14ac:dyDescent="0.35">
      <c r="A614">
        <v>3991.8053129999998</v>
      </c>
      <c r="B614" s="2">
        <v>3.8347511408648835E-8</v>
      </c>
      <c r="C614" s="2">
        <f t="shared" si="9"/>
        <v>4.4009140341821692E-6</v>
      </c>
    </row>
    <row r="615" spans="1:3" x14ac:dyDescent="0.35">
      <c r="A615">
        <v>3998.6787589999999</v>
      </c>
      <c r="B615" s="2">
        <v>3.8191950297909408E-8</v>
      </c>
      <c r="C615" s="2">
        <f t="shared" si="9"/>
        <v>4.3830612179164522E-6</v>
      </c>
    </row>
    <row r="616" spans="1:3" x14ac:dyDescent="0.35">
      <c r="A616">
        <v>3230.0349430000001</v>
      </c>
      <c r="B616" s="2">
        <v>3.8117475446178336E-8</v>
      </c>
      <c r="C616" s="2">
        <f t="shared" si="9"/>
        <v>4.3745141855762267E-6</v>
      </c>
    </row>
    <row r="617" spans="1:3" x14ac:dyDescent="0.35">
      <c r="A617">
        <v>3410.2487900000001</v>
      </c>
      <c r="B617" s="2">
        <v>3.8020962871296704E-8</v>
      </c>
      <c r="C617" s="2">
        <f t="shared" si="9"/>
        <v>4.3634380158413671E-6</v>
      </c>
    </row>
    <row r="618" spans="1:3" x14ac:dyDescent="0.35">
      <c r="A618">
        <v>2836.9850670000001</v>
      </c>
      <c r="B618" s="2">
        <v>3.7737048260402397E-8</v>
      </c>
      <c r="C618" s="2">
        <f t="shared" si="9"/>
        <v>4.3308548376977051E-6</v>
      </c>
    </row>
    <row r="619" spans="1:3" x14ac:dyDescent="0.35">
      <c r="A619">
        <v>754.21644400000002</v>
      </c>
      <c r="B619" s="2">
        <v>3.7580730588114276E-8</v>
      </c>
      <c r="C619" s="2">
        <f t="shared" si="9"/>
        <v>4.3129151953977794E-6</v>
      </c>
    </row>
    <row r="620" spans="1:3" x14ac:dyDescent="0.35">
      <c r="A620">
        <v>3673.6369890000001</v>
      </c>
      <c r="B620" s="2">
        <v>3.7568345573787805E-8</v>
      </c>
      <c r="C620" s="2">
        <f t="shared" si="9"/>
        <v>4.3114938415377576E-6</v>
      </c>
    </row>
    <row r="621" spans="1:3" x14ac:dyDescent="0.35">
      <c r="A621">
        <v>3394.7998809999999</v>
      </c>
      <c r="B621" s="2">
        <v>3.7482055161364315E-8</v>
      </c>
      <c r="C621" s="2">
        <f t="shared" si="9"/>
        <v>4.3015908081178555E-6</v>
      </c>
    </row>
    <row r="622" spans="1:3" x14ac:dyDescent="0.35">
      <c r="A622">
        <v>3716.8034710000002</v>
      </c>
      <c r="B622" s="2">
        <v>3.6975626241858717E-8</v>
      </c>
      <c r="C622" s="2">
        <f t="shared" si="9"/>
        <v>4.2434709964978194E-6</v>
      </c>
    </row>
    <row r="623" spans="1:3" x14ac:dyDescent="0.35">
      <c r="A623">
        <v>3943.9385910000001</v>
      </c>
      <c r="B623" s="2">
        <v>3.6540923488358846E-8</v>
      </c>
      <c r="C623" s="2">
        <f t="shared" si="9"/>
        <v>4.1935827670325886E-6</v>
      </c>
    </row>
    <row r="624" spans="1:3" x14ac:dyDescent="0.35">
      <c r="A624">
        <v>2132.775623</v>
      </c>
      <c r="B624" s="2">
        <v>3.6051425576826813E-8</v>
      </c>
      <c r="C624" s="2">
        <f t="shared" si="9"/>
        <v>4.1374060257153326E-6</v>
      </c>
    </row>
    <row r="625" spans="1:3" x14ac:dyDescent="0.35">
      <c r="A625">
        <v>3821.6089710000001</v>
      </c>
      <c r="B625" s="2">
        <v>3.597110473191414E-8</v>
      </c>
      <c r="C625" s="2">
        <f t="shared" si="9"/>
        <v>4.1281880837778064E-6</v>
      </c>
    </row>
    <row r="626" spans="1:3" x14ac:dyDescent="0.35">
      <c r="A626">
        <v>3532.2010599999999</v>
      </c>
      <c r="B626" s="2">
        <v>3.5906274459117088E-8</v>
      </c>
      <c r="C626" s="2">
        <f t="shared" si="9"/>
        <v>4.1207479019534374E-6</v>
      </c>
    </row>
    <row r="627" spans="1:3" x14ac:dyDescent="0.35">
      <c r="A627">
        <v>3546.0464849999998</v>
      </c>
      <c r="B627" s="2">
        <v>3.5783587010576697E-8</v>
      </c>
      <c r="C627" s="2">
        <f t="shared" si="9"/>
        <v>4.1066677988576821E-6</v>
      </c>
    </row>
    <row r="628" spans="1:3" x14ac:dyDescent="0.35">
      <c r="A628">
        <v>3942.2702949999998</v>
      </c>
      <c r="B628" s="2">
        <v>3.4977664683698462E-8</v>
      </c>
      <c r="C628" s="2">
        <f t="shared" si="9"/>
        <v>4.0141769239995233E-6</v>
      </c>
    </row>
    <row r="629" spans="1:3" x14ac:dyDescent="0.35">
      <c r="A629">
        <v>3610.80429</v>
      </c>
      <c r="B629" s="2">
        <v>3.4530803227923391E-8</v>
      </c>
      <c r="C629" s="2">
        <f t="shared" si="9"/>
        <v>3.962893313151909E-6</v>
      </c>
    </row>
    <row r="630" spans="1:3" x14ac:dyDescent="0.35">
      <c r="A630">
        <v>3555.1214479999999</v>
      </c>
      <c r="B630" s="2">
        <v>3.4204385130140988E-8</v>
      </c>
      <c r="C630" s="2">
        <f t="shared" si="9"/>
        <v>3.925432264578686E-6</v>
      </c>
    </row>
    <row r="631" spans="1:3" x14ac:dyDescent="0.35">
      <c r="A631">
        <v>3442.7046519999999</v>
      </c>
      <c r="B631" s="2">
        <v>3.4171111176242974E-8</v>
      </c>
      <c r="C631" s="2">
        <f t="shared" si="9"/>
        <v>3.9216136123297301E-6</v>
      </c>
    </row>
    <row r="632" spans="1:3" x14ac:dyDescent="0.35">
      <c r="A632">
        <v>3134.288728</v>
      </c>
      <c r="B632" s="2">
        <v>3.3712674623857634E-8</v>
      </c>
      <c r="C632" s="2">
        <f t="shared" si="9"/>
        <v>3.8690015970238375E-6</v>
      </c>
    </row>
    <row r="633" spans="1:3" x14ac:dyDescent="0.35">
      <c r="A633">
        <v>3892.0750250000001</v>
      </c>
      <c r="B633" s="2">
        <v>3.1856382964474846E-8</v>
      </c>
      <c r="C633" s="2">
        <f t="shared" si="9"/>
        <v>3.655966129656573E-6</v>
      </c>
    </row>
    <row r="634" spans="1:3" x14ac:dyDescent="0.35">
      <c r="A634">
        <v>3243.315505</v>
      </c>
      <c r="B634" s="2">
        <v>3.1607798989004579E-8</v>
      </c>
      <c r="C634" s="2">
        <f t="shared" si="9"/>
        <v>3.6274376367731165E-6</v>
      </c>
    </row>
    <row r="635" spans="1:3" x14ac:dyDescent="0.35">
      <c r="A635">
        <v>3432.8741260000002</v>
      </c>
      <c r="B635" s="2">
        <v>3.0350497516765921E-8</v>
      </c>
      <c r="C635" s="2">
        <f t="shared" si="9"/>
        <v>3.4831446829120989E-6</v>
      </c>
    </row>
    <row r="636" spans="1:3" x14ac:dyDescent="0.35">
      <c r="A636">
        <v>2050.342631</v>
      </c>
      <c r="B636" s="2">
        <v>3.0051289619088611E-8</v>
      </c>
      <c r="C636" s="2">
        <f t="shared" si="9"/>
        <v>3.4488063859104E-6</v>
      </c>
    </row>
    <row r="637" spans="1:3" x14ac:dyDescent="0.35">
      <c r="A637">
        <v>2480.7414100000001</v>
      </c>
      <c r="B637" s="2">
        <v>3.0018644798239963E-8</v>
      </c>
      <c r="C637" s="2">
        <f t="shared" si="9"/>
        <v>3.4450599354905747E-6</v>
      </c>
    </row>
    <row r="638" spans="1:3" x14ac:dyDescent="0.35">
      <c r="A638">
        <v>3913.5565000000001</v>
      </c>
      <c r="B638" s="2">
        <v>2.9742742886565696E-8</v>
      </c>
      <c r="C638" s="2">
        <f t="shared" si="9"/>
        <v>3.4133963268092792E-6</v>
      </c>
    </row>
    <row r="639" spans="1:3" x14ac:dyDescent="0.35">
      <c r="A639">
        <v>3295.475027</v>
      </c>
      <c r="B639" s="2">
        <v>2.9558744444090366E-8</v>
      </c>
      <c r="C639" s="2">
        <f t="shared" si="9"/>
        <v>3.392279928430043E-6</v>
      </c>
    </row>
    <row r="640" spans="1:3" x14ac:dyDescent="0.35">
      <c r="A640">
        <v>3190.0458250000001</v>
      </c>
      <c r="B640" s="2">
        <v>2.9261984606869661E-8</v>
      </c>
      <c r="C640" s="2">
        <f t="shared" si="9"/>
        <v>3.3582225806535804E-6</v>
      </c>
    </row>
    <row r="641" spans="1:3" x14ac:dyDescent="0.35">
      <c r="A641">
        <v>2555.7518140000002</v>
      </c>
      <c r="B641" s="2">
        <v>2.9207118929568737E-8</v>
      </c>
      <c r="C641" s="2">
        <f t="shared" si="9"/>
        <v>3.351925975727763E-6</v>
      </c>
    </row>
    <row r="642" spans="1:3" x14ac:dyDescent="0.35">
      <c r="A642">
        <v>3232.8790530000001</v>
      </c>
      <c r="B642" s="2">
        <v>2.8252741256766621E-8</v>
      </c>
      <c r="C642" s="2">
        <f t="shared" si="9"/>
        <v>3.242397770640701E-6</v>
      </c>
    </row>
    <row r="643" spans="1:3" x14ac:dyDescent="0.35">
      <c r="A643">
        <v>3829.2722640000002</v>
      </c>
      <c r="B643" s="2">
        <v>2.7860852792841533E-8</v>
      </c>
      <c r="C643" s="2">
        <f t="shared" ref="C643:C706" si="10">B643*1.3/(1.35*EXP(-990.163419*1.438776877/298))</f>
        <v>3.1974230805664698E-6</v>
      </c>
    </row>
    <row r="644" spans="1:3" x14ac:dyDescent="0.35">
      <c r="A644">
        <v>3547.0581280000001</v>
      </c>
      <c r="B644" s="2">
        <v>2.7780727787947679E-8</v>
      </c>
      <c r="C644" s="2">
        <f t="shared" si="10"/>
        <v>3.1882276140140627E-6</v>
      </c>
    </row>
    <row r="645" spans="1:3" x14ac:dyDescent="0.35">
      <c r="A645">
        <v>1655.4552799999999</v>
      </c>
      <c r="B645" s="2">
        <v>2.7765475090393659E-8</v>
      </c>
      <c r="C645" s="2">
        <f t="shared" si="10"/>
        <v>3.1864771533385497E-6</v>
      </c>
    </row>
    <row r="646" spans="1:3" x14ac:dyDescent="0.35">
      <c r="A646">
        <v>3896.787515</v>
      </c>
      <c r="B646" s="2">
        <v>2.6865580448066048E-8</v>
      </c>
      <c r="C646" s="2">
        <f t="shared" si="10"/>
        <v>3.0832016390945743E-6</v>
      </c>
    </row>
    <row r="647" spans="1:3" x14ac:dyDescent="0.35">
      <c r="A647">
        <v>1487.9879309999999</v>
      </c>
      <c r="B647" s="2">
        <v>2.6722872031107615E-8</v>
      </c>
      <c r="C647" s="2">
        <f t="shared" si="10"/>
        <v>3.0668238494566622E-6</v>
      </c>
    </row>
    <row r="648" spans="1:3" x14ac:dyDescent="0.35">
      <c r="A648">
        <v>3290.6662780000001</v>
      </c>
      <c r="B648" s="2">
        <v>2.6488685127426497E-8</v>
      </c>
      <c r="C648" s="2">
        <f t="shared" si="10"/>
        <v>3.0399476222081986E-6</v>
      </c>
    </row>
    <row r="649" spans="1:3" x14ac:dyDescent="0.35">
      <c r="A649">
        <v>2495.1522009999999</v>
      </c>
      <c r="B649" s="2">
        <v>2.6348671799140286E-8</v>
      </c>
      <c r="C649" s="2">
        <f t="shared" si="10"/>
        <v>3.0238791317431725E-6</v>
      </c>
    </row>
    <row r="650" spans="1:3" x14ac:dyDescent="0.35">
      <c r="A650">
        <v>3420.3750789999999</v>
      </c>
      <c r="B650" s="2">
        <v>2.6246485524525342E-8</v>
      </c>
      <c r="C650" s="2">
        <f t="shared" si="10"/>
        <v>3.0121518254973686E-6</v>
      </c>
    </row>
    <row r="651" spans="1:3" x14ac:dyDescent="0.35">
      <c r="A651">
        <v>3979.1105029999999</v>
      </c>
      <c r="B651" s="2">
        <v>2.5873041974549535E-8</v>
      </c>
      <c r="C651" s="2">
        <f t="shared" si="10"/>
        <v>2.9692939476405884E-6</v>
      </c>
    </row>
    <row r="652" spans="1:3" x14ac:dyDescent="0.35">
      <c r="A652">
        <v>2949.4317270000001</v>
      </c>
      <c r="B652" s="2">
        <v>2.5468049753793502E-8</v>
      </c>
      <c r="C652" s="2">
        <f t="shared" si="10"/>
        <v>2.9228154179371502E-6</v>
      </c>
    </row>
    <row r="653" spans="1:3" x14ac:dyDescent="0.35">
      <c r="A653">
        <v>3897.454432</v>
      </c>
      <c r="B653" s="2">
        <v>2.5370169731400412E-8</v>
      </c>
      <c r="C653" s="2">
        <f t="shared" si="10"/>
        <v>2.9115823144477109E-6</v>
      </c>
    </row>
    <row r="654" spans="1:3" x14ac:dyDescent="0.35">
      <c r="A654">
        <v>3414.4446130000001</v>
      </c>
      <c r="B654" s="2">
        <v>2.5181000136841533E-8</v>
      </c>
      <c r="C654" s="2">
        <f t="shared" si="10"/>
        <v>2.8898724539390847E-6</v>
      </c>
    </row>
    <row r="655" spans="1:3" x14ac:dyDescent="0.35">
      <c r="A655">
        <v>3302.075957</v>
      </c>
      <c r="B655" s="2">
        <v>2.5177874525323519E-8</v>
      </c>
      <c r="C655" s="2">
        <f t="shared" si="10"/>
        <v>2.8895137462396863E-6</v>
      </c>
    </row>
    <row r="656" spans="1:3" x14ac:dyDescent="0.35">
      <c r="A656">
        <v>2458.8901040000001</v>
      </c>
      <c r="B656" s="2">
        <v>2.4573004500566494E-8</v>
      </c>
      <c r="C656" s="2">
        <f t="shared" si="10"/>
        <v>2.8200964390136192E-6</v>
      </c>
    </row>
    <row r="657" spans="1:3" x14ac:dyDescent="0.35">
      <c r="A657">
        <v>3418.2233670000001</v>
      </c>
      <c r="B657" s="2">
        <v>2.4452441362193314E-8</v>
      </c>
      <c r="C657" s="2">
        <f t="shared" si="10"/>
        <v>2.8062601302629056E-6</v>
      </c>
    </row>
    <row r="658" spans="1:3" x14ac:dyDescent="0.35">
      <c r="A658">
        <v>2864.3563669999999</v>
      </c>
      <c r="B658" s="2">
        <v>2.3989109712658687E-8</v>
      </c>
      <c r="C658" s="2">
        <f t="shared" si="10"/>
        <v>2.753086333997789E-6</v>
      </c>
    </row>
    <row r="659" spans="1:3" x14ac:dyDescent="0.35">
      <c r="A659">
        <v>3925.9170629999999</v>
      </c>
      <c r="B659" s="2">
        <v>2.3908646383894687E-8</v>
      </c>
      <c r="C659" s="2">
        <f t="shared" si="10"/>
        <v>2.7438520400426767E-6</v>
      </c>
    </row>
    <row r="660" spans="1:3" x14ac:dyDescent="0.35">
      <c r="A660">
        <v>3955.4517080000001</v>
      </c>
      <c r="B660" s="2">
        <v>2.3762907505242877E-8</v>
      </c>
      <c r="C660" s="2">
        <f t="shared" si="10"/>
        <v>2.7271264624804237E-6</v>
      </c>
    </row>
    <row r="661" spans="1:3" x14ac:dyDescent="0.35">
      <c r="A661">
        <v>1091.5681079999999</v>
      </c>
      <c r="B661" s="2">
        <v>2.3666321640907709E-8</v>
      </c>
      <c r="C661" s="2">
        <f t="shared" si="10"/>
        <v>2.7160418817542707E-6</v>
      </c>
    </row>
    <row r="662" spans="1:3" x14ac:dyDescent="0.35">
      <c r="A662">
        <v>3876.5345539999998</v>
      </c>
      <c r="B662" s="2">
        <v>2.3510113029589474E-8</v>
      </c>
      <c r="C662" s="2">
        <f t="shared" si="10"/>
        <v>2.6981147557281607E-6</v>
      </c>
    </row>
    <row r="663" spans="1:3" x14ac:dyDescent="0.35">
      <c r="A663">
        <v>3406.7805069999999</v>
      </c>
      <c r="B663" s="2">
        <v>2.3259191138617823E-8</v>
      </c>
      <c r="C663" s="2">
        <f t="shared" si="10"/>
        <v>2.669317954295784E-6</v>
      </c>
    </row>
    <row r="664" spans="1:3" x14ac:dyDescent="0.35">
      <c r="A664">
        <v>3916.4575009999999</v>
      </c>
      <c r="B664" s="2">
        <v>2.3221653689697632E-8</v>
      </c>
      <c r="C664" s="2">
        <f t="shared" si="10"/>
        <v>2.6650100062779886E-6</v>
      </c>
    </row>
    <row r="665" spans="1:3" x14ac:dyDescent="0.35">
      <c r="A665">
        <v>3390.8404829999999</v>
      </c>
      <c r="B665" s="2">
        <v>2.3161836006016865E-8</v>
      </c>
      <c r="C665" s="2">
        <f t="shared" si="10"/>
        <v>2.6581450892616637E-6</v>
      </c>
    </row>
    <row r="666" spans="1:3" x14ac:dyDescent="0.35">
      <c r="A666">
        <v>3816.6352299999999</v>
      </c>
      <c r="B666" s="2">
        <v>2.287805978391814E-8</v>
      </c>
      <c r="C666" s="2">
        <f t="shared" si="10"/>
        <v>2.6255777931705854E-6</v>
      </c>
    </row>
    <row r="667" spans="1:3" x14ac:dyDescent="0.35">
      <c r="A667">
        <v>2861.8259010000002</v>
      </c>
      <c r="B667" s="2">
        <v>2.2731145262939359E-8</v>
      </c>
      <c r="C667" s="2">
        <f t="shared" si="10"/>
        <v>2.608717294185119E-6</v>
      </c>
    </row>
    <row r="668" spans="1:3" x14ac:dyDescent="0.35">
      <c r="A668">
        <v>1191.645814</v>
      </c>
      <c r="B668" s="2">
        <v>2.2114095699299971E-8</v>
      </c>
      <c r="C668" s="2">
        <f t="shared" si="10"/>
        <v>2.5379022142841559E-6</v>
      </c>
    </row>
    <row r="669" spans="1:3" x14ac:dyDescent="0.35">
      <c r="A669">
        <v>3333.2423800000001</v>
      </c>
      <c r="B669" s="2">
        <v>2.2014007177211293E-8</v>
      </c>
      <c r="C669" s="2">
        <f t="shared" si="10"/>
        <v>2.5264156545221246E-6</v>
      </c>
    </row>
    <row r="670" spans="1:3" x14ac:dyDescent="0.35">
      <c r="A670">
        <v>3657.8132209999999</v>
      </c>
      <c r="B670" s="2">
        <v>2.1978279863372768E-8</v>
      </c>
      <c r="C670" s="2">
        <f t="shared" si="10"/>
        <v>2.5223154448579293E-6</v>
      </c>
    </row>
    <row r="671" spans="1:3" x14ac:dyDescent="0.35">
      <c r="A671">
        <v>2814.6411440000002</v>
      </c>
      <c r="B671" s="2">
        <v>2.1764223952622113E-8</v>
      </c>
      <c r="C671" s="2">
        <f t="shared" si="10"/>
        <v>2.4977495310054401E-6</v>
      </c>
    </row>
    <row r="672" spans="1:3" x14ac:dyDescent="0.35">
      <c r="A672">
        <v>2552.3484699999999</v>
      </c>
      <c r="B672" s="2">
        <v>2.1739817239723651E-8</v>
      </c>
      <c r="C672" s="2">
        <f t="shared" si="10"/>
        <v>2.4949485188568688E-6</v>
      </c>
    </row>
    <row r="673" spans="1:3" x14ac:dyDescent="0.35">
      <c r="A673">
        <v>3448.5480389999998</v>
      </c>
      <c r="B673" s="2">
        <v>2.1690236231860354E-8</v>
      </c>
      <c r="C673" s="2">
        <f t="shared" si="10"/>
        <v>2.4892584037667601E-6</v>
      </c>
    </row>
    <row r="674" spans="1:3" x14ac:dyDescent="0.35">
      <c r="A674">
        <v>3729.9172140000001</v>
      </c>
      <c r="B674" s="2">
        <v>2.1631446346949917E-8</v>
      </c>
      <c r="C674" s="2">
        <f t="shared" si="10"/>
        <v>2.4825114410548084E-6</v>
      </c>
    </row>
    <row r="675" spans="1:3" x14ac:dyDescent="0.35">
      <c r="A675">
        <v>2817.2901830000001</v>
      </c>
      <c r="B675" s="2">
        <v>2.1522716353920288E-8</v>
      </c>
      <c r="C675" s="2">
        <f t="shared" si="10"/>
        <v>2.4700331514687804E-6</v>
      </c>
    </row>
    <row r="676" spans="1:3" x14ac:dyDescent="0.35">
      <c r="A676">
        <v>3133.0216679999999</v>
      </c>
      <c r="B676" s="2">
        <v>2.1179277578487811E-8</v>
      </c>
      <c r="C676" s="2">
        <f t="shared" si="10"/>
        <v>2.4306187417414721E-6</v>
      </c>
    </row>
    <row r="677" spans="1:3" x14ac:dyDescent="0.35">
      <c r="A677">
        <v>3240.6483920000001</v>
      </c>
      <c r="B677" s="2">
        <v>2.0967665151366748E-8</v>
      </c>
      <c r="C677" s="2">
        <f t="shared" si="10"/>
        <v>2.406333251859216E-6</v>
      </c>
    </row>
    <row r="678" spans="1:3" x14ac:dyDescent="0.35">
      <c r="A678">
        <v>3783.567904</v>
      </c>
      <c r="B678" s="2">
        <v>2.0782786753677727E-8</v>
      </c>
      <c r="C678" s="2">
        <f t="shared" si="10"/>
        <v>2.3851158662944456E-6</v>
      </c>
    </row>
    <row r="679" spans="1:3" x14ac:dyDescent="0.35">
      <c r="A679">
        <v>3344.883241</v>
      </c>
      <c r="B679" s="2">
        <v>2.0768294953613792E-8</v>
      </c>
      <c r="C679" s="2">
        <f t="shared" si="10"/>
        <v>2.3834527292631453E-6</v>
      </c>
    </row>
    <row r="680" spans="1:3" x14ac:dyDescent="0.35">
      <c r="A680">
        <v>1218.62186</v>
      </c>
      <c r="B680" s="2">
        <v>2.0334723218377569E-8</v>
      </c>
      <c r="C680" s="2">
        <f t="shared" si="10"/>
        <v>2.3336942999848519E-6</v>
      </c>
    </row>
    <row r="681" spans="1:3" x14ac:dyDescent="0.35">
      <c r="A681">
        <v>3825.7280409999998</v>
      </c>
      <c r="B681" s="2">
        <v>2.0247092337633406E-8</v>
      </c>
      <c r="C681" s="2">
        <f t="shared" si="10"/>
        <v>2.3236374290503864E-6</v>
      </c>
    </row>
    <row r="682" spans="1:3" x14ac:dyDescent="0.35">
      <c r="A682">
        <v>3074.3001199999999</v>
      </c>
      <c r="B682" s="2">
        <v>2.0004895926466879E-8</v>
      </c>
      <c r="C682" s="2">
        <f t="shared" si="10"/>
        <v>2.2958419986358085E-6</v>
      </c>
    </row>
    <row r="683" spans="1:3" x14ac:dyDescent="0.35">
      <c r="A683">
        <v>3512.9240540000001</v>
      </c>
      <c r="B683" s="2">
        <v>1.9981938742858972E-8</v>
      </c>
      <c r="C683" s="2">
        <f t="shared" si="10"/>
        <v>2.2932073402756168E-6</v>
      </c>
    </row>
    <row r="684" spans="1:3" x14ac:dyDescent="0.35">
      <c r="A684">
        <v>1313.671478</v>
      </c>
      <c r="B684" s="2">
        <v>1.9742466206197696E-8</v>
      </c>
      <c r="C684" s="2">
        <f t="shared" si="10"/>
        <v>2.2657245126114436E-6</v>
      </c>
    </row>
    <row r="685" spans="1:3" x14ac:dyDescent="0.35">
      <c r="A685">
        <v>3628.5851659999998</v>
      </c>
      <c r="B685" s="2">
        <v>1.9498776605219807E-8</v>
      </c>
      <c r="C685" s="2">
        <f t="shared" si="10"/>
        <v>2.2377577177522091E-6</v>
      </c>
    </row>
    <row r="686" spans="1:3" x14ac:dyDescent="0.35">
      <c r="A686">
        <v>3993.9480920000001</v>
      </c>
      <c r="B686" s="2">
        <v>1.9486244349550782E-8</v>
      </c>
      <c r="C686" s="2">
        <f t="shared" si="10"/>
        <v>2.2363194658858485E-6</v>
      </c>
    </row>
    <row r="687" spans="1:3" x14ac:dyDescent="0.35">
      <c r="A687">
        <v>2241.788125</v>
      </c>
      <c r="B687" s="2">
        <v>1.8967970360862848E-8</v>
      </c>
      <c r="C687" s="2">
        <f t="shared" si="10"/>
        <v>2.1768402666736184E-6</v>
      </c>
    </row>
    <row r="688" spans="1:3" x14ac:dyDescent="0.35">
      <c r="A688">
        <v>2905.978846</v>
      </c>
      <c r="B688" s="2">
        <v>1.8909342170432896E-8</v>
      </c>
      <c r="C688" s="2">
        <f t="shared" si="10"/>
        <v>2.1701118606680151E-6</v>
      </c>
    </row>
    <row r="689" spans="1:3" x14ac:dyDescent="0.35">
      <c r="A689">
        <v>2714.2675680000002</v>
      </c>
      <c r="B689" s="2">
        <v>1.8584884399923711E-8</v>
      </c>
      <c r="C689" s="2">
        <f t="shared" si="10"/>
        <v>2.1328757871059823E-6</v>
      </c>
    </row>
    <row r="690" spans="1:3" x14ac:dyDescent="0.35">
      <c r="A690">
        <v>3530.2929210000002</v>
      </c>
      <c r="B690" s="2">
        <v>1.8463406257477375E-8</v>
      </c>
      <c r="C690" s="2">
        <f t="shared" si="10"/>
        <v>2.118934468822213E-6</v>
      </c>
    </row>
    <row r="691" spans="1:3" x14ac:dyDescent="0.35">
      <c r="A691">
        <v>3799.1162709999999</v>
      </c>
      <c r="B691" s="2">
        <v>1.8454291807597983E-8</v>
      </c>
      <c r="C691" s="2">
        <f t="shared" si="10"/>
        <v>2.117888458040428E-6</v>
      </c>
    </row>
    <row r="692" spans="1:3" x14ac:dyDescent="0.35">
      <c r="A692">
        <v>3224.0568210000001</v>
      </c>
      <c r="B692" s="2">
        <v>1.7992216497077056E-8</v>
      </c>
      <c r="C692" s="2">
        <f t="shared" si="10"/>
        <v>2.0648588442735752E-6</v>
      </c>
    </row>
    <row r="693" spans="1:3" x14ac:dyDescent="0.35">
      <c r="A693">
        <v>1593.81034</v>
      </c>
      <c r="B693" s="2">
        <v>1.7864177533336159E-8</v>
      </c>
      <c r="C693" s="2">
        <f t="shared" si="10"/>
        <v>2.0501645798545714E-6</v>
      </c>
    </row>
    <row r="694" spans="1:3" x14ac:dyDescent="0.35">
      <c r="A694">
        <v>3997.3583789999998</v>
      </c>
      <c r="B694" s="2">
        <v>1.7818648041138881E-8</v>
      </c>
      <c r="C694" s="2">
        <f t="shared" si="10"/>
        <v>2.0449394329331728E-6</v>
      </c>
    </row>
    <row r="695" spans="1:3" x14ac:dyDescent="0.35">
      <c r="A695">
        <v>2724.909952</v>
      </c>
      <c r="B695" s="2">
        <v>1.7368267005394656E-8</v>
      </c>
      <c r="C695" s="2">
        <f t="shared" si="10"/>
        <v>1.9932519009884214E-6</v>
      </c>
    </row>
    <row r="696" spans="1:3" x14ac:dyDescent="0.35">
      <c r="A696">
        <v>2389.1343740000002</v>
      </c>
      <c r="B696" s="2">
        <v>1.7288522961127805E-8</v>
      </c>
      <c r="C696" s="2">
        <f t="shared" si="10"/>
        <v>1.9841001550037452E-6</v>
      </c>
    </row>
    <row r="697" spans="1:3" x14ac:dyDescent="0.35">
      <c r="A697">
        <v>3801.0400009999998</v>
      </c>
      <c r="B697" s="2">
        <v>1.6786092502227776E-8</v>
      </c>
      <c r="C697" s="2">
        <f t="shared" si="10"/>
        <v>1.9264392227411361E-6</v>
      </c>
    </row>
    <row r="698" spans="1:3" x14ac:dyDescent="0.35">
      <c r="A698">
        <v>2353.6549279999999</v>
      </c>
      <c r="B698" s="2">
        <v>1.6749669992455294E-8</v>
      </c>
      <c r="C698" s="2">
        <f t="shared" si="10"/>
        <v>1.9222592296065175E-6</v>
      </c>
    </row>
    <row r="699" spans="1:3" x14ac:dyDescent="0.35">
      <c r="A699">
        <v>3301.355963</v>
      </c>
      <c r="B699" s="2">
        <v>1.658690760574723E-8</v>
      </c>
      <c r="C699" s="2">
        <f t="shared" si="10"/>
        <v>1.9035799660614275E-6</v>
      </c>
    </row>
    <row r="700" spans="1:3" x14ac:dyDescent="0.35">
      <c r="A700">
        <v>3487.8427799999999</v>
      </c>
      <c r="B700" s="2">
        <v>1.6491740557784543E-8</v>
      </c>
      <c r="C700" s="2">
        <f t="shared" si="10"/>
        <v>1.892658214386136E-6</v>
      </c>
    </row>
    <row r="701" spans="1:3" x14ac:dyDescent="0.35">
      <c r="A701">
        <v>3679.1710899999998</v>
      </c>
      <c r="B701" s="2">
        <v>1.5927014605371581E-8</v>
      </c>
      <c r="C701" s="2">
        <f t="shared" si="10"/>
        <v>1.8278480017244464E-6</v>
      </c>
    </row>
    <row r="702" spans="1:3" x14ac:dyDescent="0.35">
      <c r="A702">
        <v>2816.5144909999999</v>
      </c>
      <c r="B702" s="2">
        <v>1.5915648296382849E-8</v>
      </c>
      <c r="C702" s="2">
        <f t="shared" si="10"/>
        <v>1.8265435585700445E-6</v>
      </c>
    </row>
    <row r="703" spans="1:3" x14ac:dyDescent="0.35">
      <c r="A703">
        <v>3981.546069</v>
      </c>
      <c r="B703" s="2">
        <v>1.5698667371624221E-8</v>
      </c>
      <c r="C703" s="2">
        <f t="shared" si="10"/>
        <v>1.8016419583920289E-6</v>
      </c>
    </row>
    <row r="704" spans="1:3" x14ac:dyDescent="0.35">
      <c r="A704">
        <v>2395.799571</v>
      </c>
      <c r="B704" s="2">
        <v>1.5505525633215071E-8</v>
      </c>
      <c r="C704" s="2">
        <f t="shared" si="10"/>
        <v>1.7794762387422404E-6</v>
      </c>
    </row>
    <row r="705" spans="1:3" x14ac:dyDescent="0.35">
      <c r="A705">
        <v>3075.7524589999998</v>
      </c>
      <c r="B705" s="2">
        <v>1.5389338182347167E-8</v>
      </c>
      <c r="C705" s="2">
        <f t="shared" si="10"/>
        <v>1.7661421014191835E-6</v>
      </c>
    </row>
    <row r="706" spans="1:3" x14ac:dyDescent="0.35">
      <c r="A706">
        <v>3657.43075</v>
      </c>
      <c r="B706" s="2">
        <v>1.5303053069407579E-8</v>
      </c>
      <c r="C706" s="2">
        <f t="shared" si="10"/>
        <v>1.7562396761892851E-6</v>
      </c>
    </row>
    <row r="707" spans="1:3" x14ac:dyDescent="0.35">
      <c r="A707">
        <v>3916.6674240000002</v>
      </c>
      <c r="B707" s="2">
        <v>1.4834319318689727E-8</v>
      </c>
      <c r="C707" s="2">
        <f t="shared" ref="C707:C770" si="11">B707*1.3/(1.35*EXP(-990.163419*1.438776877/298))</f>
        <v>1.7024459131508892E-6</v>
      </c>
    </row>
    <row r="708" spans="1:3" x14ac:dyDescent="0.35">
      <c r="A708">
        <v>3754.2147629999999</v>
      </c>
      <c r="B708" s="2">
        <v>1.4790916063744703E-8</v>
      </c>
      <c r="C708" s="2">
        <f t="shared" si="11"/>
        <v>1.6974647817345318E-6</v>
      </c>
    </row>
    <row r="709" spans="1:3" x14ac:dyDescent="0.35">
      <c r="A709">
        <v>3158.947979</v>
      </c>
      <c r="B709" s="2">
        <v>1.467389695523232E-8</v>
      </c>
      <c r="C709" s="2">
        <f t="shared" si="11"/>
        <v>1.6840352000484699E-6</v>
      </c>
    </row>
    <row r="710" spans="1:3" x14ac:dyDescent="0.35">
      <c r="A710">
        <v>2660.9220030000001</v>
      </c>
      <c r="B710" s="2">
        <v>1.4568040426685407E-8</v>
      </c>
      <c r="C710" s="2">
        <f t="shared" si="11"/>
        <v>1.6718866807579367E-6</v>
      </c>
    </row>
    <row r="711" spans="1:3" x14ac:dyDescent="0.35">
      <c r="A711">
        <v>3797.456224</v>
      </c>
      <c r="B711" s="2">
        <v>1.4532743756135488E-8</v>
      </c>
      <c r="C711" s="2">
        <f t="shared" si="11"/>
        <v>1.6678358934427524E-6</v>
      </c>
    </row>
    <row r="712" spans="1:3" x14ac:dyDescent="0.35">
      <c r="A712">
        <v>3682.5631840000001</v>
      </c>
      <c r="B712" s="2">
        <v>1.4492620159070145E-8</v>
      </c>
      <c r="C712" s="2">
        <f t="shared" si="11"/>
        <v>1.6632311487033867E-6</v>
      </c>
    </row>
    <row r="713" spans="1:3" x14ac:dyDescent="0.35">
      <c r="A713">
        <v>3867.2986150000002</v>
      </c>
      <c r="B713" s="2">
        <v>1.446950886887917E-8</v>
      </c>
      <c r="C713" s="2">
        <f t="shared" si="11"/>
        <v>1.6605788044543521E-6</v>
      </c>
    </row>
    <row r="714" spans="1:3" x14ac:dyDescent="0.35">
      <c r="A714">
        <v>3452.675729</v>
      </c>
      <c r="B714" s="2">
        <v>1.4169295755459518E-8</v>
      </c>
      <c r="C714" s="2">
        <f t="shared" si="11"/>
        <v>1.6261251448670423E-6</v>
      </c>
    </row>
    <row r="715" spans="1:3" x14ac:dyDescent="0.35">
      <c r="A715">
        <v>3978.716723</v>
      </c>
      <c r="B715" s="2">
        <v>1.4142749616820447E-8</v>
      </c>
      <c r="C715" s="2">
        <f t="shared" si="11"/>
        <v>1.6230786036496717E-6</v>
      </c>
    </row>
    <row r="716" spans="1:3" x14ac:dyDescent="0.35">
      <c r="A716">
        <v>3592.6306850000001</v>
      </c>
      <c r="B716" s="2">
        <v>1.3973113618824672E-8</v>
      </c>
      <c r="C716" s="2">
        <f t="shared" si="11"/>
        <v>1.6036104969366577E-6</v>
      </c>
    </row>
    <row r="717" spans="1:3" x14ac:dyDescent="0.35">
      <c r="A717">
        <v>3197.5140889999998</v>
      </c>
      <c r="B717" s="2">
        <v>1.385502618253437E-8</v>
      </c>
      <c r="C717" s="2">
        <f t="shared" si="11"/>
        <v>1.5900583096749473E-6</v>
      </c>
    </row>
    <row r="718" spans="1:3" x14ac:dyDescent="0.35">
      <c r="A718">
        <v>2250.7858270000002</v>
      </c>
      <c r="B718" s="2">
        <v>1.369248312219424E-8</v>
      </c>
      <c r="C718" s="2">
        <f t="shared" si="11"/>
        <v>1.5714042169024898E-6</v>
      </c>
    </row>
    <row r="719" spans="1:3" x14ac:dyDescent="0.35">
      <c r="A719">
        <v>3445.4735329999999</v>
      </c>
      <c r="B719" s="2">
        <v>1.3474950268231294E-8</v>
      </c>
      <c r="C719" s="2">
        <f t="shared" si="11"/>
        <v>1.5464392751178892E-6</v>
      </c>
    </row>
    <row r="720" spans="1:3" x14ac:dyDescent="0.35">
      <c r="A720">
        <v>3865.3676289999999</v>
      </c>
      <c r="B720" s="2">
        <v>1.3453351980694911E-8</v>
      </c>
      <c r="C720" s="2">
        <f t="shared" si="11"/>
        <v>1.5439605691147734E-6</v>
      </c>
    </row>
    <row r="721" spans="1:3" x14ac:dyDescent="0.35">
      <c r="A721">
        <v>3563.770865</v>
      </c>
      <c r="B721" s="2">
        <v>1.3438745458848736E-8</v>
      </c>
      <c r="C721" s="2">
        <f t="shared" si="11"/>
        <v>1.5422842661521535E-6</v>
      </c>
    </row>
    <row r="722" spans="1:3" x14ac:dyDescent="0.35">
      <c r="A722">
        <v>2175.318385</v>
      </c>
      <c r="B722" s="2">
        <v>1.3347430894798623E-8</v>
      </c>
      <c r="C722" s="2">
        <f t="shared" si="11"/>
        <v>1.5318046409642011E-6</v>
      </c>
    </row>
    <row r="723" spans="1:3" x14ac:dyDescent="0.35">
      <c r="A723">
        <v>3593.1138890000002</v>
      </c>
      <c r="B723" s="2">
        <v>1.3053725788498721E-8</v>
      </c>
      <c r="C723" s="2">
        <f t="shared" si="11"/>
        <v>1.4980978663458442E-6</v>
      </c>
    </row>
    <row r="724" spans="1:3" x14ac:dyDescent="0.35">
      <c r="A724">
        <v>3562.191491</v>
      </c>
      <c r="B724" s="2">
        <v>1.3028104650686529E-8</v>
      </c>
      <c r="C724" s="2">
        <f t="shared" si="11"/>
        <v>1.4951574819290352E-6</v>
      </c>
    </row>
    <row r="725" spans="1:3" x14ac:dyDescent="0.35">
      <c r="A725">
        <v>2700.7735520000001</v>
      </c>
      <c r="B725" s="2">
        <v>1.2943676163755585E-8</v>
      </c>
      <c r="C725" s="2">
        <f t="shared" si="11"/>
        <v>1.4854681305377645E-6</v>
      </c>
    </row>
    <row r="726" spans="1:3" x14ac:dyDescent="0.35">
      <c r="A726">
        <v>3883.2967389999999</v>
      </c>
      <c r="B726" s="2">
        <v>1.2696064643581695E-8</v>
      </c>
      <c r="C726" s="2">
        <f t="shared" si="11"/>
        <v>1.4570512405198982E-6</v>
      </c>
    </row>
    <row r="727" spans="1:3" x14ac:dyDescent="0.35">
      <c r="A727">
        <v>2061.6166239999998</v>
      </c>
      <c r="B727" s="2">
        <v>1.2685938474047904E-8</v>
      </c>
      <c r="C727" s="2">
        <f t="shared" si="11"/>
        <v>1.4558891207374989E-6</v>
      </c>
    </row>
    <row r="728" spans="1:3" x14ac:dyDescent="0.35">
      <c r="A728">
        <v>3939.8196269999999</v>
      </c>
      <c r="B728" s="2">
        <v>1.2607540077142814E-8</v>
      </c>
      <c r="C728" s="2">
        <f t="shared" si="11"/>
        <v>1.4468918066348899E-6</v>
      </c>
    </row>
    <row r="729" spans="1:3" x14ac:dyDescent="0.35">
      <c r="A729">
        <v>3390.063439</v>
      </c>
      <c r="B729" s="2">
        <v>1.2562472422923488E-8</v>
      </c>
      <c r="C729" s="2">
        <f t="shared" si="11"/>
        <v>1.4417196620900221E-6</v>
      </c>
    </row>
    <row r="730" spans="1:3" x14ac:dyDescent="0.35">
      <c r="A730">
        <v>1939.750894</v>
      </c>
      <c r="B730" s="2">
        <v>1.2436701036079423E-8</v>
      </c>
      <c r="C730" s="2">
        <f t="shared" si="11"/>
        <v>1.4272856338798952E-6</v>
      </c>
    </row>
    <row r="731" spans="1:3" x14ac:dyDescent="0.35">
      <c r="A731">
        <v>2904.2739900000001</v>
      </c>
      <c r="B731" s="2">
        <v>1.2413556864999679E-8</v>
      </c>
      <c r="C731" s="2">
        <f t="shared" si="11"/>
        <v>1.4246295160883405E-6</v>
      </c>
    </row>
    <row r="732" spans="1:3" x14ac:dyDescent="0.35">
      <c r="A732">
        <v>2467.9225670000001</v>
      </c>
      <c r="B732" s="2">
        <v>1.2169899783582111E-8</v>
      </c>
      <c r="C732" s="2">
        <f t="shared" si="11"/>
        <v>1.3966664533041256E-6</v>
      </c>
    </row>
    <row r="733" spans="1:3" x14ac:dyDescent="0.35">
      <c r="A733">
        <v>2098.782823</v>
      </c>
      <c r="B733" s="2">
        <v>1.1719925302563295E-8</v>
      </c>
      <c r="C733" s="2">
        <f t="shared" si="11"/>
        <v>1.3450255792083711E-6</v>
      </c>
    </row>
    <row r="734" spans="1:3" x14ac:dyDescent="0.35">
      <c r="A734">
        <v>3237.5983270000002</v>
      </c>
      <c r="B734" s="2">
        <v>1.1243291225772736E-8</v>
      </c>
      <c r="C734" s="2">
        <f t="shared" si="11"/>
        <v>1.2903251431001771E-6</v>
      </c>
    </row>
    <row r="735" spans="1:3" x14ac:dyDescent="0.35">
      <c r="A735">
        <v>3881.3142739999998</v>
      </c>
      <c r="B735" s="2">
        <v>1.1138455992084095E-8</v>
      </c>
      <c r="C735" s="2">
        <f t="shared" si="11"/>
        <v>1.2782938316990142E-6</v>
      </c>
    </row>
    <row r="736" spans="1:3" x14ac:dyDescent="0.35">
      <c r="A736">
        <v>3446.9140980000002</v>
      </c>
      <c r="B736" s="2">
        <v>1.1092423952237057E-8</v>
      </c>
      <c r="C736" s="2">
        <f t="shared" si="11"/>
        <v>1.2730110103960606E-6</v>
      </c>
    </row>
    <row r="737" spans="1:3" x14ac:dyDescent="0.35">
      <c r="A737">
        <v>3047.2641610000001</v>
      </c>
      <c r="B737" s="2">
        <v>1.0915591375542463E-8</v>
      </c>
      <c r="C737" s="2">
        <f t="shared" si="11"/>
        <v>1.2527169954811759E-6</v>
      </c>
    </row>
    <row r="738" spans="1:3" x14ac:dyDescent="0.35">
      <c r="A738">
        <v>3999.8175769999998</v>
      </c>
      <c r="B738" s="2">
        <v>1.0677963059279776E-8</v>
      </c>
      <c r="C738" s="2">
        <f t="shared" si="11"/>
        <v>1.2254458179381223E-6</v>
      </c>
    </row>
    <row r="739" spans="1:3" x14ac:dyDescent="0.35">
      <c r="A739">
        <v>3222.726971</v>
      </c>
      <c r="B739" s="2">
        <v>1.0645895159519776E-8</v>
      </c>
      <c r="C739" s="2">
        <f t="shared" si="11"/>
        <v>1.2217655772936484E-6</v>
      </c>
    </row>
    <row r="740" spans="1:3" x14ac:dyDescent="0.35">
      <c r="A740">
        <v>3956.4790119999998</v>
      </c>
      <c r="B740" s="2">
        <v>1.0522476743529087E-8</v>
      </c>
      <c r="C740" s="2">
        <f t="shared" si="11"/>
        <v>1.2076015854449504E-6</v>
      </c>
    </row>
    <row r="741" spans="1:3" x14ac:dyDescent="0.35">
      <c r="A741">
        <v>2155.7596250000001</v>
      </c>
      <c r="B741" s="2">
        <v>1.0464481720982847E-8</v>
      </c>
      <c r="C741" s="2">
        <f t="shared" si="11"/>
        <v>1.200945844322232E-6</v>
      </c>
    </row>
    <row r="742" spans="1:3" x14ac:dyDescent="0.35">
      <c r="A742">
        <v>2280.3541879999998</v>
      </c>
      <c r="B742" s="2">
        <v>1.032882444802291E-8</v>
      </c>
      <c r="C742" s="2">
        <f t="shared" si="11"/>
        <v>1.1853772722173517E-6</v>
      </c>
    </row>
    <row r="743" spans="1:3" x14ac:dyDescent="0.35">
      <c r="A743">
        <v>3168.8462519999998</v>
      </c>
      <c r="B743" s="2">
        <v>1.0292258430635168E-8</v>
      </c>
      <c r="C743" s="2">
        <f t="shared" si="11"/>
        <v>1.1811808095738965E-6</v>
      </c>
    </row>
    <row r="744" spans="1:3" x14ac:dyDescent="0.35">
      <c r="A744">
        <v>3373.2849919999999</v>
      </c>
      <c r="B744" s="2">
        <v>1.0286992730941055E-8</v>
      </c>
      <c r="C744" s="2">
        <f t="shared" si="11"/>
        <v>1.1805764967819487E-6</v>
      </c>
    </row>
    <row r="745" spans="1:3" x14ac:dyDescent="0.35">
      <c r="A745">
        <v>3659.6405810000001</v>
      </c>
      <c r="B745" s="2">
        <v>1.0172956629652543E-8</v>
      </c>
      <c r="C745" s="2">
        <f t="shared" si="11"/>
        <v>1.1674892569551985E-6</v>
      </c>
    </row>
    <row r="746" spans="1:3" x14ac:dyDescent="0.35">
      <c r="A746">
        <v>3424.819469</v>
      </c>
      <c r="B746" s="2">
        <v>1.0135429779700161E-8</v>
      </c>
      <c r="C746" s="2">
        <f t="shared" si="11"/>
        <v>1.1631825253174099E-6</v>
      </c>
    </row>
    <row r="747" spans="1:3" x14ac:dyDescent="0.35">
      <c r="A747">
        <v>3984.4787080000001</v>
      </c>
      <c r="B747" s="2">
        <v>1.0114686274828928E-8</v>
      </c>
      <c r="C747" s="2">
        <f t="shared" si="11"/>
        <v>1.1608019175973128E-6</v>
      </c>
    </row>
    <row r="748" spans="1:3" x14ac:dyDescent="0.35">
      <c r="A748">
        <v>3875.7263950000001</v>
      </c>
      <c r="B748" s="2">
        <v>1.0026520688203134E-8</v>
      </c>
      <c r="C748" s="2">
        <f t="shared" si="11"/>
        <v>1.1506836816737726E-6</v>
      </c>
    </row>
    <row r="749" spans="1:3" x14ac:dyDescent="0.35">
      <c r="A749">
        <v>3356.999131</v>
      </c>
      <c r="B749" s="2">
        <v>9.8319418261134712E-9</v>
      </c>
      <c r="C749" s="2">
        <f t="shared" si="11"/>
        <v>1.1283530319531116E-6</v>
      </c>
    </row>
    <row r="750" spans="1:3" x14ac:dyDescent="0.35">
      <c r="A750">
        <v>3438.3822690000002</v>
      </c>
      <c r="B750" s="2">
        <v>9.8080834893562561E-9</v>
      </c>
      <c r="C750" s="2">
        <f t="shared" si="11"/>
        <v>1.1256149536473733E-6</v>
      </c>
    </row>
    <row r="751" spans="1:3" x14ac:dyDescent="0.35">
      <c r="A751">
        <v>3402.5580070000001</v>
      </c>
      <c r="B751" s="2">
        <v>9.7989341110602248E-9</v>
      </c>
      <c r="C751" s="2">
        <f t="shared" si="11"/>
        <v>1.1245649343405672E-6</v>
      </c>
    </row>
    <row r="752" spans="1:3" x14ac:dyDescent="0.35">
      <c r="A752">
        <v>3374.1974209999998</v>
      </c>
      <c r="B752" s="2">
        <v>9.6268834152678714E-9</v>
      </c>
      <c r="C752" s="2">
        <f t="shared" si="11"/>
        <v>1.1048197072348363E-6</v>
      </c>
    </row>
    <row r="753" spans="1:3" x14ac:dyDescent="0.35">
      <c r="A753">
        <v>2517.772219</v>
      </c>
      <c r="B753" s="2">
        <v>9.593341656768479E-9</v>
      </c>
      <c r="C753" s="2">
        <f t="shared" si="11"/>
        <v>1.1009703206569675E-6</v>
      </c>
    </row>
    <row r="754" spans="1:3" x14ac:dyDescent="0.35">
      <c r="A754">
        <v>2752.12185</v>
      </c>
      <c r="B754" s="2">
        <v>9.5748912024496637E-9</v>
      </c>
      <c r="C754" s="2">
        <f t="shared" si="11"/>
        <v>1.0988528726045133E-6</v>
      </c>
    </row>
    <row r="755" spans="1:3" x14ac:dyDescent="0.35">
      <c r="A755">
        <v>3479.0327699999998</v>
      </c>
      <c r="B755" s="2">
        <v>9.0076201728918074E-9</v>
      </c>
      <c r="C755" s="2">
        <f t="shared" si="11"/>
        <v>1.0337505766937785E-6</v>
      </c>
    </row>
    <row r="756" spans="1:3" x14ac:dyDescent="0.35">
      <c r="A756">
        <v>3787.0871160000002</v>
      </c>
      <c r="B756" s="2">
        <v>8.8228649279821443E-9</v>
      </c>
      <c r="C756" s="2">
        <f t="shared" si="11"/>
        <v>1.0125473246353327E-6</v>
      </c>
    </row>
    <row r="757" spans="1:3" x14ac:dyDescent="0.35">
      <c r="A757">
        <v>2835.5978230000001</v>
      </c>
      <c r="B757" s="2">
        <v>8.821836406554912E-9</v>
      </c>
      <c r="C757" s="2">
        <f t="shared" si="11"/>
        <v>1.0124292873959581E-6</v>
      </c>
    </row>
    <row r="758" spans="1:3" x14ac:dyDescent="0.35">
      <c r="A758">
        <v>2960.3712820000001</v>
      </c>
      <c r="B758" s="2">
        <v>8.5350006358227507E-9</v>
      </c>
      <c r="C758" s="2">
        <f t="shared" si="11"/>
        <v>9.7951086524677207E-7</v>
      </c>
    </row>
    <row r="759" spans="1:3" x14ac:dyDescent="0.35">
      <c r="A759">
        <v>3915.7615989999999</v>
      </c>
      <c r="B759" s="2">
        <v>8.4642616191369587E-9</v>
      </c>
      <c r="C759" s="2">
        <f t="shared" si="11"/>
        <v>9.713925723025647E-7</v>
      </c>
    </row>
    <row r="760" spans="1:3" x14ac:dyDescent="0.35">
      <c r="A760">
        <v>1331.73343</v>
      </c>
      <c r="B760" s="2">
        <v>8.2916964518560633E-9</v>
      </c>
      <c r="C760" s="2">
        <f t="shared" si="11"/>
        <v>9.5158830238777173E-7</v>
      </c>
    </row>
    <row r="761" spans="1:3" x14ac:dyDescent="0.35">
      <c r="A761">
        <v>2296.2765890000001</v>
      </c>
      <c r="B761" s="2">
        <v>8.1328793502503044E-9</v>
      </c>
      <c r="C761" s="2">
        <f t="shared" si="11"/>
        <v>9.3336181556632751E-7</v>
      </c>
    </row>
    <row r="762" spans="1:3" x14ac:dyDescent="0.35">
      <c r="A762">
        <v>3297.5573009999998</v>
      </c>
      <c r="B762" s="2">
        <v>7.8396811275415363E-9</v>
      </c>
      <c r="C762" s="2">
        <f t="shared" si="11"/>
        <v>8.9971321293952789E-7</v>
      </c>
    </row>
    <row r="763" spans="1:3" x14ac:dyDescent="0.35">
      <c r="A763">
        <v>2433.5015450000001</v>
      </c>
      <c r="B763" s="2">
        <v>7.7342598793316484E-9</v>
      </c>
      <c r="C763" s="2">
        <f t="shared" si="11"/>
        <v>8.8761464816425914E-7</v>
      </c>
    </row>
    <row r="764" spans="1:3" x14ac:dyDescent="0.35">
      <c r="A764">
        <v>1207.131572</v>
      </c>
      <c r="B764" s="2">
        <v>7.6899592049646089E-9</v>
      </c>
      <c r="C764" s="2">
        <f t="shared" si="11"/>
        <v>8.8253052529985686E-7</v>
      </c>
    </row>
    <row r="765" spans="1:3" x14ac:dyDescent="0.35">
      <c r="A765">
        <v>1600.436874</v>
      </c>
      <c r="B765" s="2">
        <v>7.5829722001467205E-9</v>
      </c>
      <c r="C765" s="2">
        <f t="shared" si="11"/>
        <v>8.7025226802363722E-7</v>
      </c>
    </row>
    <row r="766" spans="1:3" x14ac:dyDescent="0.35">
      <c r="A766">
        <v>1283.763502</v>
      </c>
      <c r="B766" s="2">
        <v>7.5042960621079354E-9</v>
      </c>
      <c r="C766" s="2">
        <f t="shared" si="11"/>
        <v>8.6122307923585958E-7</v>
      </c>
    </row>
    <row r="767" spans="1:3" x14ac:dyDescent="0.35">
      <c r="A767">
        <v>3843.7906779999998</v>
      </c>
      <c r="B767" s="2">
        <v>7.4878218335140481E-9</v>
      </c>
      <c r="C767" s="2">
        <f t="shared" si="11"/>
        <v>8.593324307646054E-7</v>
      </c>
    </row>
    <row r="768" spans="1:3" x14ac:dyDescent="0.35">
      <c r="A768">
        <v>3838.402881</v>
      </c>
      <c r="B768" s="2">
        <v>7.4669760124706218E-9</v>
      </c>
      <c r="C768" s="2">
        <f t="shared" si="11"/>
        <v>8.5694008083069624E-7</v>
      </c>
    </row>
    <row r="769" spans="1:3" x14ac:dyDescent="0.35">
      <c r="A769">
        <v>3921.2293949999998</v>
      </c>
      <c r="B769" s="2">
        <v>7.2809108314941438E-9</v>
      </c>
      <c r="C769" s="2">
        <f t="shared" si="11"/>
        <v>8.3558649526145517E-7</v>
      </c>
    </row>
    <row r="770" spans="1:3" x14ac:dyDescent="0.35">
      <c r="A770">
        <v>3805.9244290000001</v>
      </c>
      <c r="B770" s="2">
        <v>7.2436164361766402E-9</v>
      </c>
      <c r="C770" s="2">
        <f t="shared" si="11"/>
        <v>8.3130644104880758E-7</v>
      </c>
    </row>
    <row r="771" spans="1:3" x14ac:dyDescent="0.35">
      <c r="A771">
        <v>3991.4288510000001</v>
      </c>
      <c r="B771" s="2">
        <v>7.1257606716429113E-9</v>
      </c>
      <c r="C771" s="2">
        <f t="shared" ref="C771:C834" si="12">B771*1.3/(1.35*EXP(-990.163419*1.438776877/298))</f>
        <v>8.1778084136598757E-7</v>
      </c>
    </row>
    <row r="772" spans="1:3" x14ac:dyDescent="0.35">
      <c r="A772">
        <v>2971.9801849999999</v>
      </c>
      <c r="B772" s="2">
        <v>6.9382453591617915E-9</v>
      </c>
      <c r="C772" s="2">
        <f t="shared" si="12"/>
        <v>7.9626083289586578E-7</v>
      </c>
    </row>
    <row r="773" spans="1:3" x14ac:dyDescent="0.35">
      <c r="A773">
        <v>2652.7130990000001</v>
      </c>
      <c r="B773" s="2">
        <v>6.8673427209104629E-9</v>
      </c>
      <c r="C773" s="2">
        <f t="shared" si="12"/>
        <v>7.8812376208530896E-7</v>
      </c>
    </row>
    <row r="774" spans="1:3" x14ac:dyDescent="0.35">
      <c r="A774">
        <v>3871.9783600000001</v>
      </c>
      <c r="B774" s="2">
        <v>6.7590800460069107E-9</v>
      </c>
      <c r="C774" s="2">
        <f t="shared" si="12"/>
        <v>7.7569910379956466E-7</v>
      </c>
    </row>
    <row r="775" spans="1:3" x14ac:dyDescent="0.35">
      <c r="A775">
        <v>2718.067779</v>
      </c>
      <c r="B775" s="2">
        <v>6.6331963462369274E-9</v>
      </c>
      <c r="C775" s="2">
        <f t="shared" si="12"/>
        <v>7.6125218610811974E-7</v>
      </c>
    </row>
    <row r="776" spans="1:3" x14ac:dyDescent="0.35">
      <c r="A776">
        <v>3543.4219619999999</v>
      </c>
      <c r="B776" s="2">
        <v>6.3103230611936317E-9</v>
      </c>
      <c r="C776" s="2">
        <f t="shared" si="12"/>
        <v>7.2419795444579956E-7</v>
      </c>
    </row>
    <row r="777" spans="1:3" x14ac:dyDescent="0.35">
      <c r="A777">
        <v>2750.008566</v>
      </c>
      <c r="B777" s="2">
        <v>6.2071489748232643E-9</v>
      </c>
      <c r="C777" s="2">
        <f t="shared" si="12"/>
        <v>7.1235728296564529E-7</v>
      </c>
    </row>
    <row r="778" spans="1:3" x14ac:dyDescent="0.35">
      <c r="A778">
        <v>1957.759757</v>
      </c>
      <c r="B778" s="2">
        <v>6.1682416093138877E-9</v>
      </c>
      <c r="C778" s="2">
        <f t="shared" si="12"/>
        <v>7.0789211783201815E-7</v>
      </c>
    </row>
    <row r="779" spans="1:3" x14ac:dyDescent="0.35">
      <c r="A779">
        <v>3906.6398079999999</v>
      </c>
      <c r="B779" s="2">
        <v>6.093550502506687E-9</v>
      </c>
      <c r="C779" s="2">
        <f t="shared" si="12"/>
        <v>6.9932026719291065E-7</v>
      </c>
    </row>
    <row r="780" spans="1:3" x14ac:dyDescent="0.35">
      <c r="A780">
        <v>3760.7393069999998</v>
      </c>
      <c r="B780" s="2">
        <v>6.0178185228614744E-9</v>
      </c>
      <c r="C780" s="2">
        <f t="shared" si="12"/>
        <v>6.906289618170461E-7</v>
      </c>
    </row>
    <row r="781" spans="1:3" x14ac:dyDescent="0.35">
      <c r="A781">
        <v>3545.302725</v>
      </c>
      <c r="B781" s="2">
        <v>5.6439844009219424E-9</v>
      </c>
      <c r="C781" s="2">
        <f t="shared" si="12"/>
        <v>6.4772626035702918E-7</v>
      </c>
    </row>
    <row r="782" spans="1:3" x14ac:dyDescent="0.35">
      <c r="A782">
        <v>2343.9085599999999</v>
      </c>
      <c r="B782" s="2">
        <v>5.5796842752459332E-9</v>
      </c>
      <c r="C782" s="2">
        <f t="shared" si="12"/>
        <v>6.403469203401069E-7</v>
      </c>
    </row>
    <row r="783" spans="1:3" x14ac:dyDescent="0.35">
      <c r="A783">
        <v>2976.7205279999998</v>
      </c>
      <c r="B783" s="2">
        <v>5.5688770618090684E-9</v>
      </c>
      <c r="C783" s="2">
        <f t="shared" si="12"/>
        <v>6.3910664123104391E-7</v>
      </c>
    </row>
    <row r="784" spans="1:3" x14ac:dyDescent="0.35">
      <c r="A784">
        <v>3752.1203949999999</v>
      </c>
      <c r="B784" s="2">
        <v>5.4295373159934811E-9</v>
      </c>
      <c r="C784" s="2">
        <f t="shared" si="12"/>
        <v>6.2311545378880256E-7</v>
      </c>
    </row>
    <row r="785" spans="1:3" x14ac:dyDescent="0.35">
      <c r="A785">
        <v>3600.240515</v>
      </c>
      <c r="B785" s="2">
        <v>5.4044090060957988E-9</v>
      </c>
      <c r="C785" s="2">
        <f t="shared" si="12"/>
        <v>6.20231628277793E-7</v>
      </c>
    </row>
    <row r="786" spans="1:3" x14ac:dyDescent="0.35">
      <c r="A786">
        <v>3633.3652259999999</v>
      </c>
      <c r="B786" s="2">
        <v>5.2947732770677056E-9</v>
      </c>
      <c r="C786" s="2">
        <f t="shared" si="12"/>
        <v>6.0764939280008989E-7</v>
      </c>
    </row>
    <row r="787" spans="1:3" x14ac:dyDescent="0.35">
      <c r="A787">
        <v>3157.8485139999998</v>
      </c>
      <c r="B787" s="2">
        <v>5.1936417864360214E-9</v>
      </c>
      <c r="C787" s="2">
        <f t="shared" si="12"/>
        <v>5.9604313778980092E-7</v>
      </c>
    </row>
    <row r="788" spans="1:3" x14ac:dyDescent="0.35">
      <c r="A788">
        <v>3922.6507740000002</v>
      </c>
      <c r="B788" s="2">
        <v>5.187398253673792E-9</v>
      </c>
      <c r="C788" s="2">
        <f t="shared" si="12"/>
        <v>5.9532660495763458E-7</v>
      </c>
    </row>
    <row r="789" spans="1:3" x14ac:dyDescent="0.35">
      <c r="A789">
        <v>2701.5582199999999</v>
      </c>
      <c r="B789" s="2">
        <v>5.1658336238823384E-9</v>
      </c>
      <c r="C789" s="2">
        <f t="shared" si="12"/>
        <v>5.9285176165216402E-7</v>
      </c>
    </row>
    <row r="790" spans="1:3" x14ac:dyDescent="0.35">
      <c r="A790">
        <v>3855.7173630000002</v>
      </c>
      <c r="B790" s="2">
        <v>5.1502231388991135E-9</v>
      </c>
      <c r="C790" s="2">
        <f t="shared" si="12"/>
        <v>5.9106023985793439E-7</v>
      </c>
    </row>
    <row r="791" spans="1:3" x14ac:dyDescent="0.35">
      <c r="A791">
        <v>386.56644499999999</v>
      </c>
      <c r="B791" s="2">
        <v>5.1042967394459877E-9</v>
      </c>
      <c r="C791" s="2">
        <f t="shared" si="12"/>
        <v>5.8578954226979486E-7</v>
      </c>
    </row>
    <row r="792" spans="1:3" x14ac:dyDescent="0.35">
      <c r="A792">
        <v>3710.7666800000002</v>
      </c>
      <c r="B792" s="2">
        <v>5.1034756325921888E-9</v>
      </c>
      <c r="C792" s="2">
        <f t="shared" si="12"/>
        <v>5.8569530875779621E-7</v>
      </c>
    </row>
    <row r="793" spans="1:3" x14ac:dyDescent="0.35">
      <c r="A793">
        <v>1900.7705920000001</v>
      </c>
      <c r="B793" s="2">
        <v>5.0700585625180622E-9</v>
      </c>
      <c r="C793" s="2">
        <f t="shared" si="12"/>
        <v>5.818602319231282E-7</v>
      </c>
    </row>
    <row r="794" spans="1:3" x14ac:dyDescent="0.35">
      <c r="A794">
        <v>1149.101829</v>
      </c>
      <c r="B794" s="2">
        <v>5.0382256406699364E-9</v>
      </c>
      <c r="C794" s="2">
        <f t="shared" si="12"/>
        <v>5.7820695828517203E-7</v>
      </c>
    </row>
    <row r="795" spans="1:3" x14ac:dyDescent="0.35">
      <c r="A795">
        <v>3024.4798099999998</v>
      </c>
      <c r="B795" s="2">
        <v>4.9681960683032296E-9</v>
      </c>
      <c r="C795" s="2">
        <f t="shared" si="12"/>
        <v>5.7017008401314549E-7</v>
      </c>
    </row>
    <row r="796" spans="1:3" x14ac:dyDescent="0.35">
      <c r="A796">
        <v>2385.3102439999998</v>
      </c>
      <c r="B796" s="2">
        <v>4.895060022781968E-9</v>
      </c>
      <c r="C796" s="2">
        <f t="shared" si="12"/>
        <v>5.6177669843698232E-7</v>
      </c>
    </row>
    <row r="797" spans="1:3" x14ac:dyDescent="0.35">
      <c r="A797">
        <v>3807.2786820000001</v>
      </c>
      <c r="B797" s="2">
        <v>4.8256036257323231E-9</v>
      </c>
      <c r="C797" s="2">
        <f t="shared" si="12"/>
        <v>5.5380560406055375E-7</v>
      </c>
    </row>
    <row r="798" spans="1:3" x14ac:dyDescent="0.35">
      <c r="A798">
        <v>3396.5755730000001</v>
      </c>
      <c r="B798" s="2">
        <v>4.8209318476303298E-9</v>
      </c>
      <c r="C798" s="2">
        <f t="shared" si="12"/>
        <v>5.5326945208984172E-7</v>
      </c>
    </row>
    <row r="799" spans="1:3" x14ac:dyDescent="0.35">
      <c r="A799">
        <v>3675.8673330000001</v>
      </c>
      <c r="B799" s="2">
        <v>4.7078329962030842E-9</v>
      </c>
      <c r="C799" s="2">
        <f t="shared" si="12"/>
        <v>5.4028977481191052E-7</v>
      </c>
    </row>
    <row r="800" spans="1:3" x14ac:dyDescent="0.35">
      <c r="A800">
        <v>3899.5971939999999</v>
      </c>
      <c r="B800" s="2">
        <v>4.6432716722141566E-9</v>
      </c>
      <c r="C800" s="2">
        <f t="shared" si="12"/>
        <v>5.3288045863020454E-7</v>
      </c>
    </row>
    <row r="801" spans="1:3" x14ac:dyDescent="0.35">
      <c r="A801">
        <v>1772.7784690000001</v>
      </c>
      <c r="B801" s="2">
        <v>4.6044170606581883E-9</v>
      </c>
      <c r="C801" s="2">
        <f t="shared" si="12"/>
        <v>5.2842134775160942E-7</v>
      </c>
    </row>
    <row r="802" spans="1:3" x14ac:dyDescent="0.35">
      <c r="A802">
        <v>3202.0432019999998</v>
      </c>
      <c r="B802" s="2">
        <v>4.5158913500125564E-9</v>
      </c>
      <c r="C802" s="2">
        <f t="shared" si="12"/>
        <v>5.1826178255285072E-7</v>
      </c>
    </row>
    <row r="803" spans="1:3" x14ac:dyDescent="0.35">
      <c r="A803">
        <v>3776.0445220000001</v>
      </c>
      <c r="B803" s="2">
        <v>4.4648902310165081E-9</v>
      </c>
      <c r="C803" s="2">
        <f t="shared" si="12"/>
        <v>5.1240868982000437E-7</v>
      </c>
    </row>
    <row r="804" spans="1:3" x14ac:dyDescent="0.35">
      <c r="A804">
        <v>3398.756746</v>
      </c>
      <c r="B804" s="2">
        <v>4.3081403255946007E-9</v>
      </c>
      <c r="C804" s="2">
        <f t="shared" si="12"/>
        <v>4.9441944271406539E-7</v>
      </c>
    </row>
    <row r="805" spans="1:3" x14ac:dyDescent="0.35">
      <c r="A805">
        <v>3027.9101989999999</v>
      </c>
      <c r="B805" s="2">
        <v>4.2731672306920056E-9</v>
      </c>
      <c r="C805" s="2">
        <f t="shared" si="12"/>
        <v>4.9040579023645235E-7</v>
      </c>
    </row>
    <row r="806" spans="1:3" x14ac:dyDescent="0.35">
      <c r="A806">
        <v>3112.084562</v>
      </c>
      <c r="B806" s="2">
        <v>4.2536480150011329E-9</v>
      </c>
      <c r="C806" s="2">
        <f t="shared" si="12"/>
        <v>4.8816568684734908E-7</v>
      </c>
    </row>
    <row r="807" spans="1:3" x14ac:dyDescent="0.35">
      <c r="A807">
        <v>3594.4218949999999</v>
      </c>
      <c r="B807" s="2">
        <v>4.2249419753427331E-9</v>
      </c>
      <c r="C807" s="2">
        <f t="shared" si="12"/>
        <v>4.8487126673616688E-7</v>
      </c>
    </row>
    <row r="808" spans="1:3" x14ac:dyDescent="0.35">
      <c r="A808">
        <v>3934.552193</v>
      </c>
      <c r="B808" s="2">
        <v>4.2067680697737349E-9</v>
      </c>
      <c r="C808" s="2">
        <f t="shared" si="12"/>
        <v>4.8278555652613046E-7</v>
      </c>
    </row>
    <row r="809" spans="1:3" x14ac:dyDescent="0.35">
      <c r="A809">
        <v>3573.4980989999999</v>
      </c>
      <c r="B809" s="2">
        <v>4.1948429000966172E-9</v>
      </c>
      <c r="C809" s="2">
        <f t="shared" si="12"/>
        <v>4.8141697628026374E-7</v>
      </c>
    </row>
    <row r="810" spans="1:3" x14ac:dyDescent="0.35">
      <c r="A810">
        <v>3386.4445150000001</v>
      </c>
      <c r="B810" s="2">
        <v>4.1712567219485763E-9</v>
      </c>
      <c r="C810" s="2">
        <f t="shared" si="12"/>
        <v>4.7871013198681559E-7</v>
      </c>
    </row>
    <row r="811" spans="1:3" x14ac:dyDescent="0.35">
      <c r="A811">
        <v>3353.5338400000001</v>
      </c>
      <c r="B811" s="2">
        <v>4.134125243606134E-9</v>
      </c>
      <c r="C811" s="2">
        <f t="shared" si="12"/>
        <v>4.7444877477889181E-7</v>
      </c>
    </row>
    <row r="812" spans="1:3" x14ac:dyDescent="0.35">
      <c r="A812">
        <v>3288.508883</v>
      </c>
      <c r="B812" s="2">
        <v>4.1181977049540701E-9</v>
      </c>
      <c r="C812" s="2">
        <f t="shared" si="12"/>
        <v>4.7262086663546955E-7</v>
      </c>
    </row>
    <row r="813" spans="1:3" x14ac:dyDescent="0.35">
      <c r="A813">
        <v>579.75856399999998</v>
      </c>
      <c r="B813" s="2">
        <v>4.1028874718668513E-9</v>
      </c>
      <c r="C813" s="2">
        <f t="shared" si="12"/>
        <v>4.7086380295167222E-7</v>
      </c>
    </row>
    <row r="814" spans="1:3" x14ac:dyDescent="0.35">
      <c r="A814">
        <v>3502.0317150000001</v>
      </c>
      <c r="B814" s="2">
        <v>4.0897723994333432E-9</v>
      </c>
      <c r="C814" s="2">
        <f t="shared" si="12"/>
        <v>4.6935866469858279E-7</v>
      </c>
    </row>
    <row r="815" spans="1:3" x14ac:dyDescent="0.35">
      <c r="A815">
        <v>1503.4017019999999</v>
      </c>
      <c r="B815" s="2">
        <v>3.981380712207433E-9</v>
      </c>
      <c r="C815" s="2">
        <f t="shared" si="12"/>
        <v>4.5691920044188513E-7</v>
      </c>
    </row>
    <row r="816" spans="1:3" x14ac:dyDescent="0.35">
      <c r="A816">
        <v>3872.8607240000001</v>
      </c>
      <c r="B816" s="2">
        <v>3.9165885174066561E-9</v>
      </c>
      <c r="C816" s="2">
        <f t="shared" si="12"/>
        <v>4.4948338860091406E-7</v>
      </c>
    </row>
    <row r="817" spans="1:3" x14ac:dyDescent="0.35">
      <c r="A817">
        <v>2903.9462739999999</v>
      </c>
      <c r="B817" s="2">
        <v>3.8187615320075936E-9</v>
      </c>
      <c r="C817" s="2">
        <f t="shared" si="12"/>
        <v>4.3825637184938195E-7</v>
      </c>
    </row>
    <row r="818" spans="1:3" x14ac:dyDescent="0.35">
      <c r="A818">
        <v>3482.6539349999998</v>
      </c>
      <c r="B818" s="2">
        <v>3.8128366126486694E-9</v>
      </c>
      <c r="C818" s="2">
        <f t="shared" si="12"/>
        <v>4.3757640436778404E-7</v>
      </c>
    </row>
    <row r="819" spans="1:3" x14ac:dyDescent="0.35">
      <c r="A819">
        <v>2833.1246470000001</v>
      </c>
      <c r="B819" s="2">
        <v>3.8010378477069437E-9</v>
      </c>
      <c r="C819" s="2">
        <f t="shared" si="12"/>
        <v>4.3622233083574396E-7</v>
      </c>
    </row>
    <row r="820" spans="1:3" x14ac:dyDescent="0.35">
      <c r="A820">
        <v>3347.886148</v>
      </c>
      <c r="B820" s="2">
        <v>3.7377587579371513E-9</v>
      </c>
      <c r="C820" s="2">
        <f t="shared" si="12"/>
        <v>4.2896016898981663E-7</v>
      </c>
    </row>
    <row r="821" spans="1:3" x14ac:dyDescent="0.35">
      <c r="A821">
        <v>2859.4612499999998</v>
      </c>
      <c r="B821" s="2">
        <v>3.668712227790355E-9</v>
      </c>
      <c r="C821" s="2">
        <f t="shared" si="12"/>
        <v>4.2103611258113697E-7</v>
      </c>
    </row>
    <row r="822" spans="1:3" x14ac:dyDescent="0.35">
      <c r="A822">
        <v>3507.3601709999998</v>
      </c>
      <c r="B822" s="2">
        <v>3.6326836081811804E-9</v>
      </c>
      <c r="C822" s="2">
        <f t="shared" si="12"/>
        <v>4.16901323859633E-7</v>
      </c>
    </row>
    <row r="823" spans="1:3" x14ac:dyDescent="0.35">
      <c r="A823">
        <v>3325.412965</v>
      </c>
      <c r="B823" s="2">
        <v>3.5830489129326525E-9</v>
      </c>
      <c r="C823" s="2">
        <f t="shared" si="12"/>
        <v>4.112050473901165E-7</v>
      </c>
    </row>
    <row r="824" spans="1:3" x14ac:dyDescent="0.35">
      <c r="A824">
        <v>3661.7024120000001</v>
      </c>
      <c r="B824" s="2">
        <v>3.4792599117873376E-9</v>
      </c>
      <c r="C824" s="2">
        <f t="shared" si="12"/>
        <v>3.9929380582696399E-7</v>
      </c>
    </row>
    <row r="825" spans="1:3" x14ac:dyDescent="0.35">
      <c r="A825">
        <v>3558.4836570000002</v>
      </c>
      <c r="B825" s="2">
        <v>3.4564202562792865E-9</v>
      </c>
      <c r="C825" s="2">
        <f t="shared" si="12"/>
        <v>3.9667263546234419E-7</v>
      </c>
    </row>
    <row r="826" spans="1:3" x14ac:dyDescent="0.35">
      <c r="A826">
        <v>3519.9512249999998</v>
      </c>
      <c r="B826" s="2">
        <v>3.4029439169716222E-9</v>
      </c>
      <c r="C826" s="2">
        <f t="shared" si="12"/>
        <v>3.9053547653049478E-7</v>
      </c>
    </row>
    <row r="827" spans="1:3" x14ac:dyDescent="0.35">
      <c r="A827">
        <v>3639.9248729999999</v>
      </c>
      <c r="B827" s="2">
        <v>3.3867242864243364E-9</v>
      </c>
      <c r="C827" s="2">
        <f t="shared" si="12"/>
        <v>3.8867404675102013E-7</v>
      </c>
    </row>
    <row r="828" spans="1:3" x14ac:dyDescent="0.35">
      <c r="A828">
        <v>3933.7385650000001</v>
      </c>
      <c r="B828" s="2">
        <v>3.384055966167968E-9</v>
      </c>
      <c r="C828" s="2">
        <f t="shared" si="12"/>
        <v>3.8836781962877474E-7</v>
      </c>
    </row>
    <row r="829" spans="1:3" x14ac:dyDescent="0.35">
      <c r="A829">
        <v>3761.1705040000002</v>
      </c>
      <c r="B829" s="2">
        <v>3.333785405116649E-9</v>
      </c>
      <c r="C829" s="2">
        <f t="shared" si="12"/>
        <v>3.8259856865237206E-7</v>
      </c>
    </row>
    <row r="830" spans="1:3" x14ac:dyDescent="0.35">
      <c r="A830">
        <v>3967.1791119999998</v>
      </c>
      <c r="B830" s="2">
        <v>3.2983832387041958E-9</v>
      </c>
      <c r="C830" s="2">
        <f t="shared" si="12"/>
        <v>3.7853567420937366E-7</v>
      </c>
    </row>
    <row r="831" spans="1:3" x14ac:dyDescent="0.35">
      <c r="A831">
        <v>2330.9993530000002</v>
      </c>
      <c r="B831" s="2">
        <v>3.2892147100004191E-9</v>
      </c>
      <c r="C831" s="2">
        <f t="shared" si="12"/>
        <v>3.7748345712505579E-7</v>
      </c>
    </row>
    <row r="832" spans="1:3" x14ac:dyDescent="0.35">
      <c r="A832">
        <v>2857.894648</v>
      </c>
      <c r="B832" s="2">
        <v>3.2175761420547685E-9</v>
      </c>
      <c r="C832" s="2">
        <f t="shared" si="12"/>
        <v>3.6926192807455215E-7</v>
      </c>
    </row>
    <row r="833" spans="1:3" x14ac:dyDescent="0.35">
      <c r="A833">
        <v>2445.586663</v>
      </c>
      <c r="B833" s="2">
        <v>3.202525945007293E-9</v>
      </c>
      <c r="C833" s="2">
        <f t="shared" si="12"/>
        <v>3.6753470716841263E-7</v>
      </c>
    </row>
    <row r="834" spans="1:3" x14ac:dyDescent="0.35">
      <c r="A834">
        <v>3430.4050889999999</v>
      </c>
      <c r="B834" s="2">
        <v>3.0752628979756315E-9</v>
      </c>
      <c r="C834" s="2">
        <f t="shared" si="12"/>
        <v>3.529294900593799E-7</v>
      </c>
    </row>
    <row r="835" spans="1:3" x14ac:dyDescent="0.35">
      <c r="A835">
        <v>1175.5813909999999</v>
      </c>
      <c r="B835" s="2">
        <v>3.0736182151903065E-9</v>
      </c>
      <c r="C835" s="2">
        <f t="shared" ref="C835:C898" si="13">B835*1.3/(1.35*EXP(-990.163419*1.438776877/298))</f>
        <v>3.5274073967413118E-7</v>
      </c>
    </row>
    <row r="836" spans="1:3" x14ac:dyDescent="0.35">
      <c r="A836">
        <v>3993.8137489999999</v>
      </c>
      <c r="B836" s="2">
        <v>2.9922775327774366E-9</v>
      </c>
      <c r="C836" s="2">
        <f t="shared" si="13"/>
        <v>3.434057570994857E-7</v>
      </c>
    </row>
    <row r="837" spans="1:3" x14ac:dyDescent="0.35">
      <c r="A837">
        <v>2589.9123749999999</v>
      </c>
      <c r="B837" s="2">
        <v>2.9532042873997242E-9</v>
      </c>
      <c r="C837" s="2">
        <f t="shared" si="13"/>
        <v>3.3892155492763273E-7</v>
      </c>
    </row>
    <row r="838" spans="1:3" x14ac:dyDescent="0.35">
      <c r="A838">
        <v>3244.3232159999998</v>
      </c>
      <c r="B838" s="2">
        <v>2.9344235728572964E-9</v>
      </c>
      <c r="C838" s="2">
        <f t="shared" si="13"/>
        <v>3.3676620488885293E-7</v>
      </c>
    </row>
    <row r="839" spans="1:3" x14ac:dyDescent="0.35">
      <c r="A839">
        <v>708.22416599999997</v>
      </c>
      <c r="B839" s="2">
        <v>2.8728889166130401E-9</v>
      </c>
      <c r="C839" s="2">
        <f t="shared" si="13"/>
        <v>3.2970424122273502E-7</v>
      </c>
    </row>
    <row r="840" spans="1:3" x14ac:dyDescent="0.35">
      <c r="A840">
        <v>1861.0615049999999</v>
      </c>
      <c r="B840" s="2">
        <v>2.8682994370872192E-9</v>
      </c>
      <c r="C840" s="2">
        <f t="shared" si="13"/>
        <v>3.2917753416632295E-7</v>
      </c>
    </row>
    <row r="841" spans="1:3" x14ac:dyDescent="0.35">
      <c r="A841">
        <v>3273.235537</v>
      </c>
      <c r="B841" s="2">
        <v>2.815004942343152E-9</v>
      </c>
      <c r="C841" s="2">
        <f t="shared" si="13"/>
        <v>3.2306124444508399E-7</v>
      </c>
    </row>
    <row r="842" spans="1:3" x14ac:dyDescent="0.35">
      <c r="A842">
        <v>3848.406262</v>
      </c>
      <c r="B842" s="2">
        <v>2.8050098748145763E-9</v>
      </c>
      <c r="C842" s="2">
        <f t="shared" si="13"/>
        <v>3.2191417045401431E-7</v>
      </c>
    </row>
    <row r="843" spans="1:3" x14ac:dyDescent="0.35">
      <c r="A843">
        <v>3874.6212820000001</v>
      </c>
      <c r="B843" s="2">
        <v>2.7027468299487137E-9</v>
      </c>
      <c r="C843" s="2">
        <f t="shared" si="13"/>
        <v>3.1017805374666337E-7</v>
      </c>
    </row>
    <row r="844" spans="1:3" x14ac:dyDescent="0.35">
      <c r="A844">
        <v>3378.3193369999999</v>
      </c>
      <c r="B844" s="2">
        <v>2.673924942367744E-9</v>
      </c>
      <c r="C844" s="2">
        <f t="shared" si="13"/>
        <v>3.0687033846378575E-7</v>
      </c>
    </row>
    <row r="845" spans="1:3" x14ac:dyDescent="0.35">
      <c r="A845">
        <v>3882.5374630000001</v>
      </c>
      <c r="B845" s="2">
        <v>2.6334106709622813E-9</v>
      </c>
      <c r="C845" s="2">
        <f t="shared" si="13"/>
        <v>3.0222075837205775E-7</v>
      </c>
    </row>
    <row r="846" spans="1:3" x14ac:dyDescent="0.35">
      <c r="A846">
        <v>3527.5598279999999</v>
      </c>
      <c r="B846" s="2">
        <v>2.627302588190925E-9</v>
      </c>
      <c r="C846" s="2">
        <f t="shared" si="13"/>
        <v>3.015197703234736E-7</v>
      </c>
    </row>
    <row r="847" spans="1:3" x14ac:dyDescent="0.35">
      <c r="A847">
        <v>3366.5059820000001</v>
      </c>
      <c r="B847" s="2">
        <v>2.5904647193231869E-9</v>
      </c>
      <c r="C847" s="2">
        <f t="shared" si="13"/>
        <v>2.9729210891510312E-7</v>
      </c>
    </row>
    <row r="848" spans="1:3" x14ac:dyDescent="0.35">
      <c r="A848">
        <v>3937.0132760000001</v>
      </c>
      <c r="B848" s="2">
        <v>2.5859300171900832E-9</v>
      </c>
      <c r="C848" s="2">
        <f t="shared" si="13"/>
        <v>2.9677168833172437E-7</v>
      </c>
    </row>
    <row r="849" spans="1:3" x14ac:dyDescent="0.35">
      <c r="A849">
        <v>3479.8716060000002</v>
      </c>
      <c r="B849" s="2">
        <v>2.5705350345153851E-9</v>
      </c>
      <c r="C849" s="2">
        <f t="shared" si="13"/>
        <v>2.9500489844575047E-7</v>
      </c>
    </row>
    <row r="850" spans="1:3" x14ac:dyDescent="0.35">
      <c r="A850">
        <v>3100.460513</v>
      </c>
      <c r="B850" s="2">
        <v>2.5630996658895683E-9</v>
      </c>
      <c r="C850" s="2">
        <f t="shared" si="13"/>
        <v>2.9415158575523528E-7</v>
      </c>
    </row>
    <row r="851" spans="1:3" x14ac:dyDescent="0.35">
      <c r="A851">
        <v>976.50433599999997</v>
      </c>
      <c r="B851" s="2">
        <v>2.5121603701909724E-9</v>
      </c>
      <c r="C851" s="2">
        <f t="shared" si="13"/>
        <v>2.8830558811167648E-7</v>
      </c>
    </row>
    <row r="852" spans="1:3" x14ac:dyDescent="0.35">
      <c r="A852">
        <v>1628.0135110000001</v>
      </c>
      <c r="B852" s="2">
        <v>2.4476701315520477E-9</v>
      </c>
      <c r="C852" s="2">
        <f t="shared" si="13"/>
        <v>2.8090442996951371E-7</v>
      </c>
    </row>
    <row r="853" spans="1:3" x14ac:dyDescent="0.35">
      <c r="A853">
        <v>3545.4698720000001</v>
      </c>
      <c r="B853" s="2">
        <v>2.4308919775562655E-9</v>
      </c>
      <c r="C853" s="2">
        <f t="shared" si="13"/>
        <v>2.7897890180157492E-7</v>
      </c>
    </row>
    <row r="854" spans="1:3" x14ac:dyDescent="0.35">
      <c r="A854">
        <v>2413.7598309999998</v>
      </c>
      <c r="B854" s="2">
        <v>2.426106049775408E-9</v>
      </c>
      <c r="C854" s="2">
        <f t="shared" si="13"/>
        <v>2.7842964955641863E-7</v>
      </c>
    </row>
    <row r="855" spans="1:3" x14ac:dyDescent="0.35">
      <c r="A855">
        <v>2491.704612</v>
      </c>
      <c r="B855" s="2">
        <v>2.3730636418452288E-9</v>
      </c>
      <c r="C855" s="2">
        <f t="shared" si="13"/>
        <v>2.7234229032783268E-7</v>
      </c>
    </row>
    <row r="856" spans="1:3" x14ac:dyDescent="0.35">
      <c r="A856">
        <v>3515.9454730000002</v>
      </c>
      <c r="B856" s="2">
        <v>2.3571694839196191E-9</v>
      </c>
      <c r="C856" s="2">
        <f t="shared" si="13"/>
        <v>2.7051821309030567E-7</v>
      </c>
    </row>
    <row r="857" spans="1:3" x14ac:dyDescent="0.35">
      <c r="A857">
        <v>3671.8550169999999</v>
      </c>
      <c r="B857" s="2">
        <v>2.3055129512517442E-9</v>
      </c>
      <c r="C857" s="2">
        <f t="shared" si="13"/>
        <v>2.6458990245881147E-7</v>
      </c>
    </row>
    <row r="858" spans="1:3" x14ac:dyDescent="0.35">
      <c r="A858">
        <v>3624.4106029999998</v>
      </c>
      <c r="B858" s="2">
        <v>2.2314134053574686E-9</v>
      </c>
      <c r="C858" s="2">
        <f t="shared" si="13"/>
        <v>2.560859417199382E-7</v>
      </c>
    </row>
    <row r="859" spans="1:3" x14ac:dyDescent="0.35">
      <c r="A859">
        <v>2976.0534600000001</v>
      </c>
      <c r="B859" s="2">
        <v>2.2284182815863072E-9</v>
      </c>
      <c r="C859" s="2">
        <f t="shared" si="13"/>
        <v>2.557422093171194E-7</v>
      </c>
    </row>
    <row r="860" spans="1:3" x14ac:dyDescent="0.35">
      <c r="A860">
        <v>1584.8604789999999</v>
      </c>
      <c r="B860" s="2">
        <v>2.1898498060283105E-9</v>
      </c>
      <c r="C860" s="2">
        <f t="shared" si="13"/>
        <v>2.5131593655194803E-7</v>
      </c>
    </row>
    <row r="861" spans="1:3" x14ac:dyDescent="0.35">
      <c r="A861">
        <v>3843.477969</v>
      </c>
      <c r="B861" s="2">
        <v>2.1769236240631359E-9</v>
      </c>
      <c r="C861" s="2">
        <f t="shared" si="13"/>
        <v>2.498324761257234E-7</v>
      </c>
    </row>
    <row r="862" spans="1:3" x14ac:dyDescent="0.35">
      <c r="A862">
        <v>3533.031888</v>
      </c>
      <c r="B862" s="2">
        <v>2.1069901710857375E-9</v>
      </c>
      <c r="C862" s="2">
        <f t="shared" si="13"/>
        <v>2.418066328998801E-7</v>
      </c>
    </row>
    <row r="863" spans="1:3" x14ac:dyDescent="0.35">
      <c r="A863">
        <v>3480.6359710000002</v>
      </c>
      <c r="B863" s="2">
        <v>2.0749791384013119E-9</v>
      </c>
      <c r="C863" s="2">
        <f t="shared" si="13"/>
        <v>2.3813291854881586E-7</v>
      </c>
    </row>
    <row r="864" spans="1:3" x14ac:dyDescent="0.35">
      <c r="A864">
        <v>2493.7949210000002</v>
      </c>
      <c r="B864" s="2">
        <v>2.0726084985868288E-9</v>
      </c>
      <c r="C864" s="2">
        <f t="shared" si="13"/>
        <v>2.3786085442662626E-7</v>
      </c>
    </row>
    <row r="865" spans="1:3" x14ac:dyDescent="0.35">
      <c r="A865">
        <v>3711.8768449999998</v>
      </c>
      <c r="B865" s="2">
        <v>2.0690151835257217E-9</v>
      </c>
      <c r="C865" s="2">
        <f t="shared" si="13"/>
        <v>2.3744847119494419E-7</v>
      </c>
    </row>
    <row r="866" spans="1:3" x14ac:dyDescent="0.35">
      <c r="A866">
        <v>3975.6742610000001</v>
      </c>
      <c r="B866" s="2">
        <v>2.0266399682366656E-9</v>
      </c>
      <c r="C866" s="2">
        <f t="shared" si="13"/>
        <v>2.3258532172796109E-7</v>
      </c>
    </row>
    <row r="867" spans="1:3" x14ac:dyDescent="0.35">
      <c r="A867">
        <v>3368.7448429999999</v>
      </c>
      <c r="B867" s="2">
        <v>1.9791250725718784E-9</v>
      </c>
      <c r="C867" s="2">
        <f t="shared" si="13"/>
        <v>2.271323219508569E-7</v>
      </c>
    </row>
    <row r="868" spans="1:3" x14ac:dyDescent="0.35">
      <c r="A868">
        <v>1176.0942680000001</v>
      </c>
      <c r="B868" s="2">
        <v>1.9395045410604031E-9</v>
      </c>
      <c r="C868" s="2">
        <f t="shared" si="13"/>
        <v>2.2258531102979665E-7</v>
      </c>
    </row>
    <row r="869" spans="1:3" x14ac:dyDescent="0.35">
      <c r="A869">
        <v>3641.843265</v>
      </c>
      <c r="B869" s="2">
        <v>1.9383407021293953E-9</v>
      </c>
      <c r="C869" s="2">
        <f t="shared" si="13"/>
        <v>2.224517442115899E-7</v>
      </c>
    </row>
    <row r="870" spans="1:3" x14ac:dyDescent="0.35">
      <c r="A870">
        <v>3108.6696750000001</v>
      </c>
      <c r="B870" s="2">
        <v>1.7523983848695166E-9</v>
      </c>
      <c r="C870" s="2">
        <f t="shared" si="13"/>
        <v>2.0111225897467329E-7</v>
      </c>
    </row>
    <row r="871" spans="1:3" x14ac:dyDescent="0.35">
      <c r="A871">
        <v>3722.154763</v>
      </c>
      <c r="B871" s="2">
        <v>1.7097659639468929E-9</v>
      </c>
      <c r="C871" s="2">
        <f t="shared" si="13"/>
        <v>1.9621959155878408E-7</v>
      </c>
    </row>
    <row r="872" spans="1:3" x14ac:dyDescent="0.35">
      <c r="A872">
        <v>3946.983166</v>
      </c>
      <c r="B872" s="2">
        <v>1.6846497404857952E-9</v>
      </c>
      <c r="C872" s="2">
        <f t="shared" si="13"/>
        <v>1.9333715313565681E-7</v>
      </c>
    </row>
    <row r="873" spans="1:3" x14ac:dyDescent="0.35">
      <c r="A873">
        <v>3845.1289710000001</v>
      </c>
      <c r="B873" s="2">
        <v>1.6744647587249502E-9</v>
      </c>
      <c r="C873" s="2">
        <f t="shared" si="13"/>
        <v>1.9216828382647178E-7</v>
      </c>
    </row>
    <row r="874" spans="1:3" x14ac:dyDescent="0.35">
      <c r="A874">
        <v>3651.866771</v>
      </c>
      <c r="B874" s="2">
        <v>1.6112967172315105E-9</v>
      </c>
      <c r="C874" s="2">
        <f t="shared" si="13"/>
        <v>1.8491886632561197E-7</v>
      </c>
    </row>
    <row r="875" spans="1:3" x14ac:dyDescent="0.35">
      <c r="A875">
        <v>3736.856479</v>
      </c>
      <c r="B875" s="2">
        <v>1.5992984508093633E-9</v>
      </c>
      <c r="C875" s="2">
        <f t="shared" si="13"/>
        <v>1.8354189720445082E-7</v>
      </c>
    </row>
    <row r="876" spans="1:3" x14ac:dyDescent="0.35">
      <c r="A876">
        <v>2043.2613550000001</v>
      </c>
      <c r="B876" s="2">
        <v>1.5628962657620832E-9</v>
      </c>
      <c r="C876" s="2">
        <f t="shared" si="13"/>
        <v>1.7936423661671998E-7</v>
      </c>
    </row>
    <row r="877" spans="1:3" x14ac:dyDescent="0.35">
      <c r="A877">
        <v>3721.242894</v>
      </c>
      <c r="B877" s="2">
        <v>1.5582129492383166E-9</v>
      </c>
      <c r="C877" s="2">
        <f t="shared" si="13"/>
        <v>1.7882676045050093E-7</v>
      </c>
    </row>
    <row r="878" spans="1:3" x14ac:dyDescent="0.35">
      <c r="A878">
        <v>3700.104961</v>
      </c>
      <c r="B878" s="2">
        <v>1.5565925838575423E-9</v>
      </c>
      <c r="C878" s="2">
        <f t="shared" si="13"/>
        <v>1.7864080082801693E-7</v>
      </c>
    </row>
    <row r="879" spans="1:3" x14ac:dyDescent="0.35">
      <c r="A879">
        <v>3941.9781939999998</v>
      </c>
      <c r="B879" s="2">
        <v>1.5461636150621856E-9</v>
      </c>
      <c r="C879" s="2">
        <f t="shared" si="13"/>
        <v>1.7744393058930879E-7</v>
      </c>
    </row>
    <row r="880" spans="1:3" x14ac:dyDescent="0.35">
      <c r="A880">
        <v>3048.9912450000002</v>
      </c>
      <c r="B880" s="2">
        <v>1.5253103205420289E-9</v>
      </c>
      <c r="C880" s="2">
        <f t="shared" si="13"/>
        <v>1.7505072296927028E-7</v>
      </c>
    </row>
    <row r="881" spans="1:3" x14ac:dyDescent="0.35">
      <c r="A881">
        <v>3868.8004839999999</v>
      </c>
      <c r="B881" s="2">
        <v>1.4578997169878335E-9</v>
      </c>
      <c r="C881" s="2">
        <f t="shared" si="13"/>
        <v>1.6731441205008405E-7</v>
      </c>
    </row>
    <row r="882" spans="1:3" x14ac:dyDescent="0.35">
      <c r="A882">
        <v>2791.4929820000002</v>
      </c>
      <c r="B882" s="2">
        <v>1.3875226309641219E-9</v>
      </c>
      <c r="C882" s="2">
        <f t="shared" si="13"/>
        <v>1.5923765571859645E-7</v>
      </c>
    </row>
    <row r="883" spans="1:3" x14ac:dyDescent="0.35">
      <c r="A883">
        <v>2765.8917630000001</v>
      </c>
      <c r="B883" s="2">
        <v>1.3825614588859841E-9</v>
      </c>
      <c r="C883" s="2">
        <f t="shared" si="13"/>
        <v>1.5866829173583364E-7</v>
      </c>
    </row>
    <row r="884" spans="1:3" x14ac:dyDescent="0.35">
      <c r="A884">
        <v>2375.945334</v>
      </c>
      <c r="B884" s="2">
        <v>1.3464501793721887E-9</v>
      </c>
      <c r="C884" s="2">
        <f t="shared" si="13"/>
        <v>1.5452401663252944E-7</v>
      </c>
    </row>
    <row r="885" spans="1:3" x14ac:dyDescent="0.35">
      <c r="A885">
        <v>3869.8455979999999</v>
      </c>
      <c r="B885" s="2">
        <v>1.3331031521414877E-9</v>
      </c>
      <c r="C885" s="2">
        <f t="shared" si="13"/>
        <v>1.5299225831767421E-7</v>
      </c>
    </row>
    <row r="886" spans="1:3" x14ac:dyDescent="0.35">
      <c r="A886">
        <v>3317.7907169999999</v>
      </c>
      <c r="B886" s="2">
        <v>1.2811392132743359E-9</v>
      </c>
      <c r="C886" s="2">
        <f t="shared" si="13"/>
        <v>1.4702866851924327E-7</v>
      </c>
    </row>
    <row r="887" spans="1:3" x14ac:dyDescent="0.35">
      <c r="A887">
        <v>3451.0379760000001</v>
      </c>
      <c r="B887" s="2">
        <v>1.2763782412449539E-9</v>
      </c>
      <c r="C887" s="2">
        <f t="shared" si="13"/>
        <v>1.4648228029610214E-7</v>
      </c>
    </row>
    <row r="888" spans="1:3" x14ac:dyDescent="0.35">
      <c r="A888">
        <v>2891.5665720000002</v>
      </c>
      <c r="B888" s="2">
        <v>1.2549679890329086E-9</v>
      </c>
      <c r="C888" s="2">
        <f t="shared" si="13"/>
        <v>1.4402515398010033E-7</v>
      </c>
    </row>
    <row r="889" spans="1:3" x14ac:dyDescent="0.35">
      <c r="A889">
        <v>3962.7192660000001</v>
      </c>
      <c r="B889" s="2">
        <v>1.2134630453551424E-9</v>
      </c>
      <c r="C889" s="2">
        <f t="shared" si="13"/>
        <v>1.3926188036964579E-7</v>
      </c>
    </row>
    <row r="890" spans="1:3" x14ac:dyDescent="0.35">
      <c r="A890">
        <v>2281.7023250000002</v>
      </c>
      <c r="B890" s="2">
        <v>1.1872329667316769E-9</v>
      </c>
      <c r="C890" s="2">
        <f t="shared" si="13"/>
        <v>1.3625161146584214E-7</v>
      </c>
    </row>
    <row r="891" spans="1:3" x14ac:dyDescent="0.35">
      <c r="A891">
        <v>3682.025682</v>
      </c>
      <c r="B891" s="2">
        <v>1.1785091430152766E-9</v>
      </c>
      <c r="C891" s="2">
        <f t="shared" si="13"/>
        <v>1.3525043050741942E-7</v>
      </c>
    </row>
    <row r="892" spans="1:3" x14ac:dyDescent="0.35">
      <c r="A892">
        <v>1616.7669559999999</v>
      </c>
      <c r="B892" s="2">
        <v>1.1289858935043936E-9</v>
      </c>
      <c r="C892" s="2">
        <f t="shared" si="13"/>
        <v>1.2956694399722061E-7</v>
      </c>
    </row>
    <row r="893" spans="1:3" x14ac:dyDescent="0.35">
      <c r="A893">
        <v>820.57579599999997</v>
      </c>
      <c r="B893" s="2">
        <v>1.1275608622826079E-9</v>
      </c>
      <c r="C893" s="2">
        <f t="shared" si="13"/>
        <v>1.2940340170535523E-7</v>
      </c>
    </row>
    <row r="894" spans="1:3" x14ac:dyDescent="0.35">
      <c r="A894">
        <v>3912.597808</v>
      </c>
      <c r="B894" s="2">
        <v>1.1014345571894078E-9</v>
      </c>
      <c r="C894" s="2">
        <f t="shared" si="13"/>
        <v>1.2640504226761457E-7</v>
      </c>
    </row>
    <row r="895" spans="1:3" x14ac:dyDescent="0.35">
      <c r="A895">
        <v>1124.937527</v>
      </c>
      <c r="B895" s="2">
        <v>1.0953621194694465E-9</v>
      </c>
      <c r="C895" s="2">
        <f t="shared" si="13"/>
        <v>1.2570814498792703E-7</v>
      </c>
    </row>
    <row r="896" spans="1:3" x14ac:dyDescent="0.35">
      <c r="A896">
        <v>3707.6339050000001</v>
      </c>
      <c r="B896" s="2">
        <v>1.0938338567100671E-9</v>
      </c>
      <c r="C896" s="2">
        <f t="shared" si="13"/>
        <v>1.2553275543124896E-7</v>
      </c>
    </row>
    <row r="897" spans="1:3" x14ac:dyDescent="0.35">
      <c r="A897">
        <v>3793.7257300000001</v>
      </c>
      <c r="B897" s="2">
        <v>1.0901669631326656E-9</v>
      </c>
      <c r="C897" s="2">
        <f t="shared" si="13"/>
        <v>1.2511192803427216E-7</v>
      </c>
    </row>
    <row r="898" spans="1:3" x14ac:dyDescent="0.35">
      <c r="A898">
        <v>3586.4665049999999</v>
      </c>
      <c r="B898" s="2">
        <v>1.0294676500830591E-9</v>
      </c>
      <c r="C898" s="2">
        <f t="shared" si="13"/>
        <v>1.1814583169966148E-7</v>
      </c>
    </row>
    <row r="899" spans="1:3" x14ac:dyDescent="0.35">
      <c r="A899">
        <v>3706.3537350000001</v>
      </c>
      <c r="B899" s="2">
        <v>1.0250688014242624E-9</v>
      </c>
      <c r="C899" s="2">
        <f t="shared" ref="C899:C962" si="14">B899*1.3/(1.35*EXP(-990.163419*1.438776877/298))</f>
        <v>1.1764100220524023E-7</v>
      </c>
    </row>
    <row r="900" spans="1:3" x14ac:dyDescent="0.35">
      <c r="A900">
        <v>3803.0660290000001</v>
      </c>
      <c r="B900" s="2">
        <v>9.3848040745184967E-10</v>
      </c>
      <c r="C900" s="2">
        <f t="shared" si="14"/>
        <v>1.0770377122903297E-7</v>
      </c>
    </row>
    <row r="901" spans="1:3" x14ac:dyDescent="0.35">
      <c r="A901">
        <v>3731.5343379999999</v>
      </c>
      <c r="B901" s="2">
        <v>9.2953531221603503E-10</v>
      </c>
      <c r="C901" s="2">
        <f t="shared" si="14"/>
        <v>1.0667719626460088E-7</v>
      </c>
    </row>
    <row r="902" spans="1:3" x14ac:dyDescent="0.35">
      <c r="A902">
        <v>3318.4558459999998</v>
      </c>
      <c r="B902" s="2">
        <v>9.2709479750184944E-10</v>
      </c>
      <c r="C902" s="2">
        <f t="shared" si="14"/>
        <v>1.0639711301899385E-7</v>
      </c>
    </row>
    <row r="903" spans="1:3" x14ac:dyDescent="0.35">
      <c r="A903">
        <v>3812.010734</v>
      </c>
      <c r="B903" s="2">
        <v>9.1344816274420783E-10</v>
      </c>
      <c r="C903" s="2">
        <f t="shared" si="14"/>
        <v>1.0483097054408169E-7</v>
      </c>
    </row>
    <row r="904" spans="1:3" x14ac:dyDescent="0.35">
      <c r="A904">
        <v>2281.0227</v>
      </c>
      <c r="B904" s="2">
        <v>8.9641583827382075E-10</v>
      </c>
      <c r="C904" s="2">
        <f t="shared" si="14"/>
        <v>1.0287627275423855E-7</v>
      </c>
    </row>
    <row r="905" spans="1:3" x14ac:dyDescent="0.35">
      <c r="A905">
        <v>2061.5272190000001</v>
      </c>
      <c r="B905" s="2">
        <v>8.8128334867231361E-10</v>
      </c>
      <c r="C905" s="2">
        <f t="shared" si="14"/>
        <v>1.011396076249241E-7</v>
      </c>
    </row>
    <row r="906" spans="1:3" x14ac:dyDescent="0.35">
      <c r="A906">
        <v>3191.3834139999999</v>
      </c>
      <c r="B906" s="2">
        <v>8.6955292298438715E-10</v>
      </c>
      <c r="C906" s="2">
        <f t="shared" si="14"/>
        <v>9.9793376979425586E-8</v>
      </c>
    </row>
    <row r="907" spans="1:3" x14ac:dyDescent="0.35">
      <c r="A907">
        <v>3328.851807</v>
      </c>
      <c r="B907" s="2">
        <v>8.3947015569555846E-10</v>
      </c>
      <c r="C907" s="2">
        <f t="shared" si="14"/>
        <v>9.6340958090032345E-8</v>
      </c>
    </row>
    <row r="908" spans="1:3" x14ac:dyDescent="0.35">
      <c r="A908">
        <v>3455.032189</v>
      </c>
      <c r="B908" s="2">
        <v>8.1682574401438403E-10</v>
      </c>
      <c r="C908" s="2">
        <f t="shared" si="14"/>
        <v>9.3742194689156126E-8</v>
      </c>
    </row>
    <row r="909" spans="1:3" x14ac:dyDescent="0.35">
      <c r="A909">
        <v>1692.0076759999999</v>
      </c>
      <c r="B909" s="2">
        <v>8.0559524032282883E-10</v>
      </c>
      <c r="C909" s="2">
        <f t="shared" si="14"/>
        <v>9.245333709471122E-8</v>
      </c>
    </row>
    <row r="910" spans="1:3" x14ac:dyDescent="0.35">
      <c r="A910">
        <v>710.37677599999995</v>
      </c>
      <c r="B910" s="2">
        <v>7.8917100151972154E-10</v>
      </c>
      <c r="C910" s="2">
        <f t="shared" si="14"/>
        <v>9.056842565211231E-8</v>
      </c>
    </row>
    <row r="911" spans="1:3" x14ac:dyDescent="0.35">
      <c r="A911">
        <v>3060.0277550000001</v>
      </c>
      <c r="B911" s="2">
        <v>7.6505198435369609E-10</v>
      </c>
      <c r="C911" s="2">
        <f t="shared" si="14"/>
        <v>8.7800430618340659E-8</v>
      </c>
    </row>
    <row r="912" spans="1:3" x14ac:dyDescent="0.35">
      <c r="A912">
        <v>3674.7089000000001</v>
      </c>
      <c r="B912" s="2">
        <v>7.531911612510273E-10</v>
      </c>
      <c r="C912" s="2">
        <f t="shared" si="14"/>
        <v>8.6439235043137975E-8</v>
      </c>
    </row>
    <row r="913" spans="1:3" x14ac:dyDescent="0.35">
      <c r="A913">
        <v>3990.9976550000001</v>
      </c>
      <c r="B913" s="2">
        <v>7.4703316697671991E-10</v>
      </c>
      <c r="C913" s="2">
        <f t="shared" si="14"/>
        <v>8.5732518950523409E-8</v>
      </c>
    </row>
    <row r="914" spans="1:3" x14ac:dyDescent="0.35">
      <c r="A914">
        <v>781.02371500000004</v>
      </c>
      <c r="B914" s="2">
        <v>7.4462360004410555E-10</v>
      </c>
      <c r="C914" s="2">
        <f t="shared" si="14"/>
        <v>8.5455987396310159E-8</v>
      </c>
    </row>
    <row r="915" spans="1:3" x14ac:dyDescent="0.35">
      <c r="A915">
        <v>2018.172918</v>
      </c>
      <c r="B915" s="2">
        <v>7.4379594110111674E-10</v>
      </c>
      <c r="C915" s="2">
        <f t="shared" si="14"/>
        <v>8.5361001940307563E-8</v>
      </c>
    </row>
    <row r="916" spans="1:3" x14ac:dyDescent="0.35">
      <c r="A916">
        <v>1097.922153</v>
      </c>
      <c r="B916" s="2">
        <v>7.4247055824314865E-10</v>
      </c>
      <c r="C916" s="2">
        <f t="shared" si="14"/>
        <v>8.5208895693877686E-8</v>
      </c>
    </row>
    <row r="917" spans="1:3" x14ac:dyDescent="0.35">
      <c r="A917">
        <v>460.44171999999998</v>
      </c>
      <c r="B917" s="2">
        <v>7.3669080861034883E-10</v>
      </c>
      <c r="C917" s="2">
        <f t="shared" si="14"/>
        <v>8.4545588471617856E-8</v>
      </c>
    </row>
    <row r="918" spans="1:3" x14ac:dyDescent="0.35">
      <c r="A918">
        <v>2843.68968</v>
      </c>
      <c r="B918" s="2">
        <v>7.2879938326174731E-10</v>
      </c>
      <c r="C918" s="2">
        <f t="shared" si="14"/>
        <v>8.3639936884575664E-8</v>
      </c>
    </row>
    <row r="919" spans="1:3" x14ac:dyDescent="0.35">
      <c r="A919">
        <v>3525.8641560000001</v>
      </c>
      <c r="B919" s="2">
        <v>6.8797015991458558E-10</v>
      </c>
      <c r="C919" s="2">
        <f t="shared" si="14"/>
        <v>7.8954211646281418E-8</v>
      </c>
    </row>
    <row r="920" spans="1:3" x14ac:dyDescent="0.35">
      <c r="A920">
        <v>3749.6810369999998</v>
      </c>
      <c r="B920" s="2">
        <v>6.6023468460035832E-10</v>
      </c>
      <c r="C920" s="2">
        <f t="shared" si="14"/>
        <v>7.5771177387438578E-8</v>
      </c>
    </row>
    <row r="921" spans="1:3" x14ac:dyDescent="0.35">
      <c r="A921">
        <v>3282.5083570000002</v>
      </c>
      <c r="B921" s="2">
        <v>6.0003120210466368E-10</v>
      </c>
      <c r="C921" s="2">
        <f t="shared" si="14"/>
        <v>6.886198455355401E-8</v>
      </c>
    </row>
    <row r="922" spans="1:3" x14ac:dyDescent="0.35">
      <c r="A922">
        <v>3312.818315</v>
      </c>
      <c r="B922" s="2">
        <v>5.9845869648346912E-10</v>
      </c>
      <c r="C922" s="2">
        <f t="shared" si="14"/>
        <v>6.868151750881158E-8</v>
      </c>
    </row>
    <row r="923" spans="1:3" x14ac:dyDescent="0.35">
      <c r="A923">
        <v>3084.6827480000002</v>
      </c>
      <c r="B923" s="2">
        <v>5.795666494196425E-10</v>
      </c>
      <c r="C923" s="2">
        <f t="shared" si="14"/>
        <v>6.6513390503864067E-8</v>
      </c>
    </row>
    <row r="924" spans="1:3" x14ac:dyDescent="0.35">
      <c r="A924">
        <v>3277.4897900000001</v>
      </c>
      <c r="B924" s="2">
        <v>5.4089323143385079E-10</v>
      </c>
      <c r="C924" s="2">
        <f t="shared" si="14"/>
        <v>6.207507412526648E-8</v>
      </c>
    </row>
    <row r="925" spans="1:3" x14ac:dyDescent="0.35">
      <c r="A925">
        <v>1907.07782</v>
      </c>
      <c r="B925" s="2">
        <v>5.0376204094973943E-10</v>
      </c>
      <c r="C925" s="2">
        <f t="shared" si="14"/>
        <v>5.7813749953117935E-8</v>
      </c>
    </row>
    <row r="926" spans="1:3" x14ac:dyDescent="0.35">
      <c r="A926">
        <v>799.72486100000003</v>
      </c>
      <c r="B926" s="2">
        <v>4.8147163900885095E-10</v>
      </c>
      <c r="C926" s="2">
        <f t="shared" si="14"/>
        <v>5.5255614128244241E-8</v>
      </c>
    </row>
    <row r="927" spans="1:3" x14ac:dyDescent="0.35">
      <c r="A927">
        <v>3979.4023200000001</v>
      </c>
      <c r="B927" s="2">
        <v>4.753647016486742E-10</v>
      </c>
      <c r="C927" s="2">
        <f t="shared" si="14"/>
        <v>5.4554757531635683E-8</v>
      </c>
    </row>
    <row r="928" spans="1:3" x14ac:dyDescent="0.35">
      <c r="A928">
        <v>3376.4885599999998</v>
      </c>
      <c r="B928" s="2">
        <v>4.7363428345142205E-10</v>
      </c>
      <c r="C928" s="2">
        <f t="shared" si="14"/>
        <v>5.4356167807047358E-8</v>
      </c>
    </row>
    <row r="929" spans="1:3" x14ac:dyDescent="0.35">
      <c r="A929">
        <v>3585.7512040000001</v>
      </c>
      <c r="B929" s="2">
        <v>4.6336907834412411E-10</v>
      </c>
      <c r="C929" s="2">
        <f t="shared" si="14"/>
        <v>5.3178091745238639E-8</v>
      </c>
    </row>
    <row r="930" spans="1:3" x14ac:dyDescent="0.35">
      <c r="A930">
        <v>3280.8975540000001</v>
      </c>
      <c r="B930" s="2">
        <v>4.4009653991330145E-10</v>
      </c>
      <c r="C930" s="2">
        <f t="shared" si="14"/>
        <v>5.05072420022185E-8</v>
      </c>
    </row>
    <row r="931" spans="1:3" x14ac:dyDescent="0.35">
      <c r="A931">
        <v>3498.0283760000002</v>
      </c>
      <c r="B931" s="2">
        <v>4.390133838180896E-10</v>
      </c>
      <c r="C931" s="2">
        <f t="shared" si="14"/>
        <v>5.0382934669473243E-8</v>
      </c>
    </row>
    <row r="932" spans="1:3" x14ac:dyDescent="0.35">
      <c r="A932">
        <v>1455.5760190000001</v>
      </c>
      <c r="B932" s="2">
        <v>4.3031278870318331E-10</v>
      </c>
      <c r="C932" s="2">
        <f t="shared" si="14"/>
        <v>4.9384419518414649E-8</v>
      </c>
    </row>
    <row r="933" spans="1:3" x14ac:dyDescent="0.35">
      <c r="A933">
        <v>2428.4918899999998</v>
      </c>
      <c r="B933" s="2">
        <v>4.0431603009623073E-10</v>
      </c>
      <c r="C933" s="2">
        <f t="shared" si="14"/>
        <v>4.6400927354415195E-8</v>
      </c>
    </row>
    <row r="934" spans="1:3" x14ac:dyDescent="0.35">
      <c r="A934">
        <v>3784.1572719999999</v>
      </c>
      <c r="B934" s="2">
        <v>3.8027516767129342E-10</v>
      </c>
      <c r="C934" s="2">
        <f t="shared" si="14"/>
        <v>4.364190167182847E-8</v>
      </c>
    </row>
    <row r="935" spans="1:3" x14ac:dyDescent="0.35">
      <c r="A935">
        <v>3368.2827990000001</v>
      </c>
      <c r="B935" s="2">
        <v>3.4375189543894783E-10</v>
      </c>
      <c r="C935" s="2">
        <f t="shared" si="14"/>
        <v>3.9450344633649098E-8</v>
      </c>
    </row>
    <row r="936" spans="1:3" x14ac:dyDescent="0.35">
      <c r="A936">
        <v>3103.2751920000001</v>
      </c>
      <c r="B936" s="2">
        <v>3.3152516826569914E-10</v>
      </c>
      <c r="C936" s="2">
        <f t="shared" si="14"/>
        <v>3.8047156441449213E-8</v>
      </c>
    </row>
    <row r="937" spans="1:3" x14ac:dyDescent="0.35">
      <c r="A937">
        <v>2273.884818</v>
      </c>
      <c r="B937" s="2">
        <v>3.2056574341347299E-10</v>
      </c>
      <c r="C937" s="2">
        <f t="shared" si="14"/>
        <v>3.6789408940581427E-8</v>
      </c>
    </row>
    <row r="938" spans="1:3" x14ac:dyDescent="0.35">
      <c r="A938">
        <v>1667.9619990000001</v>
      </c>
      <c r="B938" s="2">
        <v>3.1856573384566945E-10</v>
      </c>
      <c r="C938" s="2">
        <f t="shared" si="14"/>
        <v>3.6559879830291886E-8</v>
      </c>
    </row>
    <row r="939" spans="1:3" x14ac:dyDescent="0.35">
      <c r="A939">
        <v>3340.2232100000001</v>
      </c>
      <c r="B939" s="2">
        <v>3.1828154721467524E-10</v>
      </c>
      <c r="C939" s="2">
        <f t="shared" si="14"/>
        <v>3.6527265434031814E-8</v>
      </c>
    </row>
    <row r="940" spans="1:3" x14ac:dyDescent="0.35">
      <c r="A940">
        <v>1880.441581</v>
      </c>
      <c r="B940" s="2">
        <v>3.0723025641118722E-10</v>
      </c>
      <c r="C940" s="2">
        <f t="shared" si="14"/>
        <v>3.5258975028570733E-8</v>
      </c>
    </row>
    <row r="941" spans="1:3" x14ac:dyDescent="0.35">
      <c r="A941">
        <v>3759.6769829999998</v>
      </c>
      <c r="B941" s="2">
        <v>2.9063025299783487E-10</v>
      </c>
      <c r="C941" s="2">
        <f t="shared" si="14"/>
        <v>3.3353892135165091E-8</v>
      </c>
    </row>
    <row r="942" spans="1:3" x14ac:dyDescent="0.35">
      <c r="A942">
        <v>3727.4660199999998</v>
      </c>
      <c r="B942" s="2">
        <v>2.8003904953596833E-10</v>
      </c>
      <c r="C942" s="2">
        <f t="shared" si="14"/>
        <v>3.2138403196195911E-8</v>
      </c>
    </row>
    <row r="943" spans="1:3" x14ac:dyDescent="0.35">
      <c r="A943">
        <v>1106.1312330000001</v>
      </c>
      <c r="B943" s="2">
        <v>2.6087826985886849E-10</v>
      </c>
      <c r="C943" s="2">
        <f t="shared" si="14"/>
        <v>2.9939435359972701E-8</v>
      </c>
    </row>
    <row r="944" spans="1:3" x14ac:dyDescent="0.35">
      <c r="A944">
        <v>3709.4298530000001</v>
      </c>
      <c r="B944" s="2">
        <v>2.2964722846414333E-10</v>
      </c>
      <c r="C944" s="2">
        <f t="shared" si="14"/>
        <v>2.6355235934057128E-8</v>
      </c>
    </row>
    <row r="945" spans="1:3" x14ac:dyDescent="0.35">
      <c r="A945">
        <v>2945.195444</v>
      </c>
      <c r="B945" s="2">
        <v>2.1306497229972868E-10</v>
      </c>
      <c r="C945" s="2">
        <f t="shared" si="14"/>
        <v>2.4452189786037281E-8</v>
      </c>
    </row>
    <row r="946" spans="1:3" x14ac:dyDescent="0.35">
      <c r="A946">
        <v>3344.0814319999999</v>
      </c>
      <c r="B946" s="2">
        <v>2.0590851069406592E-10</v>
      </c>
      <c r="C946" s="2">
        <f t="shared" si="14"/>
        <v>2.3630885582491397E-8</v>
      </c>
    </row>
    <row r="947" spans="1:3" x14ac:dyDescent="0.35">
      <c r="A947">
        <v>3850.2887409999998</v>
      </c>
      <c r="B947" s="2">
        <v>1.9775415747370814E-10</v>
      </c>
      <c r="C947" s="2">
        <f t="shared" si="14"/>
        <v>2.2695059339564528E-8</v>
      </c>
    </row>
    <row r="948" spans="1:3" x14ac:dyDescent="0.35">
      <c r="A948">
        <v>3089.5106310000001</v>
      </c>
      <c r="B948" s="2">
        <v>1.9495933672990944E-10</v>
      </c>
      <c r="C948" s="2">
        <f t="shared" si="14"/>
        <v>2.2374314514604825E-8</v>
      </c>
    </row>
    <row r="949" spans="1:3" x14ac:dyDescent="0.35">
      <c r="A949">
        <v>3448.4314840000002</v>
      </c>
      <c r="B949" s="2">
        <v>1.9016596257195262E-10</v>
      </c>
      <c r="C949" s="2">
        <f t="shared" si="14"/>
        <v>2.1824207693381469E-8</v>
      </c>
    </row>
    <row r="950" spans="1:3" x14ac:dyDescent="0.35">
      <c r="A950">
        <v>3773.604167</v>
      </c>
      <c r="B950" s="2">
        <v>1.8881577270938719E-10</v>
      </c>
      <c r="C950" s="2">
        <f t="shared" si="14"/>
        <v>2.1669254495724042E-8</v>
      </c>
    </row>
    <row r="951" spans="1:3" x14ac:dyDescent="0.35">
      <c r="A951">
        <v>2898.2204470000001</v>
      </c>
      <c r="B951" s="2">
        <v>1.8455263841344512E-10</v>
      </c>
      <c r="C951" s="2">
        <f t="shared" si="14"/>
        <v>2.1180000125272684E-8</v>
      </c>
    </row>
    <row r="952" spans="1:3" x14ac:dyDescent="0.35">
      <c r="A952">
        <v>2910.8209109999998</v>
      </c>
      <c r="B952" s="2">
        <v>1.8396342372657603E-10</v>
      </c>
      <c r="C952" s="2">
        <f t="shared" si="14"/>
        <v>2.1112379487339879E-8</v>
      </c>
    </row>
    <row r="953" spans="1:3" x14ac:dyDescent="0.35">
      <c r="A953">
        <v>3934.765363</v>
      </c>
      <c r="B953" s="2">
        <v>1.8295194917330657E-10</v>
      </c>
      <c r="C953" s="2">
        <f t="shared" si="14"/>
        <v>2.0996298615513144E-8</v>
      </c>
    </row>
    <row r="954" spans="1:3" x14ac:dyDescent="0.35">
      <c r="A954">
        <v>3501.1702460000001</v>
      </c>
      <c r="B954" s="2">
        <v>1.8019254102626817E-10</v>
      </c>
      <c r="C954" s="2">
        <f t="shared" si="14"/>
        <v>2.0679617882024945E-8</v>
      </c>
    </row>
    <row r="955" spans="1:3" x14ac:dyDescent="0.35">
      <c r="A955">
        <v>665.03234499999996</v>
      </c>
      <c r="B955" s="2">
        <v>1.7829473561883774E-10</v>
      </c>
      <c r="C955" s="2">
        <f t="shared" si="14"/>
        <v>2.0461818130622466E-8</v>
      </c>
    </row>
    <row r="956" spans="1:3" x14ac:dyDescent="0.35">
      <c r="A956">
        <v>2318.1094149999999</v>
      </c>
      <c r="B956" s="2">
        <v>1.7204828934488833E-10</v>
      </c>
      <c r="C956" s="2">
        <f t="shared" si="14"/>
        <v>1.974495093217921E-8</v>
      </c>
    </row>
    <row r="957" spans="1:3" x14ac:dyDescent="0.35">
      <c r="A957">
        <v>1970.813005</v>
      </c>
      <c r="B957" s="2">
        <v>1.615763989454077E-10</v>
      </c>
      <c r="C957" s="2">
        <f t="shared" si="14"/>
        <v>1.8543154838232479E-8</v>
      </c>
    </row>
    <row r="958" spans="1:3" x14ac:dyDescent="0.35">
      <c r="A958">
        <v>3393.2659399999998</v>
      </c>
      <c r="B958" s="2">
        <v>1.5946241313639518E-10</v>
      </c>
      <c r="C958" s="2">
        <f t="shared" si="14"/>
        <v>1.8300545357898724E-8</v>
      </c>
    </row>
    <row r="959" spans="1:3" x14ac:dyDescent="0.35">
      <c r="A959">
        <v>1570.555971</v>
      </c>
      <c r="B959" s="2">
        <v>1.5263322959022109E-10</v>
      </c>
      <c r="C959" s="2">
        <f t="shared" si="14"/>
        <v>1.7516800895576587E-8</v>
      </c>
    </row>
    <row r="960" spans="1:3" x14ac:dyDescent="0.35">
      <c r="A960">
        <v>63.498162000000001</v>
      </c>
      <c r="B960" s="2">
        <v>1.4322340153337215E-10</v>
      </c>
      <c r="C960" s="2">
        <f t="shared" si="14"/>
        <v>1.6436891330824813E-8</v>
      </c>
    </row>
    <row r="961" spans="1:3" x14ac:dyDescent="0.35">
      <c r="A961">
        <v>2406.1860109999998</v>
      </c>
      <c r="B961" s="2">
        <v>1.4086493306765982E-10</v>
      </c>
      <c r="C961" s="2">
        <f t="shared" si="14"/>
        <v>1.616622404138009E-8</v>
      </c>
    </row>
    <row r="962" spans="1:3" x14ac:dyDescent="0.35">
      <c r="A962">
        <v>3957.499217</v>
      </c>
      <c r="B962" s="2">
        <v>1.2762750578844863E-10</v>
      </c>
      <c r="C962" s="2">
        <f t="shared" si="14"/>
        <v>1.4647043856028943E-8</v>
      </c>
    </row>
    <row r="963" spans="1:3" x14ac:dyDescent="0.35">
      <c r="A963">
        <v>334.47426200000001</v>
      </c>
      <c r="B963" s="2">
        <v>1.2376175208861986E-10</v>
      </c>
      <c r="C963" s="2">
        <f t="shared" ref="C963:C1014" si="15">B963*1.3/(1.35*EXP(-990.163419*1.438776877/298))</f>
        <v>1.4203394474743901E-8</v>
      </c>
    </row>
    <row r="964" spans="1:3" x14ac:dyDescent="0.35">
      <c r="A964">
        <v>1058.726977</v>
      </c>
      <c r="B964" s="2">
        <v>1.1222076488383905E-10</v>
      </c>
      <c r="C964" s="2">
        <f t="shared" si="15"/>
        <v>1.2878904548485443E-8</v>
      </c>
    </row>
    <row r="965" spans="1:3" x14ac:dyDescent="0.35">
      <c r="A965">
        <v>3517.9027809999998</v>
      </c>
      <c r="B965" s="2">
        <v>1.0825930431134624E-10</v>
      </c>
      <c r="C965" s="2">
        <f t="shared" si="15"/>
        <v>1.2424271463079779E-8</v>
      </c>
    </row>
    <row r="966" spans="1:3" x14ac:dyDescent="0.35">
      <c r="A966">
        <v>3175.7830399999998</v>
      </c>
      <c r="B966" s="2">
        <v>1.023345758542848E-10</v>
      </c>
      <c r="C966" s="2">
        <f t="shared" si="15"/>
        <v>1.1744325890144387E-8</v>
      </c>
    </row>
    <row r="967" spans="1:3" x14ac:dyDescent="0.35">
      <c r="A967">
        <v>2682.4452540000002</v>
      </c>
      <c r="B967" s="2">
        <v>9.8038490812741437E-11</v>
      </c>
      <c r="C967" s="2">
        <f t="shared" si="15"/>
        <v>1.1251289960123018E-8</v>
      </c>
    </row>
    <row r="968" spans="1:3" x14ac:dyDescent="0.35">
      <c r="A968">
        <v>3738.1096229999998</v>
      </c>
      <c r="B968" s="2">
        <v>9.5018736485707847E-11</v>
      </c>
      <c r="C968" s="2">
        <f t="shared" si="15"/>
        <v>1.0904730856039223E-8</v>
      </c>
    </row>
    <row r="969" spans="1:3" x14ac:dyDescent="0.35">
      <c r="A969">
        <v>3786.1142869999999</v>
      </c>
      <c r="B969" s="2">
        <v>9.0954567699656956E-11</v>
      </c>
      <c r="C969" s="2">
        <f t="shared" si="15"/>
        <v>1.0438310564583687E-8</v>
      </c>
    </row>
    <row r="970" spans="1:3" x14ac:dyDescent="0.35">
      <c r="A970">
        <v>2018.8387170000001</v>
      </c>
      <c r="B970" s="2">
        <v>8.9707615999040005E-11</v>
      </c>
      <c r="C970" s="2">
        <f t="shared" si="15"/>
        <v>1.0295205391976455E-8</v>
      </c>
    </row>
    <row r="971" spans="1:3" x14ac:dyDescent="0.35">
      <c r="A971">
        <v>2828.7344320000002</v>
      </c>
      <c r="B971" s="2">
        <v>8.9205749453404477E-11</v>
      </c>
      <c r="C971" s="2">
        <f t="shared" si="15"/>
        <v>1.0237609176659186E-8</v>
      </c>
    </row>
    <row r="972" spans="1:3" x14ac:dyDescent="0.35">
      <c r="A972">
        <v>2508.6425850000001</v>
      </c>
      <c r="B972" s="2">
        <v>8.8760999299972487E-11</v>
      </c>
      <c r="C972" s="2">
        <f t="shared" si="15"/>
        <v>1.0186567867326606E-8</v>
      </c>
    </row>
    <row r="973" spans="1:3" x14ac:dyDescent="0.35">
      <c r="A973">
        <v>3949.1943230000002</v>
      </c>
      <c r="B973" s="2">
        <v>7.5850939207933762E-11</v>
      </c>
      <c r="C973" s="2">
        <f t="shared" si="15"/>
        <v>8.7049576518492547E-9</v>
      </c>
    </row>
    <row r="974" spans="1:3" x14ac:dyDescent="0.35">
      <c r="A974">
        <v>314.81582300000002</v>
      </c>
      <c r="B974" s="2">
        <v>7.5654977541873601E-11</v>
      </c>
      <c r="C974" s="2">
        <f t="shared" si="15"/>
        <v>8.6824683060052551E-9</v>
      </c>
    </row>
    <row r="975" spans="1:3" x14ac:dyDescent="0.35">
      <c r="A975">
        <v>3842.3001829999998</v>
      </c>
      <c r="B975" s="2">
        <v>6.9178147647265272E-11</v>
      </c>
      <c r="C975" s="2">
        <f t="shared" si="15"/>
        <v>7.9391613603095905E-9</v>
      </c>
    </row>
    <row r="976" spans="1:3" x14ac:dyDescent="0.35">
      <c r="A976">
        <v>647.94766300000003</v>
      </c>
      <c r="B976" s="2">
        <v>5.5321363300724356E-11</v>
      </c>
      <c r="C976" s="2">
        <f t="shared" si="15"/>
        <v>6.3489012766898264E-9</v>
      </c>
    </row>
    <row r="977" spans="1:3" x14ac:dyDescent="0.35">
      <c r="A977">
        <v>3289.8782150000002</v>
      </c>
      <c r="B977" s="2">
        <v>5.5207134069380384E-11</v>
      </c>
      <c r="C977" s="2">
        <f t="shared" si="15"/>
        <v>6.3357918724842078E-9</v>
      </c>
    </row>
    <row r="978" spans="1:3" x14ac:dyDescent="0.35">
      <c r="A978">
        <v>3960.2704290000001</v>
      </c>
      <c r="B978" s="2">
        <v>5.4769589708522624E-11</v>
      </c>
      <c r="C978" s="2">
        <f t="shared" si="15"/>
        <v>6.2855775287747516E-9</v>
      </c>
    </row>
    <row r="979" spans="1:3" x14ac:dyDescent="0.35">
      <c r="A979">
        <v>3962.0734870000001</v>
      </c>
      <c r="B979" s="2">
        <v>5.1094217017096033E-11</v>
      </c>
      <c r="C979" s="2">
        <f t="shared" si="15"/>
        <v>5.8637770347040703E-9</v>
      </c>
    </row>
    <row r="980" spans="1:3" x14ac:dyDescent="0.35">
      <c r="A980">
        <v>1942.5524600000001</v>
      </c>
      <c r="B980" s="2">
        <v>4.0457974024407678E-11</v>
      </c>
      <c r="C980" s="2">
        <f t="shared" si="15"/>
        <v>4.6431191787437832E-9</v>
      </c>
    </row>
    <row r="981" spans="1:3" x14ac:dyDescent="0.35">
      <c r="A981">
        <v>2447.7918850000001</v>
      </c>
      <c r="B981" s="2">
        <v>4.0349667688983325E-11</v>
      </c>
      <c r="C981" s="2">
        <f t="shared" si="15"/>
        <v>4.6306895098017616E-9</v>
      </c>
    </row>
    <row r="982" spans="1:3" x14ac:dyDescent="0.35">
      <c r="A982">
        <v>1838.3957949999999</v>
      </c>
      <c r="B982" s="2">
        <v>3.9310104726815939E-11</v>
      </c>
      <c r="C982" s="2">
        <f t="shared" si="15"/>
        <v>4.5113850996442207E-9</v>
      </c>
    </row>
    <row r="983" spans="1:3" x14ac:dyDescent="0.35">
      <c r="A983">
        <v>731.62835199999995</v>
      </c>
      <c r="B983" s="2">
        <v>3.8023107355635582E-11</v>
      </c>
      <c r="C983" s="2">
        <f t="shared" si="15"/>
        <v>4.3636841254551694E-9</v>
      </c>
    </row>
    <row r="984" spans="1:3" x14ac:dyDescent="0.35">
      <c r="A984">
        <v>2457.1607479999998</v>
      </c>
      <c r="B984" s="2">
        <v>3.6081212530537406E-11</v>
      </c>
      <c r="C984" s="2">
        <f t="shared" si="15"/>
        <v>4.1408244958534213E-9</v>
      </c>
    </row>
    <row r="985" spans="1:3" x14ac:dyDescent="0.35">
      <c r="A985">
        <v>1129.5208110000001</v>
      </c>
      <c r="B985" s="2">
        <v>3.3602145757149631E-11</v>
      </c>
      <c r="C985" s="2">
        <f t="shared" si="15"/>
        <v>3.8563168614879671E-9</v>
      </c>
    </row>
    <row r="986" spans="1:3" x14ac:dyDescent="0.35">
      <c r="A986">
        <v>3819.11049</v>
      </c>
      <c r="B986" s="2">
        <v>3.1156196482441887E-11</v>
      </c>
      <c r="C986" s="2">
        <f t="shared" si="15"/>
        <v>3.575609923943873E-9</v>
      </c>
    </row>
    <row r="987" spans="1:3" x14ac:dyDescent="0.35">
      <c r="A987">
        <v>3457.9940270000002</v>
      </c>
      <c r="B987" s="2">
        <v>2.9784916299916543E-11</v>
      </c>
      <c r="C987" s="2">
        <f t="shared" si="15"/>
        <v>3.4182363166773897E-9</v>
      </c>
    </row>
    <row r="988" spans="1:3" x14ac:dyDescent="0.35">
      <c r="A988">
        <v>3879.2535090000001</v>
      </c>
      <c r="B988" s="2">
        <v>2.2320154688839491E-11</v>
      </c>
      <c r="C988" s="2">
        <f t="shared" si="15"/>
        <v>2.5615503694217887E-9</v>
      </c>
    </row>
    <row r="989" spans="1:3" x14ac:dyDescent="0.35">
      <c r="A989">
        <v>3647.2467929999998</v>
      </c>
      <c r="B989" s="2">
        <v>2.1726771957879869E-11</v>
      </c>
      <c r="C989" s="2">
        <f t="shared" si="15"/>
        <v>2.4934513900514462E-9</v>
      </c>
    </row>
    <row r="990" spans="1:3" x14ac:dyDescent="0.35">
      <c r="A990">
        <v>1040.4699889999999</v>
      </c>
      <c r="B990" s="2">
        <v>1.9411553182522177E-11</v>
      </c>
      <c r="C990" s="2">
        <f t="shared" si="15"/>
        <v>2.2277476083354915E-9</v>
      </c>
    </row>
    <row r="991" spans="1:3" x14ac:dyDescent="0.35">
      <c r="A991">
        <v>3667.9720510000002</v>
      </c>
      <c r="B991" s="2">
        <v>1.7445221112271679E-11</v>
      </c>
      <c r="C991" s="2">
        <f t="shared" si="15"/>
        <v>2.0020834625814031E-9</v>
      </c>
    </row>
    <row r="992" spans="1:3" x14ac:dyDescent="0.35">
      <c r="A992">
        <v>3342.594908</v>
      </c>
      <c r="B992" s="2">
        <v>1.1458905907448064E-11</v>
      </c>
      <c r="C992" s="2">
        <f t="shared" si="15"/>
        <v>1.3150699477486128E-9</v>
      </c>
    </row>
    <row r="993" spans="1:3" x14ac:dyDescent="0.35">
      <c r="A993">
        <v>256.11306999999999</v>
      </c>
      <c r="B993" s="2">
        <v>1.0741499234240322E-11</v>
      </c>
      <c r="C993" s="2">
        <f t="shared" si="15"/>
        <v>1.2327374839104558E-9</v>
      </c>
    </row>
    <row r="994" spans="1:3" x14ac:dyDescent="0.35">
      <c r="A994">
        <v>1533.820741</v>
      </c>
      <c r="B994" s="2">
        <v>8.4172353238438417E-12</v>
      </c>
      <c r="C994" s="2">
        <f t="shared" si="15"/>
        <v>9.6599564626150762E-10</v>
      </c>
    </row>
    <row r="995" spans="1:3" x14ac:dyDescent="0.35">
      <c r="A995">
        <v>2887.740949</v>
      </c>
      <c r="B995" s="2">
        <v>8.4043994318356789E-12</v>
      </c>
      <c r="C995" s="2">
        <f t="shared" si="15"/>
        <v>9.6452254787246239E-10</v>
      </c>
    </row>
    <row r="996" spans="1:3" x14ac:dyDescent="0.35">
      <c r="A996">
        <v>272.069547</v>
      </c>
      <c r="B996" s="2">
        <v>8.3077157077125105E-12</v>
      </c>
      <c r="C996" s="2">
        <f t="shared" si="15"/>
        <v>9.5342673636499951E-10</v>
      </c>
    </row>
    <row r="997" spans="1:3" x14ac:dyDescent="0.35">
      <c r="A997">
        <v>3872.3369200000002</v>
      </c>
      <c r="B997" s="2">
        <v>8.2671075691984001E-12</v>
      </c>
      <c r="C997" s="2">
        <f t="shared" si="15"/>
        <v>9.4876638370783981E-10</v>
      </c>
    </row>
    <row r="998" spans="1:3" x14ac:dyDescent="0.35">
      <c r="A998">
        <v>1435.1799390000001</v>
      </c>
      <c r="B998" s="2">
        <v>7.3864221107089912E-12</v>
      </c>
      <c r="C998" s="2">
        <f t="shared" si="15"/>
        <v>8.4769539235552864E-10</v>
      </c>
    </row>
    <row r="999" spans="1:3" x14ac:dyDescent="0.35">
      <c r="A999">
        <v>3307.4023459999999</v>
      </c>
      <c r="B999" s="2">
        <v>6.9349458282174725E-12</v>
      </c>
      <c r="C999" s="2">
        <f t="shared" si="15"/>
        <v>7.958821655063622E-10</v>
      </c>
    </row>
    <row r="1000" spans="1:3" x14ac:dyDescent="0.35">
      <c r="A1000">
        <v>1813.226465</v>
      </c>
      <c r="B1000" s="2">
        <v>6.6606400247408313E-12</v>
      </c>
      <c r="C1000" s="2">
        <f t="shared" si="15"/>
        <v>7.6440173259603534E-10</v>
      </c>
    </row>
    <row r="1001" spans="1:3" x14ac:dyDescent="0.35">
      <c r="A1001">
        <v>3768.3517710000001</v>
      </c>
      <c r="B1001" s="2">
        <v>5.3908771834525089E-12</v>
      </c>
      <c r="C1001" s="2">
        <f t="shared" si="15"/>
        <v>6.1867866210107557E-10</v>
      </c>
    </row>
    <row r="1002" spans="1:3" x14ac:dyDescent="0.35">
      <c r="A1002">
        <v>2244.7320140000002</v>
      </c>
      <c r="B1002" s="2">
        <v>5.0934369527199383E-12</v>
      </c>
      <c r="C1002" s="2">
        <f t="shared" si="15"/>
        <v>5.8454322963944991E-10</v>
      </c>
    </row>
    <row r="1003" spans="1:3" x14ac:dyDescent="0.35">
      <c r="A1003">
        <v>592.93892600000004</v>
      </c>
      <c r="B1003" s="2">
        <v>4.9020881742468891E-12</v>
      </c>
      <c r="C1003" s="2">
        <f t="shared" si="15"/>
        <v>5.6258327725475026E-10</v>
      </c>
    </row>
    <row r="1004" spans="1:3" x14ac:dyDescent="0.35">
      <c r="A1004">
        <v>3880.9085989999999</v>
      </c>
      <c r="B1004" s="2">
        <v>4.7980481823173115E-12</v>
      </c>
      <c r="C1004" s="2">
        <f t="shared" si="15"/>
        <v>5.5064323098369517E-10</v>
      </c>
    </row>
    <row r="1005" spans="1:3" x14ac:dyDescent="0.35">
      <c r="A1005">
        <v>3505.6178089999999</v>
      </c>
      <c r="B1005" s="2">
        <v>3.7000949885915394E-12</v>
      </c>
      <c r="C1005" s="2">
        <f t="shared" si="15"/>
        <v>4.2463772393394477E-10</v>
      </c>
    </row>
    <row r="1006" spans="1:3" x14ac:dyDescent="0.35">
      <c r="A1006">
        <v>3965.4933369999999</v>
      </c>
      <c r="B1006" s="2">
        <v>2.9654124194066113E-12</v>
      </c>
      <c r="C1006" s="2">
        <f t="shared" si="15"/>
        <v>3.4032260906404644E-10</v>
      </c>
    </row>
    <row r="1007" spans="1:3" x14ac:dyDescent="0.35">
      <c r="A1007">
        <v>992.87958100000003</v>
      </c>
      <c r="B1007" s="2">
        <v>2.8395015898923225E-12</v>
      </c>
      <c r="C1007" s="2">
        <f t="shared" si="15"/>
        <v>3.2587257785445986E-10</v>
      </c>
    </row>
    <row r="1008" spans="1:3" x14ac:dyDescent="0.35">
      <c r="A1008">
        <v>1400.156872</v>
      </c>
      <c r="B1008" s="2">
        <v>2.4745197619988769E-12</v>
      </c>
      <c r="C1008" s="2">
        <f t="shared" si="15"/>
        <v>2.8398580112256864E-10</v>
      </c>
    </row>
    <row r="1009" spans="1:3" x14ac:dyDescent="0.35">
      <c r="A1009">
        <v>3714.3794320000002</v>
      </c>
      <c r="B1009" s="2">
        <v>2.405343918422682E-12</v>
      </c>
      <c r="C1009" s="2">
        <f t="shared" si="15"/>
        <v>2.7604690418668548E-10</v>
      </c>
    </row>
    <row r="1010" spans="1:3" x14ac:dyDescent="0.35">
      <c r="A1010">
        <v>3588.064801</v>
      </c>
      <c r="B1010" s="2">
        <v>1.6073891548191773E-12</v>
      </c>
      <c r="C1010" s="2">
        <f t="shared" si="15"/>
        <v>1.8447041880898898E-10</v>
      </c>
    </row>
    <row r="1011" spans="1:3" x14ac:dyDescent="0.35">
      <c r="A1011">
        <v>196.34498600000001</v>
      </c>
      <c r="B1011" s="2">
        <v>1.3602638141163552E-12</v>
      </c>
      <c r="C1011" s="2">
        <f t="shared" si="15"/>
        <v>1.5610932469491801E-10</v>
      </c>
    </row>
    <row r="1012" spans="1:3" x14ac:dyDescent="0.35">
      <c r="A1012">
        <v>3691.1002939999998</v>
      </c>
      <c r="B1012" s="2">
        <v>1.1464722331918337E-13</v>
      </c>
      <c r="C1012" s="2">
        <f t="shared" si="15"/>
        <v>1.3157374639221452E-11</v>
      </c>
    </row>
    <row r="1013" spans="1:3" x14ac:dyDescent="0.35">
      <c r="A1013">
        <v>2876.8358549999998</v>
      </c>
      <c r="B1013" s="2">
        <v>6.3859183924419515E-14</v>
      </c>
      <c r="C1013" s="2">
        <f t="shared" si="15"/>
        <v>7.3287357750420603E-12</v>
      </c>
    </row>
    <row r="1014" spans="1:3" x14ac:dyDescent="0.35">
      <c r="A1014">
        <v>0</v>
      </c>
      <c r="B1014" s="2">
        <v>0</v>
      </c>
      <c r="C1014" s="2">
        <f t="shared" si="15"/>
        <v>0</v>
      </c>
    </row>
  </sheetData>
  <sortState xmlns:xlrd2="http://schemas.microsoft.com/office/spreadsheetml/2017/richdata2" ref="A2:B1014">
    <sortCondition descending="1" ref="B2:B10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vibration_transition_values</vt:lpstr>
      <vt:lpstr>tm_values_raw</vt:lpstr>
      <vt:lpstr>tm_values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2026-03-09T17:14:58Z</dcterms:created>
  <dcterms:modified xsi:type="dcterms:W3CDTF">2026-03-12T17:41:34Z</dcterms:modified>
</cp:coreProperties>
</file>