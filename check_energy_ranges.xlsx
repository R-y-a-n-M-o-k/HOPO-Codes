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Coding Projects\PhD Code\HOPO Codes\"/>
    </mc:Choice>
  </mc:AlternateContent>
  <xr:revisionPtr revIDLastSave="0" documentId="13_ncr:1_{FBF99040-47B2-4520-A68B-5326771F5A1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H6" i="1"/>
  <c r="H5" i="1"/>
  <c r="H4" i="1"/>
  <c r="H3" i="1"/>
  <c r="H2" i="1"/>
  <c r="E4" i="1"/>
  <c r="F2" i="1"/>
  <c r="C3" i="1"/>
  <c r="C2" i="1"/>
</calcChain>
</file>

<file path=xl/sharedStrings.xml><?xml version="1.0" encoding="utf-8"?>
<sst xmlns="http://schemas.openxmlformats.org/spreadsheetml/2006/main" count="14" uniqueCount="14">
  <si>
    <t>r1 (HO-PO)</t>
  </si>
  <si>
    <t>r2 (HOP-O)</t>
  </si>
  <si>
    <t>r3 (H-OPO)</t>
  </si>
  <si>
    <t>alpha (A_OPO)</t>
  </si>
  <si>
    <t>beta (A_POH)</t>
  </si>
  <si>
    <t xml:space="preserve">tau </t>
  </si>
  <si>
    <t xml:space="preserve">ground energy (Hartrees): </t>
  </si>
  <si>
    <t>hartree to cm-1</t>
  </si>
  <si>
    <t>Energy (cm^-1)</t>
  </si>
  <si>
    <t>Hole Points</t>
  </si>
  <si>
    <t xml:space="preserve">apoh </t>
  </si>
  <si>
    <t>Geo-Opt</t>
  </si>
  <si>
    <t>PES Fit</t>
  </si>
  <si>
    <t>(PES Fit - GeoOpt) in cm^-1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</si>
</sst>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Sheet1!$I$2:$I$6</c:f>
              <c:numCache>
                <c:formatCode>General</c:formatCode>
                <c:ptCount val="5"/>
                <c:pt idx="0">
                  <c:v>45</c:v>
                </c:pt>
                <c:pt idx="1">
                  <c:v>35</c:v>
                </c:pt>
                <c:pt idx="2">
                  <c:v>30</c:v>
                </c:pt>
                <c:pt idx="3">
                  <c:v>54</c:v>
                </c:pt>
                <c:pt idx="4">
                  <c:v>65</c:v>
                </c:pt>
              </c:numCache>
            </c:numRef>
          </c:xVal>
          <c:yVal>
            <c:numRef>
              <c:f>Sheet1!$K$2:$K$6</c:f>
              <c:numCache>
                <c:formatCode>General</c:formatCode>
                <c:ptCount val="5"/>
                <c:pt idx="0">
                  <c:v>20210.940874952801</c:v>
                </c:pt>
                <c:pt idx="1">
                  <c:v>46482.337372268797</c:v>
                </c:pt>
                <c:pt idx="2">
                  <c:v>83307.112260890804</c:v>
                </c:pt>
                <c:pt idx="3">
                  <c:v>19271.418262477298</c:v>
                </c:pt>
                <c:pt idx="4">
                  <c:v>26020.508988705296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5D-475C-BBDC-7B78A2EAF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492880"/>
        <c:axId val="405496752"/>
      </c:scatterChart>
      <c:valAx>
        <c:axId val="40549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496752"/>
        <c:crosses val="autoZero"/>
        <c:crossBetween val="midCat"/>
      </c:valAx>
      <c:valAx>
        <c:axId val="40549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49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282575</xdr:colOff>
      <xdr:row>6</xdr:row>
      <xdr:rowOff>44450</xdr:rowOff>
    </xdr:from>
    <xdr:to>
      <xdr:col>9</xdr:col>
      <xdr:colOff>555625</xdr:colOff>
      <xdr:row>21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9DDD62-A5D0-2939-6951-C9A1B3706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topLeftCell="A2" workbookViewId="0">
      <selection activeCell="O2" sqref="O2"/>
    </sheetView>
  </sheetViews>
  <sheetFormatPr defaultRowHeight="14.5" x14ac:dyDescent="0.35"/>
  <cols>
    <col min="1" max="1" width="23.08984375" bestFit="1" customWidth="1"/>
    <col min="2" max="2" width="9.90625" bestFit="1" customWidth="1"/>
    <col min="3" max="3" width="13.36328125" bestFit="1" customWidth="1"/>
    <col min="5" max="5" width="13.1796875" bestFit="1" customWidth="1"/>
    <col min="8" max="8" width="13.453125" style="1" bestFit="1" customWidth="1"/>
    <col min="15" max="15" width="24.54296875" customWidth="1"/>
  </cols>
  <sheetData>
    <row r="1" spans="1:15" x14ac:dyDescent="0.35">
      <c r="B1" t="s">
        <v>0</v>
      </c>
      <c r="C1" t="s">
        <v>8</v>
      </c>
      <c r="E1" t="s">
        <v>3</v>
      </c>
      <c r="H1" s="1" t="s">
        <v>9</v>
      </c>
      <c r="I1" t="s">
        <v>10</v>
      </c>
      <c r="M1" t="s">
        <v>11</v>
      </c>
      <c r="N1" t="s">
        <v>12</v>
      </c>
      <c r="O1" t="s">
        <v>13</v>
      </c>
    </row>
    <row r="2" spans="1:15" x14ac:dyDescent="0.35">
      <c r="B2">
        <v>1.1499999999999999</v>
      </c>
      <c r="C2">
        <f>(-491.67772047-A16)*A18</f>
        <v>52985.739417162353</v>
      </c>
      <c r="E2">
        <v>72</v>
      </c>
      <c r="F2">
        <f>(-491.76894609-A16)*A18</f>
        <v>32964.030096119503</v>
      </c>
      <c r="H2" s="1">
        <f>(-491.82705344-A16)*A18</f>
        <v>20210.94087495283</v>
      </c>
      <c r="I2">
        <v>45</v>
      </c>
      <c r="K2">
        <v>20210.940874952801</v>
      </c>
      <c r="M2">
        <v>-491.91921943479002</v>
      </c>
      <c r="N2">
        <v>-491.91904280928998</v>
      </c>
      <c r="O2">
        <f>(N2-M2)*A18</f>
        <v>38.764816513260527</v>
      </c>
    </row>
    <row r="3" spans="1:15" x14ac:dyDescent="0.35">
      <c r="B3">
        <v>1.2</v>
      </c>
      <c r="C3">
        <f>(-491.76734777-A16)*A18</f>
        <v>33314.820788925223</v>
      </c>
      <c r="H3" s="1">
        <f>(-491.70735215-A16)*A18</f>
        <v>46482.337372268754</v>
      </c>
      <c r="I3">
        <v>35</v>
      </c>
      <c r="K3">
        <v>46482.337372268797</v>
      </c>
    </row>
    <row r="4" spans="1:15" x14ac:dyDescent="0.35">
      <c r="E4">
        <f>(-491.91904281-A16)*A18</f>
        <v>21.607804193558003</v>
      </c>
      <c r="H4" s="1">
        <f>(-491.53956613-A16)*A18</f>
        <v>83307.112260890804</v>
      </c>
      <c r="I4">
        <v>30</v>
      </c>
      <c r="K4">
        <v>83307.112260890804</v>
      </c>
    </row>
    <row r="5" spans="1:15" x14ac:dyDescent="0.35">
      <c r="H5" s="1">
        <f>(-491.83133422-A16)*A18</f>
        <v>19271.418262477306</v>
      </c>
      <c r="I5">
        <v>54</v>
      </c>
      <c r="K5">
        <v>19271.418262477298</v>
      </c>
    </row>
    <row r="6" spans="1:15" x14ac:dyDescent="0.35">
      <c r="H6" s="1">
        <f>(-491.8005831-A16)*A18</f>
        <v>26020.508988705296</v>
      </c>
      <c r="I6">
        <v>65</v>
      </c>
      <c r="K6">
        <v>26020.508988705296</v>
      </c>
    </row>
    <row r="9" spans="1:15" x14ac:dyDescent="0.35">
      <c r="A9" t="s">
        <v>1</v>
      </c>
    </row>
    <row r="10" spans="1:15" x14ac:dyDescent="0.35">
      <c r="A10" t="s">
        <v>2</v>
      </c>
    </row>
    <row r="12" spans="1:15" x14ac:dyDescent="0.35">
      <c r="A12" t="s">
        <v>4</v>
      </c>
    </row>
    <row r="13" spans="1:15" x14ac:dyDescent="0.35">
      <c r="A13" t="s">
        <v>5</v>
      </c>
    </row>
    <row r="15" spans="1:15" x14ac:dyDescent="0.35">
      <c r="A15" t="s">
        <v>6</v>
      </c>
    </row>
    <row r="16" spans="1:15" x14ac:dyDescent="0.35">
      <c r="A16">
        <v>-491.91914126239999</v>
      </c>
    </row>
    <row r="17" spans="1:1" x14ac:dyDescent="0.35">
      <c r="A17" t="s">
        <v>7</v>
      </c>
    </row>
    <row r="18" spans="1:1" x14ac:dyDescent="0.35">
      <c r="A18">
        <v>219474.63137049999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Mok</cp:lastModifiedBy>
  <dcterms:created xsi:type="dcterms:W3CDTF">2015-06-05T18:17:20Z</dcterms:created>
  <dcterms:modified xsi:type="dcterms:W3CDTF">2026-02-02T20:25:02Z</dcterms:modified>
</cp:coreProperties>
</file>