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yanm\OneDrive\Desktop\Research\HOPO-Codes\refine_HOPO_equilibrium\"/>
    </mc:Choice>
  </mc:AlternateContent>
  <xr:revisionPtr revIDLastSave="0" documentId="13_ncr:1_{91517C7A-2F7E-42A0-9AD3-BBE96B5B19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teration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2" i="1"/>
  <c r="H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2" i="1"/>
  <c r="K2" i="1" s="1"/>
  <c r="L2" i="1" l="1"/>
  <c r="J5" i="1" s="1"/>
  <c r="M2" i="1"/>
</calcChain>
</file>

<file path=xl/sharedStrings.xml><?xml version="1.0" encoding="utf-8"?>
<sst xmlns="http://schemas.openxmlformats.org/spreadsheetml/2006/main" count="1315" uniqueCount="20">
  <si>
    <t>J</t>
  </si>
  <si>
    <t>E (obs)</t>
  </si>
  <si>
    <t>E (calc)</t>
  </si>
  <si>
    <t>apoh_pos</t>
  </si>
  <si>
    <t>apoh_neg</t>
  </si>
  <si>
    <t>A'</t>
  </si>
  <si>
    <t>(</t>
  </si>
  <si>
    <t>;</t>
  </si>
  <si>
    <t>)</t>
  </si>
  <si>
    <t>A"</t>
  </si>
  <si>
    <t>E(obs-calc)</t>
  </si>
  <si>
    <t>dE/dx</t>
  </si>
  <si>
    <t>A</t>
  </si>
  <si>
    <t>b</t>
  </si>
  <si>
    <t>A^-1 b</t>
  </si>
  <si>
    <t>leastsqr</t>
  </si>
  <si>
    <t>Damped A</t>
  </si>
  <si>
    <t>damped A^-1</t>
  </si>
  <si>
    <t>original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</si>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</sst>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opLeftCell="A84" workbookViewId="0">
      <selection activeCell="J5" sqref="J5"/>
    </sheetView>
  </sheetViews>
  <sheetFormatPr defaultRowHeight="14.5" x14ac:dyDescent="0.35"/>
  <cols>
    <col min="1" max="1" width="6.08984375" customWidth="1"/>
    <col min="2" max="2" width="11" customWidth="1"/>
    <col min="3" max="3" width="10.81640625" bestFit="1" customWidth="1"/>
    <col min="4" max="4" width="9.08984375" bestFit="1" customWidth="1"/>
    <col min="5" max="6" width="9.81640625" bestFit="1" customWidth="1"/>
    <col min="9" max="9" width="13" customWidth="1"/>
    <col min="10" max="10" width="14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16</v>
      </c>
      <c r="J1" t="s">
        <v>17</v>
      </c>
      <c r="K1" t="s">
        <v>13</v>
      </c>
      <c r="L1" t="s">
        <v>14</v>
      </c>
      <c r="M1" t="s">
        <v>15</v>
      </c>
    </row>
    <row r="2" spans="1:13" x14ac:dyDescent="0.35">
      <c r="A2">
        <v>1</v>
      </c>
      <c r="B2">
        <v>0.57210000000000005</v>
      </c>
      <c r="C2">
        <v>0.57057199999999997</v>
      </c>
      <c r="D2">
        <v>0.57183700000000004</v>
      </c>
      <c r="E2">
        <v>0.57183799999999996</v>
      </c>
      <c r="F2">
        <f>B2-C2</f>
        <v>1.5280000000000848E-3</v>
      </c>
      <c r="G2">
        <f>(D2-E2)/(2*0.002)</f>
        <v>-2.4999999997943334E-4</v>
      </c>
      <c r="H2">
        <f>SUMSQ(G2:G100)</f>
        <v>2.2074750000453267E-2</v>
      </c>
      <c r="I2">
        <f>H2+0.13*12</f>
        <v>1.5820747500004533</v>
      </c>
      <c r="J2">
        <f>1/I2</f>
        <v>0.6320813855348576</v>
      </c>
      <c r="K2">
        <f>SUMPRODUCT(F2:F100,G2:G100)</f>
        <v>0.15038011575145896</v>
      </c>
      <c r="L2">
        <f>J2*K2</f>
        <v>9.5052471921074438E-2</v>
      </c>
      <c r="M2">
        <f>SUMSQ(F2:F100)</f>
        <v>1.7763481794740208</v>
      </c>
    </row>
    <row r="3" spans="1:13" x14ac:dyDescent="0.35">
      <c r="A3">
        <v>1</v>
      </c>
      <c r="B3">
        <v>1.4932000000000001</v>
      </c>
      <c r="C3">
        <v>1.4975419999999999</v>
      </c>
      <c r="D3">
        <v>1.500102</v>
      </c>
      <c r="E3">
        <v>1.500105</v>
      </c>
      <c r="F3">
        <f t="shared" ref="F3:F66" si="0">B3-C3</f>
        <v>-4.341999999999846E-3</v>
      </c>
      <c r="G3">
        <f t="shared" ref="G3:G66" si="1">(D3-E3)/(2*0.002)</f>
        <v>-7.4999999999381117E-4</v>
      </c>
    </row>
    <row r="4" spans="1:13" x14ac:dyDescent="0.35">
      <c r="A4">
        <v>1</v>
      </c>
      <c r="B4">
        <v>1.5575000000000001</v>
      </c>
      <c r="C4">
        <v>1.5623830000000001</v>
      </c>
      <c r="D4">
        <v>1.5637350000000001</v>
      </c>
      <c r="E4">
        <v>1.5637369999999999</v>
      </c>
      <c r="F4">
        <f t="shared" si="0"/>
        <v>-4.8829999999999707E-3</v>
      </c>
      <c r="G4">
        <f t="shared" si="1"/>
        <v>-4.9999999995886668E-4</v>
      </c>
      <c r="I4" t="s">
        <v>18</v>
      </c>
      <c r="J4" t="s">
        <v>19</v>
      </c>
    </row>
    <row r="5" spans="1:13" x14ac:dyDescent="0.35">
      <c r="A5">
        <v>2</v>
      </c>
      <c r="B5">
        <v>1.7129000000000001</v>
      </c>
      <c r="C5">
        <v>1.708421</v>
      </c>
      <c r="D5">
        <v>1.712334</v>
      </c>
      <c r="E5">
        <v>1.7123390000000001</v>
      </c>
      <c r="F5">
        <f t="shared" si="0"/>
        <v>4.4790000000001218E-3</v>
      </c>
      <c r="G5">
        <f t="shared" si="1"/>
        <v>-1.250000000008189E-3</v>
      </c>
      <c r="I5">
        <v>113.09775988</v>
      </c>
      <c r="J5" s="1">
        <f>I5+L2</f>
        <v>113.19281235192108</v>
      </c>
    </row>
    <row r="6" spans="1:13" x14ac:dyDescent="0.35">
      <c r="A6">
        <v>2</v>
      </c>
      <c r="B6">
        <v>2.573</v>
      </c>
      <c r="C6">
        <v>2.5738449999999999</v>
      </c>
      <c r="D6">
        <v>2.5801400000000001</v>
      </c>
      <c r="E6">
        <v>2.5801440000000002</v>
      </c>
      <c r="F6">
        <f t="shared" si="0"/>
        <v>-8.4499999999998465E-4</v>
      </c>
      <c r="G6">
        <f t="shared" si="1"/>
        <v>-1.0000000000287557E-3</v>
      </c>
    </row>
    <row r="7" spans="1:13" x14ac:dyDescent="0.35">
      <c r="A7">
        <v>2</v>
      </c>
      <c r="B7">
        <v>2.7658999999999998</v>
      </c>
      <c r="C7">
        <v>2.76837</v>
      </c>
      <c r="D7">
        <v>2.7710430000000001</v>
      </c>
      <c r="E7">
        <v>2.7710490000000001</v>
      </c>
      <c r="F7">
        <f t="shared" si="0"/>
        <v>-2.4700000000001943E-3</v>
      </c>
      <c r="G7">
        <f t="shared" si="1"/>
        <v>-1.4999999999876223E-3</v>
      </c>
    </row>
    <row r="8" spans="1:13" x14ac:dyDescent="0.35">
      <c r="A8">
        <v>2</v>
      </c>
      <c r="B8">
        <v>5.5289000000000001</v>
      </c>
      <c r="C8">
        <v>5.5490170000000001</v>
      </c>
      <c r="D8">
        <v>5.5555750000000002</v>
      </c>
      <c r="E8">
        <v>5.5555830000000004</v>
      </c>
      <c r="F8">
        <f t="shared" si="0"/>
        <v>-2.011699999999994E-2</v>
      </c>
      <c r="G8">
        <f t="shared" si="1"/>
        <v>-2.0000000000575113E-3</v>
      </c>
    </row>
    <row r="9" spans="1:13" x14ac:dyDescent="0.35">
      <c r="A9">
        <v>2</v>
      </c>
      <c r="B9">
        <v>5.5320999999999998</v>
      </c>
      <c r="C9">
        <v>5.5522989999999997</v>
      </c>
      <c r="D9">
        <v>5.5587330000000001</v>
      </c>
      <c r="E9">
        <v>5.5587410000000004</v>
      </c>
      <c r="F9">
        <f t="shared" si="0"/>
        <v>-2.0198999999999856E-2</v>
      </c>
      <c r="G9">
        <f t="shared" si="1"/>
        <v>-2.0000000000575113E-3</v>
      </c>
    </row>
    <row r="10" spans="1:13" x14ac:dyDescent="0.35">
      <c r="A10">
        <v>3</v>
      </c>
      <c r="B10">
        <v>3.4161999999999999</v>
      </c>
      <c r="C10">
        <v>3.4070140000000002</v>
      </c>
      <c r="D10">
        <v>3.4151940000000001</v>
      </c>
      <c r="E10">
        <v>3.415203</v>
      </c>
      <c r="F10">
        <f t="shared" si="0"/>
        <v>9.1859999999996944E-3</v>
      </c>
      <c r="G10">
        <f t="shared" si="1"/>
        <v>-2.2499999999814335E-3</v>
      </c>
    </row>
    <row r="11" spans="1:13" x14ac:dyDescent="0.35">
      <c r="A11">
        <v>3</v>
      </c>
      <c r="B11">
        <v>4.1906999999999996</v>
      </c>
      <c r="C11">
        <v>4.1862719999999998</v>
      </c>
      <c r="D11">
        <v>4.1982239999999997</v>
      </c>
      <c r="E11">
        <v>4.198232</v>
      </c>
      <c r="F11">
        <f t="shared" si="0"/>
        <v>4.4279999999998765E-3</v>
      </c>
      <c r="G11">
        <f t="shared" si="1"/>
        <v>-2.0000000000575113E-3</v>
      </c>
    </row>
    <row r="12" spans="1:13" x14ac:dyDescent="0.35">
      <c r="A12">
        <v>3</v>
      </c>
      <c r="B12">
        <v>4.5765000000000002</v>
      </c>
      <c r="C12">
        <v>4.5752179999999996</v>
      </c>
      <c r="D12">
        <v>4.579949</v>
      </c>
      <c r="E12">
        <v>4.5799599999999998</v>
      </c>
      <c r="F12">
        <f t="shared" si="0"/>
        <v>1.2820000000006715E-3</v>
      </c>
      <c r="G12">
        <f t="shared" si="1"/>
        <v>-2.7499999999403002E-3</v>
      </c>
    </row>
    <row r="13" spans="1:13" x14ac:dyDescent="0.35">
      <c r="A13">
        <v>3</v>
      </c>
      <c r="B13">
        <v>7.2450999999999999</v>
      </c>
      <c r="C13">
        <v>7.2607670000000004</v>
      </c>
      <c r="D13">
        <v>7.2711170000000003</v>
      </c>
      <c r="E13">
        <v>7.2711290000000002</v>
      </c>
      <c r="F13">
        <f t="shared" si="0"/>
        <v>-1.5667000000000542E-2</v>
      </c>
      <c r="G13">
        <f t="shared" si="1"/>
        <v>-2.9999999999752447E-3</v>
      </c>
    </row>
    <row r="14" spans="1:13" x14ac:dyDescent="0.35">
      <c r="A14">
        <v>3</v>
      </c>
      <c r="B14">
        <v>7.2613000000000003</v>
      </c>
      <c r="C14">
        <v>7.2771249999999998</v>
      </c>
      <c r="D14">
        <v>7.2868560000000002</v>
      </c>
      <c r="E14">
        <v>7.2868690000000003</v>
      </c>
      <c r="F14">
        <f t="shared" si="0"/>
        <v>-1.5824999999999534E-2</v>
      </c>
      <c r="G14">
        <f t="shared" si="1"/>
        <v>-3.2500000000101892E-3</v>
      </c>
    </row>
    <row r="15" spans="1:13" x14ac:dyDescent="0.35">
      <c r="A15">
        <v>3</v>
      </c>
      <c r="B15">
        <v>12.011699999999999</v>
      </c>
      <c r="C15">
        <v>12.058369000000001</v>
      </c>
      <c r="D15">
        <v>12.072094</v>
      </c>
      <c r="E15">
        <v>12.07211</v>
      </c>
      <c r="F15">
        <f t="shared" si="0"/>
        <v>-4.6669000000001404E-2</v>
      </c>
      <c r="G15">
        <f t="shared" si="1"/>
        <v>-4.0000000001150227E-3</v>
      </c>
    </row>
    <row r="16" spans="1:13" x14ac:dyDescent="0.35">
      <c r="A16">
        <v>3</v>
      </c>
      <c r="B16">
        <v>12.011799999999999</v>
      </c>
      <c r="C16">
        <v>12.058472999999999</v>
      </c>
      <c r="D16">
        <v>12.072191999999999</v>
      </c>
      <c r="E16">
        <v>12.072208</v>
      </c>
      <c r="F16">
        <f t="shared" si="0"/>
        <v>-4.6673000000000187E-2</v>
      </c>
      <c r="G16">
        <f t="shared" si="1"/>
        <v>-4.0000000001150227E-3</v>
      </c>
    </row>
    <row r="17" spans="1:7" x14ac:dyDescent="0.35">
      <c r="A17">
        <v>4</v>
      </c>
      <c r="B17">
        <v>5.6722999999999999</v>
      </c>
      <c r="C17">
        <v>5.6568560000000003</v>
      </c>
      <c r="D17">
        <v>5.6712439999999997</v>
      </c>
      <c r="E17">
        <v>5.6712590000000001</v>
      </c>
      <c r="F17">
        <f t="shared" si="0"/>
        <v>1.5443999999999569E-2</v>
      </c>
      <c r="G17">
        <f t="shared" si="1"/>
        <v>-3.7500000000800782E-3</v>
      </c>
    </row>
    <row r="18" spans="1:7" x14ac:dyDescent="0.35">
      <c r="A18">
        <v>4</v>
      </c>
      <c r="B18">
        <v>6.3440000000000003</v>
      </c>
      <c r="C18">
        <v>6.3325319999999996</v>
      </c>
      <c r="D18">
        <v>6.3521260000000002</v>
      </c>
      <c r="E18">
        <v>6.3521390000000002</v>
      </c>
      <c r="F18">
        <f t="shared" si="0"/>
        <v>1.14680000000007E-2</v>
      </c>
      <c r="G18">
        <f t="shared" si="1"/>
        <v>-3.2500000000101892E-3</v>
      </c>
    </row>
    <row r="19" spans="1:7" x14ac:dyDescent="0.35">
      <c r="A19">
        <v>4</v>
      </c>
      <c r="B19">
        <v>6.9866000000000001</v>
      </c>
      <c r="C19">
        <v>6.9802200000000001</v>
      </c>
      <c r="D19">
        <v>6.9878460000000002</v>
      </c>
      <c r="E19">
        <v>6.9878629999999999</v>
      </c>
      <c r="F19">
        <f t="shared" si="0"/>
        <v>6.3800000000000523E-3</v>
      </c>
      <c r="G19">
        <f t="shared" si="1"/>
        <v>-4.2499999999279225E-3</v>
      </c>
    </row>
    <row r="20" spans="1:7" x14ac:dyDescent="0.35">
      <c r="A20">
        <v>4</v>
      </c>
      <c r="B20">
        <v>9.5309000000000008</v>
      </c>
      <c r="C20">
        <v>9.5405010000000008</v>
      </c>
      <c r="D20">
        <v>9.5559849999999997</v>
      </c>
      <c r="E20">
        <v>9.5560030000000005</v>
      </c>
      <c r="F20">
        <f t="shared" si="0"/>
        <v>-9.6009999999999707E-3</v>
      </c>
      <c r="G20">
        <f t="shared" si="1"/>
        <v>-4.5000000001849116E-3</v>
      </c>
    </row>
    <row r="21" spans="1:7" x14ac:dyDescent="0.35">
      <c r="A21">
        <v>4</v>
      </c>
      <c r="B21">
        <v>9.5790000000000006</v>
      </c>
      <c r="C21">
        <v>9.5891850000000005</v>
      </c>
      <c r="D21">
        <v>9.6028500000000001</v>
      </c>
      <c r="E21">
        <v>9.6028680000000008</v>
      </c>
      <c r="F21">
        <f t="shared" si="0"/>
        <v>-1.0184999999999889E-2</v>
      </c>
      <c r="G21">
        <f t="shared" si="1"/>
        <v>-4.5000000001849116E-3</v>
      </c>
    </row>
    <row r="22" spans="1:7" x14ac:dyDescent="0.35">
      <c r="A22">
        <v>4</v>
      </c>
      <c r="B22">
        <v>14.3063</v>
      </c>
      <c r="C22">
        <v>14.347042999999999</v>
      </c>
      <c r="D22">
        <v>14.365589</v>
      </c>
      <c r="E22">
        <v>14.365610999999999</v>
      </c>
      <c r="F22">
        <f t="shared" si="0"/>
        <v>-4.0742999999999086E-2</v>
      </c>
      <c r="G22">
        <f t="shared" si="1"/>
        <v>-5.4999999998806004E-3</v>
      </c>
    </row>
    <row r="23" spans="1:7" x14ac:dyDescent="0.35">
      <c r="A23">
        <v>4</v>
      </c>
      <c r="B23">
        <v>14.307</v>
      </c>
      <c r="C23">
        <v>14.347769</v>
      </c>
      <c r="D23">
        <v>14.366273</v>
      </c>
      <c r="E23">
        <v>14.366294999999999</v>
      </c>
      <c r="F23">
        <f t="shared" si="0"/>
        <v>-4.0768999999999167E-2</v>
      </c>
      <c r="G23">
        <f t="shared" si="1"/>
        <v>-5.4999999998806004E-3</v>
      </c>
    </row>
    <row r="24" spans="1:7" x14ac:dyDescent="0.35">
      <c r="A24">
        <v>4</v>
      </c>
      <c r="B24">
        <v>20.968900000000001</v>
      </c>
      <c r="C24">
        <v>21.053239000000001</v>
      </c>
      <c r="D24">
        <v>21.076813000000001</v>
      </c>
      <c r="E24">
        <v>21.076841000000002</v>
      </c>
      <c r="F24">
        <f t="shared" si="0"/>
        <v>-8.4338999999999942E-2</v>
      </c>
      <c r="G24">
        <f t="shared" si="1"/>
        <v>-7.0000000000902673E-3</v>
      </c>
    </row>
    <row r="25" spans="1:7" x14ac:dyDescent="0.35">
      <c r="A25">
        <v>4</v>
      </c>
      <c r="B25">
        <v>20.968900000000001</v>
      </c>
      <c r="C25">
        <v>21.053242000000001</v>
      </c>
      <c r="D25">
        <v>21.076816000000001</v>
      </c>
      <c r="E25">
        <v>21.076843</v>
      </c>
      <c r="F25">
        <f t="shared" si="0"/>
        <v>-8.4341999999999473E-2</v>
      </c>
      <c r="G25">
        <f t="shared" si="1"/>
        <v>-6.7499999998332783E-3</v>
      </c>
    </row>
    <row r="26" spans="1:7" x14ac:dyDescent="0.35">
      <c r="A26">
        <v>5</v>
      </c>
      <c r="B26">
        <v>8.4696999999999996</v>
      </c>
      <c r="C26">
        <v>8.4462430000000008</v>
      </c>
      <c r="D26">
        <v>8.4691460000000003</v>
      </c>
      <c r="E26">
        <v>8.4691670000000006</v>
      </c>
      <c r="F26">
        <f t="shared" si="0"/>
        <v>2.3456999999998729E-2</v>
      </c>
      <c r="G26">
        <f t="shared" si="1"/>
        <v>-5.2500000000677005E-3</v>
      </c>
    </row>
    <row r="27" spans="1:7" x14ac:dyDescent="0.35">
      <c r="A27">
        <v>5</v>
      </c>
      <c r="B27">
        <v>9.0299999999999994</v>
      </c>
      <c r="C27">
        <v>9.0098020000000005</v>
      </c>
      <c r="D27">
        <v>9.0390940000000004</v>
      </c>
      <c r="E27">
        <v>9.0391139999999996</v>
      </c>
      <c r="F27">
        <f t="shared" si="0"/>
        <v>2.0197999999998828E-2</v>
      </c>
      <c r="G27">
        <f t="shared" si="1"/>
        <v>-4.9999999998107114E-3</v>
      </c>
    </row>
    <row r="28" spans="1:7" x14ac:dyDescent="0.35">
      <c r="A28">
        <v>5</v>
      </c>
      <c r="B28">
        <v>9.9923000000000002</v>
      </c>
      <c r="C28">
        <v>9.9795210000000001</v>
      </c>
      <c r="D28">
        <v>9.9910250000000005</v>
      </c>
      <c r="E28">
        <v>9.9910499999999995</v>
      </c>
      <c r="F28">
        <f t="shared" si="0"/>
        <v>1.2779000000000096E-2</v>
      </c>
      <c r="G28">
        <f t="shared" si="1"/>
        <v>-6.2499999997633893E-3</v>
      </c>
    </row>
    <row r="29" spans="1:7" x14ac:dyDescent="0.35">
      <c r="A29">
        <v>5</v>
      </c>
      <c r="B29">
        <v>12.383900000000001</v>
      </c>
      <c r="C29">
        <v>12.385996</v>
      </c>
      <c r="D29">
        <v>12.408026</v>
      </c>
      <c r="E29">
        <v>12.408051</v>
      </c>
      <c r="F29">
        <f t="shared" si="0"/>
        <v>-2.0959999999998757E-3</v>
      </c>
      <c r="G29">
        <f t="shared" si="1"/>
        <v>-6.2500000002074785E-3</v>
      </c>
    </row>
    <row r="30" spans="1:7" x14ac:dyDescent="0.35">
      <c r="A30">
        <v>5</v>
      </c>
      <c r="B30">
        <v>12.4948</v>
      </c>
      <c r="C30">
        <v>12.497904999999999</v>
      </c>
      <c r="D30">
        <v>12.515826000000001</v>
      </c>
      <c r="E30">
        <v>12.515853</v>
      </c>
      <c r="F30">
        <f t="shared" si="0"/>
        <v>-3.1049999999996913E-3</v>
      </c>
      <c r="G30">
        <f t="shared" si="1"/>
        <v>-6.7499999998332783E-3</v>
      </c>
    </row>
    <row r="31" spans="1:7" x14ac:dyDescent="0.35">
      <c r="A31">
        <v>5</v>
      </c>
      <c r="B31">
        <v>17.1769</v>
      </c>
      <c r="C31">
        <v>17.210208000000002</v>
      </c>
      <c r="D31">
        <v>17.234677999999999</v>
      </c>
      <c r="E31">
        <v>17.234708000000001</v>
      </c>
      <c r="F31">
        <f t="shared" si="0"/>
        <v>-3.330800000000167E-2</v>
      </c>
      <c r="G31">
        <f t="shared" si="1"/>
        <v>-7.5000000006042455E-3</v>
      </c>
    </row>
    <row r="32" spans="1:7" x14ac:dyDescent="0.35">
      <c r="A32">
        <v>5</v>
      </c>
      <c r="B32">
        <v>17.1797</v>
      </c>
      <c r="C32">
        <v>17.213106</v>
      </c>
      <c r="D32">
        <v>17.237410000000001</v>
      </c>
      <c r="E32">
        <v>17.237438999999998</v>
      </c>
      <c r="F32">
        <f t="shared" si="0"/>
        <v>-3.3405999999999381E-2</v>
      </c>
      <c r="G32">
        <f t="shared" si="1"/>
        <v>-7.249999999459078E-3</v>
      </c>
    </row>
    <row r="33" spans="1:7" x14ac:dyDescent="0.35">
      <c r="A33">
        <v>5</v>
      </c>
      <c r="B33">
        <v>23.8367</v>
      </c>
      <c r="C33">
        <v>23.913681</v>
      </c>
      <c r="D33">
        <v>23.943297000000001</v>
      </c>
      <c r="E33">
        <v>23.943332000000002</v>
      </c>
      <c r="F33">
        <f t="shared" si="0"/>
        <v>-7.6980999999999966E-2</v>
      </c>
      <c r="G33">
        <f t="shared" si="1"/>
        <v>-8.7500000001128342E-3</v>
      </c>
    </row>
    <row r="34" spans="1:7" x14ac:dyDescent="0.35">
      <c r="A34">
        <v>5</v>
      </c>
      <c r="B34">
        <v>23.8368</v>
      </c>
      <c r="C34">
        <v>23.913706000000001</v>
      </c>
      <c r="D34">
        <v>23.94332</v>
      </c>
      <c r="E34">
        <v>23.943355</v>
      </c>
      <c r="F34">
        <f t="shared" si="0"/>
        <v>-7.6906000000001029E-2</v>
      </c>
      <c r="G34">
        <f t="shared" si="1"/>
        <v>-8.7500000001128342E-3</v>
      </c>
    </row>
    <row r="35" spans="1:7" x14ac:dyDescent="0.35">
      <c r="A35">
        <v>5</v>
      </c>
      <c r="B35">
        <v>32.3996</v>
      </c>
      <c r="C35">
        <v>32.533183999999999</v>
      </c>
      <c r="D35">
        <v>32.569229</v>
      </c>
      <c r="E35">
        <v>32.569271000000001</v>
      </c>
      <c r="F35">
        <f t="shared" si="0"/>
        <v>-0.13358399999999904</v>
      </c>
      <c r="G35">
        <f t="shared" si="1"/>
        <v>-1.0500000000135401E-2</v>
      </c>
    </row>
    <row r="36" spans="1:7" x14ac:dyDescent="0.35">
      <c r="A36">
        <v>5</v>
      </c>
      <c r="B36">
        <v>32.3996</v>
      </c>
      <c r="C36">
        <v>32.533183999999999</v>
      </c>
      <c r="D36">
        <v>32.569229</v>
      </c>
      <c r="E36">
        <v>32.569271000000001</v>
      </c>
      <c r="F36">
        <f t="shared" si="0"/>
        <v>-0.13358399999999904</v>
      </c>
      <c r="G36">
        <f t="shared" si="1"/>
        <v>-1.0500000000135401E-2</v>
      </c>
    </row>
    <row r="37" spans="1:7" x14ac:dyDescent="0.35">
      <c r="A37">
        <v>6</v>
      </c>
      <c r="B37">
        <v>11.7958</v>
      </c>
      <c r="C37">
        <v>11.762670999999999</v>
      </c>
      <c r="D37">
        <v>11.796711</v>
      </c>
      <c r="E37">
        <v>11.796739000000001</v>
      </c>
      <c r="F37">
        <f t="shared" si="0"/>
        <v>3.312900000000063E-2</v>
      </c>
      <c r="G37">
        <f t="shared" si="1"/>
        <v>-7.0000000000902673E-3</v>
      </c>
    </row>
    <row r="38" spans="1:7" x14ac:dyDescent="0.35">
      <c r="A38">
        <v>6</v>
      </c>
      <c r="B38">
        <v>12.2454</v>
      </c>
      <c r="C38">
        <v>12.214911000000001</v>
      </c>
      <c r="D38">
        <v>12.256031</v>
      </c>
      <c r="E38">
        <v>12.256057999999999</v>
      </c>
      <c r="F38">
        <f t="shared" si="0"/>
        <v>3.0488999999999322E-2</v>
      </c>
      <c r="G38">
        <f t="shared" si="1"/>
        <v>-6.7499999998332783E-3</v>
      </c>
    </row>
    <row r="39" spans="1:7" x14ac:dyDescent="0.35">
      <c r="A39">
        <v>6</v>
      </c>
      <c r="B39">
        <v>13.588699999999999</v>
      </c>
      <c r="C39">
        <v>13.567906000000001</v>
      </c>
      <c r="D39">
        <v>13.584472</v>
      </c>
      <c r="E39">
        <v>13.584507</v>
      </c>
      <c r="F39">
        <f t="shared" si="0"/>
        <v>2.0793999999998647E-2</v>
      </c>
      <c r="G39">
        <f t="shared" si="1"/>
        <v>-8.7500000001128342E-3</v>
      </c>
    </row>
    <row r="40" spans="1:7" x14ac:dyDescent="0.35">
      <c r="A40">
        <v>6</v>
      </c>
      <c r="B40">
        <v>15.801600000000001</v>
      </c>
      <c r="C40">
        <v>15.794495</v>
      </c>
      <c r="D40">
        <v>15.824567</v>
      </c>
      <c r="E40">
        <v>15.824600999999999</v>
      </c>
      <c r="F40">
        <f t="shared" si="0"/>
        <v>7.1050000000010272E-3</v>
      </c>
      <c r="G40">
        <f t="shared" si="1"/>
        <v>-8.4999999998558451E-3</v>
      </c>
    </row>
    <row r="41" spans="1:7" x14ac:dyDescent="0.35">
      <c r="A41">
        <v>6</v>
      </c>
      <c r="B41">
        <v>16.0181</v>
      </c>
      <c r="C41">
        <v>16.012920999999999</v>
      </c>
      <c r="D41">
        <v>16.035181999999999</v>
      </c>
      <c r="E41">
        <v>16.035218</v>
      </c>
      <c r="F41">
        <f t="shared" si="0"/>
        <v>5.179000000001821E-3</v>
      </c>
      <c r="G41">
        <f t="shared" si="1"/>
        <v>-9.0000000003698233E-3</v>
      </c>
    </row>
    <row r="42" spans="1:7" x14ac:dyDescent="0.35">
      <c r="A42">
        <v>6</v>
      </c>
      <c r="B42">
        <v>20.624400000000001</v>
      </c>
      <c r="C42">
        <v>20.648897000000002</v>
      </c>
      <c r="D42">
        <v>20.680357999999998</v>
      </c>
      <c r="E42">
        <v>20.680396000000002</v>
      </c>
      <c r="F42">
        <f t="shared" si="0"/>
        <v>-2.4497000000000213E-2</v>
      </c>
      <c r="G42">
        <f t="shared" si="1"/>
        <v>-9.5000000008838015E-3</v>
      </c>
    </row>
    <row r="43" spans="1:7" x14ac:dyDescent="0.35">
      <c r="A43">
        <v>6</v>
      </c>
      <c r="B43">
        <v>20.632999999999999</v>
      </c>
      <c r="C43">
        <v>20.657547000000001</v>
      </c>
      <c r="D43">
        <v>20.688514999999999</v>
      </c>
      <c r="E43">
        <v>20.688554</v>
      </c>
      <c r="F43">
        <f t="shared" si="0"/>
        <v>-2.4547000000001873E-2</v>
      </c>
      <c r="G43">
        <f t="shared" si="1"/>
        <v>-9.7500000002526122E-3</v>
      </c>
    </row>
    <row r="44" spans="1:7" x14ac:dyDescent="0.35">
      <c r="A44">
        <v>6</v>
      </c>
      <c r="B44">
        <v>27.2804</v>
      </c>
      <c r="C44">
        <v>27.348481</v>
      </c>
      <c r="D44">
        <v>27.385221999999999</v>
      </c>
      <c r="E44">
        <v>27.385266000000001</v>
      </c>
      <c r="F44">
        <f t="shared" si="0"/>
        <v>-6.8080999999999392E-2</v>
      </c>
      <c r="G44">
        <f t="shared" si="1"/>
        <v>-1.1000000000649379E-2</v>
      </c>
    </row>
    <row r="45" spans="1:7" x14ac:dyDescent="0.35">
      <c r="A45">
        <v>6</v>
      </c>
      <c r="B45">
        <v>27.2805</v>
      </c>
      <c r="C45">
        <v>27.348603000000001</v>
      </c>
      <c r="D45">
        <v>27.385334</v>
      </c>
      <c r="E45">
        <v>27.385377999999999</v>
      </c>
      <c r="F45">
        <f t="shared" si="0"/>
        <v>-6.8103000000000691E-2</v>
      </c>
      <c r="G45">
        <f t="shared" si="1"/>
        <v>-1.0999999999761201E-2</v>
      </c>
    </row>
    <row r="46" spans="1:7" x14ac:dyDescent="0.35">
      <c r="A46">
        <v>6</v>
      </c>
      <c r="B46">
        <v>35.840699999999998</v>
      </c>
      <c r="C46">
        <v>35.965398999999998</v>
      </c>
      <c r="D46">
        <v>36.008718000000002</v>
      </c>
      <c r="E46">
        <v>36.008769999999998</v>
      </c>
      <c r="F46">
        <f t="shared" si="0"/>
        <v>-0.12469899999999967</v>
      </c>
      <c r="G46">
        <f t="shared" si="1"/>
        <v>-1.2999999999152578E-2</v>
      </c>
    </row>
    <row r="47" spans="1:7" x14ac:dyDescent="0.35">
      <c r="A47">
        <v>6</v>
      </c>
      <c r="B47">
        <v>35.840699999999998</v>
      </c>
      <c r="C47">
        <v>35.965400000000002</v>
      </c>
      <c r="D47">
        <v>36.008718999999999</v>
      </c>
      <c r="E47">
        <v>36.008769999999998</v>
      </c>
      <c r="F47">
        <f t="shared" si="0"/>
        <v>-0.12470000000000425</v>
      </c>
      <c r="G47">
        <f t="shared" si="1"/>
        <v>-1.2749999999783768E-2</v>
      </c>
    </row>
    <row r="48" spans="1:7" x14ac:dyDescent="0.35">
      <c r="A48">
        <v>6</v>
      </c>
      <c r="B48">
        <v>46.301099999999998</v>
      </c>
      <c r="C48">
        <v>46.495845000000003</v>
      </c>
      <c r="D48">
        <v>46.546965</v>
      </c>
      <c r="E48">
        <v>46.547024999999998</v>
      </c>
      <c r="F48">
        <f t="shared" si="0"/>
        <v>-0.19474500000000461</v>
      </c>
      <c r="G48">
        <f t="shared" si="1"/>
        <v>-1.4999999999432134E-2</v>
      </c>
    </row>
    <row r="49" spans="1:7" x14ac:dyDescent="0.35">
      <c r="A49">
        <v>6</v>
      </c>
      <c r="B49">
        <v>46.301099999999998</v>
      </c>
      <c r="C49">
        <v>46.495845000000003</v>
      </c>
      <c r="D49">
        <v>46.546965</v>
      </c>
      <c r="E49">
        <v>46.547024999999998</v>
      </c>
      <c r="F49">
        <f t="shared" si="0"/>
        <v>-0.19474500000000461</v>
      </c>
      <c r="G49">
        <f t="shared" si="1"/>
        <v>-1.4999999999432134E-2</v>
      </c>
    </row>
    <row r="50" spans="1:7" x14ac:dyDescent="0.35">
      <c r="A50">
        <v>7</v>
      </c>
      <c r="B50">
        <v>15.639200000000001</v>
      </c>
      <c r="C50">
        <v>15.594702</v>
      </c>
      <c r="D50">
        <v>15.642677000000001</v>
      </c>
      <c r="E50">
        <v>15.642715000000001</v>
      </c>
      <c r="F50">
        <f t="shared" si="0"/>
        <v>4.4498000000000815E-2</v>
      </c>
      <c r="G50">
        <f t="shared" si="1"/>
        <v>-9.4999999999956231E-3</v>
      </c>
    </row>
    <row r="51" spans="1:7" x14ac:dyDescent="0.35">
      <c r="A51">
        <v>7</v>
      </c>
      <c r="B51">
        <v>15.9869</v>
      </c>
      <c r="C51">
        <v>15.944528</v>
      </c>
      <c r="D51">
        <v>15.999677999999999</v>
      </c>
      <c r="E51">
        <v>15.999714000000001</v>
      </c>
      <c r="F51">
        <f t="shared" si="0"/>
        <v>4.2372000000000298E-2</v>
      </c>
      <c r="G51">
        <f t="shared" si="1"/>
        <v>-9.0000000003698233E-3</v>
      </c>
    </row>
    <row r="52" spans="1:7" x14ac:dyDescent="0.35">
      <c r="A52">
        <v>7</v>
      </c>
      <c r="B52">
        <v>17.768999999999998</v>
      </c>
      <c r="C52">
        <v>17.738555000000002</v>
      </c>
      <c r="D52">
        <v>17.761641999999998</v>
      </c>
      <c r="E52">
        <v>17.761689000000001</v>
      </c>
      <c r="F52">
        <f t="shared" si="0"/>
        <v>3.0444999999996725E-2</v>
      </c>
      <c r="G52">
        <f t="shared" si="1"/>
        <v>-1.1750000000532168E-2</v>
      </c>
    </row>
    <row r="53" spans="1:7" x14ac:dyDescent="0.35">
      <c r="A53">
        <v>7</v>
      </c>
      <c r="B53">
        <v>19.7805</v>
      </c>
      <c r="C53">
        <v>19.762725</v>
      </c>
      <c r="D53">
        <v>19.802434999999999</v>
      </c>
      <c r="E53">
        <v>19.802479000000002</v>
      </c>
      <c r="F53">
        <f t="shared" si="0"/>
        <v>1.7775000000000318E-2</v>
      </c>
      <c r="G53">
        <f t="shared" si="1"/>
        <v>-1.1000000000649379E-2</v>
      </c>
    </row>
    <row r="54" spans="1:7" x14ac:dyDescent="0.35">
      <c r="A54">
        <v>7</v>
      </c>
      <c r="B54">
        <v>20.157</v>
      </c>
      <c r="C54">
        <v>20.142199000000002</v>
      </c>
      <c r="D54">
        <v>20.168804999999999</v>
      </c>
      <c r="E54">
        <v>20.168852999999999</v>
      </c>
      <c r="F54">
        <f t="shared" si="0"/>
        <v>1.480099999999851E-2</v>
      </c>
      <c r="G54">
        <f t="shared" si="1"/>
        <v>-1.1999999999900979E-2</v>
      </c>
    </row>
    <row r="55" spans="1:7" x14ac:dyDescent="0.35">
      <c r="A55">
        <v>7</v>
      </c>
      <c r="B55">
        <v>24.649799999999999</v>
      </c>
      <c r="C55">
        <v>24.663875000000001</v>
      </c>
      <c r="D55">
        <v>24.703381</v>
      </c>
      <c r="E55">
        <v>24.703430000000001</v>
      </c>
      <c r="F55">
        <f t="shared" si="0"/>
        <v>-1.4075000000001836E-2</v>
      </c>
      <c r="G55">
        <f t="shared" si="1"/>
        <v>-1.2250000000157968E-2</v>
      </c>
    </row>
    <row r="56" spans="1:7" x14ac:dyDescent="0.35">
      <c r="A56">
        <v>7</v>
      </c>
      <c r="B56">
        <v>24.670999999999999</v>
      </c>
      <c r="C56">
        <v>24.685331000000001</v>
      </c>
      <c r="D56">
        <v>24.723624999999998</v>
      </c>
      <c r="E56">
        <v>24.723673999999999</v>
      </c>
      <c r="F56">
        <f t="shared" si="0"/>
        <v>-1.4331000000002092E-2</v>
      </c>
      <c r="G56">
        <f t="shared" si="1"/>
        <v>-1.2250000000157968E-2</v>
      </c>
    </row>
    <row r="57" spans="1:7" x14ac:dyDescent="0.35">
      <c r="A57">
        <v>7</v>
      </c>
      <c r="B57">
        <v>31.301100000000002</v>
      </c>
      <c r="C57">
        <v>31.358830999999999</v>
      </c>
      <c r="D57">
        <v>31.403724</v>
      </c>
      <c r="E57">
        <v>31.403777999999999</v>
      </c>
      <c r="F57">
        <f t="shared" si="0"/>
        <v>-5.7730999999996868E-2</v>
      </c>
      <c r="G57">
        <f t="shared" si="1"/>
        <v>-1.3499999999666557E-2</v>
      </c>
    </row>
    <row r="58" spans="1:7" x14ac:dyDescent="0.35">
      <c r="A58">
        <v>7</v>
      </c>
      <c r="B58">
        <v>31.301600000000001</v>
      </c>
      <c r="C58">
        <v>31.359278</v>
      </c>
      <c r="D58">
        <v>31.404136000000001</v>
      </c>
      <c r="E58">
        <v>31.40419</v>
      </c>
      <c r="F58">
        <f t="shared" si="0"/>
        <v>-5.767799999999923E-2</v>
      </c>
      <c r="G58">
        <f t="shared" si="1"/>
        <v>-1.3499999999666557E-2</v>
      </c>
    </row>
    <row r="59" spans="1:7" x14ac:dyDescent="0.35">
      <c r="A59">
        <v>7</v>
      </c>
      <c r="B59">
        <v>39.857300000000002</v>
      </c>
      <c r="C59">
        <v>39.971577000000003</v>
      </c>
      <c r="D59">
        <v>40.023257999999998</v>
      </c>
      <c r="E59">
        <v>40.023319000000001</v>
      </c>
      <c r="F59">
        <f t="shared" si="0"/>
        <v>-0.11427700000000129</v>
      </c>
      <c r="G59">
        <f t="shared" si="1"/>
        <v>-1.5250000000577302E-2</v>
      </c>
    </row>
    <row r="60" spans="1:7" x14ac:dyDescent="0.35">
      <c r="A60">
        <v>7</v>
      </c>
      <c r="B60">
        <v>39.857300000000002</v>
      </c>
      <c r="C60">
        <v>39.971581</v>
      </c>
      <c r="D60">
        <v>40.023260999999998</v>
      </c>
      <c r="E60">
        <v>40.023322999999998</v>
      </c>
      <c r="F60">
        <f t="shared" si="0"/>
        <v>-0.1142809999999983</v>
      </c>
      <c r="G60">
        <f t="shared" si="1"/>
        <v>-1.5499999999946112E-2</v>
      </c>
    </row>
    <row r="61" spans="1:7" x14ac:dyDescent="0.35">
      <c r="A61">
        <v>7</v>
      </c>
      <c r="B61">
        <v>50.3157</v>
      </c>
      <c r="C61">
        <v>50.500031</v>
      </c>
      <c r="D61">
        <v>50.559663</v>
      </c>
      <c r="E61">
        <v>50.559733999999999</v>
      </c>
      <c r="F61">
        <f t="shared" si="0"/>
        <v>-0.18433100000000024</v>
      </c>
      <c r="G61">
        <f t="shared" si="1"/>
        <v>-1.7749999999594479E-2</v>
      </c>
    </row>
    <row r="62" spans="1:7" x14ac:dyDescent="0.35">
      <c r="A62">
        <v>7</v>
      </c>
      <c r="B62">
        <v>50.3157</v>
      </c>
      <c r="C62">
        <v>50.500031</v>
      </c>
      <c r="D62">
        <v>50.559663</v>
      </c>
      <c r="E62">
        <v>50.559733999999999</v>
      </c>
      <c r="F62">
        <f t="shared" si="0"/>
        <v>-0.18433100000000024</v>
      </c>
      <c r="G62">
        <f t="shared" si="1"/>
        <v>-1.7749999999594479E-2</v>
      </c>
    </row>
    <row r="63" spans="1:7" x14ac:dyDescent="0.35">
      <c r="A63">
        <v>7</v>
      </c>
      <c r="B63">
        <v>62.67</v>
      </c>
      <c r="C63">
        <v>62.938299999999998</v>
      </c>
      <c r="D63">
        <v>63.007086000000001</v>
      </c>
      <c r="E63">
        <v>63.007167000000003</v>
      </c>
      <c r="F63">
        <f t="shared" si="0"/>
        <v>-0.26829999999999643</v>
      </c>
      <c r="G63">
        <f t="shared" si="1"/>
        <v>-2.0250000000388013E-2</v>
      </c>
    </row>
    <row r="64" spans="1:7" x14ac:dyDescent="0.35">
      <c r="A64">
        <v>7</v>
      </c>
      <c r="B64">
        <v>62.67</v>
      </c>
      <c r="C64">
        <v>62.938299999999998</v>
      </c>
      <c r="D64">
        <v>63.007086000000001</v>
      </c>
      <c r="E64">
        <v>63.007167000000003</v>
      </c>
      <c r="F64">
        <f t="shared" si="0"/>
        <v>-0.26829999999999643</v>
      </c>
      <c r="G64">
        <f t="shared" si="1"/>
        <v>-2.0250000000388013E-2</v>
      </c>
    </row>
    <row r="65" spans="1:7" x14ac:dyDescent="0.35">
      <c r="A65">
        <v>8</v>
      </c>
      <c r="B65">
        <v>19.991</v>
      </c>
      <c r="C65">
        <v>19.933582000000001</v>
      </c>
      <c r="D65">
        <v>19.998311999999999</v>
      </c>
      <c r="E65">
        <v>19.998359000000001</v>
      </c>
      <c r="F65">
        <f t="shared" si="0"/>
        <v>5.7417999999998415E-2</v>
      </c>
      <c r="G65">
        <f t="shared" si="1"/>
        <v>-1.1750000000532168E-2</v>
      </c>
    </row>
    <row r="66" spans="1:7" x14ac:dyDescent="0.35">
      <c r="A66">
        <v>8</v>
      </c>
      <c r="B66">
        <v>20.251000000000001</v>
      </c>
      <c r="C66">
        <v>20.195360000000001</v>
      </c>
      <c r="D66">
        <v>20.266819999999999</v>
      </c>
      <c r="E66">
        <v>20.266866</v>
      </c>
      <c r="F66">
        <f t="shared" si="0"/>
        <v>5.5640000000000356E-2</v>
      </c>
      <c r="G66">
        <f t="shared" si="1"/>
        <v>-1.1500000000275179E-2</v>
      </c>
    </row>
    <row r="67" spans="1:7" x14ac:dyDescent="0.35">
      <c r="A67">
        <v>8</v>
      </c>
      <c r="B67">
        <v>22.5245</v>
      </c>
      <c r="C67">
        <v>22.482821000000001</v>
      </c>
      <c r="D67">
        <v>22.514234999999999</v>
      </c>
      <c r="E67">
        <v>22.514294</v>
      </c>
      <c r="F67">
        <f t="shared" ref="F67:F100" si="2">B67-C67</f>
        <v>4.1678999999998467E-2</v>
      </c>
      <c r="G67">
        <f t="shared" ref="G67:G100" si="3">(D67-E67)/(2*0.002)</f>
        <v>-1.4750000000063324E-2</v>
      </c>
    </row>
    <row r="68" spans="1:7" x14ac:dyDescent="0.35">
      <c r="A68">
        <v>8</v>
      </c>
      <c r="B68">
        <v>24.317</v>
      </c>
      <c r="C68">
        <v>24.286943000000001</v>
      </c>
      <c r="D68">
        <v>24.338006</v>
      </c>
      <c r="E68">
        <v>24.338061</v>
      </c>
      <c r="F68">
        <f t="shared" si="2"/>
        <v>3.0056999999999334E-2</v>
      </c>
      <c r="G68">
        <f t="shared" si="3"/>
        <v>-1.3749999999923546E-2</v>
      </c>
    </row>
    <row r="69" spans="1:7" x14ac:dyDescent="0.35">
      <c r="A69">
        <v>8</v>
      </c>
      <c r="B69">
        <v>24.9162</v>
      </c>
      <c r="C69">
        <v>24.890353000000001</v>
      </c>
      <c r="D69">
        <v>24.921441000000002</v>
      </c>
      <c r="E69">
        <v>24.921502</v>
      </c>
      <c r="F69">
        <f t="shared" si="2"/>
        <v>2.5846999999998843E-2</v>
      </c>
      <c r="G69">
        <f t="shared" si="3"/>
        <v>-1.5249999999689123E-2</v>
      </c>
    </row>
    <row r="70" spans="1:7" x14ac:dyDescent="0.35">
      <c r="A70">
        <v>8</v>
      </c>
      <c r="B70">
        <v>29.2532</v>
      </c>
      <c r="C70">
        <v>29.255462999999999</v>
      </c>
      <c r="D70">
        <v>29.304084</v>
      </c>
      <c r="E70">
        <v>29.304144999999998</v>
      </c>
      <c r="F70">
        <f t="shared" si="2"/>
        <v>-2.2629999999992378E-3</v>
      </c>
      <c r="G70">
        <f t="shared" si="3"/>
        <v>-1.5249999999689123E-2</v>
      </c>
    </row>
    <row r="71" spans="1:7" x14ac:dyDescent="0.35">
      <c r="A71">
        <v>8</v>
      </c>
      <c r="B71">
        <v>29.299399999999999</v>
      </c>
      <c r="C71">
        <v>29.302097</v>
      </c>
      <c r="D71">
        <v>29.348122</v>
      </c>
      <c r="E71">
        <v>29.348184</v>
      </c>
      <c r="F71">
        <f t="shared" si="2"/>
        <v>-2.6970000000012817E-3</v>
      </c>
      <c r="G71">
        <f t="shared" si="3"/>
        <v>-1.5499999999946112E-2</v>
      </c>
    </row>
    <row r="72" spans="1:7" x14ac:dyDescent="0.35">
      <c r="A72">
        <v>8</v>
      </c>
      <c r="B72">
        <v>35.900199999999998</v>
      </c>
      <c r="C72">
        <v>35.946060000000003</v>
      </c>
      <c r="D72">
        <v>36.000078000000002</v>
      </c>
      <c r="E72">
        <v>36.000143999999999</v>
      </c>
      <c r="F72">
        <f t="shared" si="2"/>
        <v>-4.5860000000004675E-2</v>
      </c>
      <c r="G72">
        <f t="shared" si="3"/>
        <v>-1.6499999999197712E-2</v>
      </c>
    </row>
    <row r="73" spans="1:7" x14ac:dyDescent="0.35">
      <c r="A73">
        <v>8</v>
      </c>
      <c r="B73">
        <v>35.901499999999999</v>
      </c>
      <c r="C73">
        <v>35.947395999999998</v>
      </c>
      <c r="D73">
        <v>36.001309999999997</v>
      </c>
      <c r="E73">
        <v>36.001376999999998</v>
      </c>
      <c r="F73">
        <f t="shared" si="2"/>
        <v>-4.5895999999999049E-2</v>
      </c>
      <c r="G73">
        <f t="shared" si="3"/>
        <v>-1.675000000034288E-2</v>
      </c>
    </row>
    <row r="74" spans="1:7" x14ac:dyDescent="0.35">
      <c r="A74">
        <v>8</v>
      </c>
      <c r="B74">
        <v>44.450099999999999</v>
      </c>
      <c r="C74">
        <v>44.552615000000003</v>
      </c>
      <c r="D74">
        <v>44.613697000000002</v>
      </c>
      <c r="E74">
        <v>44.613770000000002</v>
      </c>
      <c r="F74">
        <f t="shared" si="2"/>
        <v>-0.10251500000000391</v>
      </c>
      <c r="G74">
        <f t="shared" si="3"/>
        <v>-1.8250000000108457E-2</v>
      </c>
    </row>
    <row r="75" spans="1:7" x14ac:dyDescent="0.35">
      <c r="A75">
        <v>8</v>
      </c>
      <c r="B75">
        <v>44.450099999999999</v>
      </c>
      <c r="C75">
        <v>44.552633</v>
      </c>
      <c r="D75">
        <v>44.613712999999997</v>
      </c>
      <c r="E75">
        <v>44.613787000000002</v>
      </c>
      <c r="F75">
        <f t="shared" si="2"/>
        <v>-0.1025330000000011</v>
      </c>
      <c r="G75">
        <f t="shared" si="3"/>
        <v>-1.8500000001253625E-2</v>
      </c>
    </row>
    <row r="76" spans="1:7" x14ac:dyDescent="0.35">
      <c r="A76">
        <v>8</v>
      </c>
      <c r="B76">
        <v>54.9054</v>
      </c>
      <c r="C76">
        <v>55.077927000000003</v>
      </c>
      <c r="D76">
        <v>55.147157999999997</v>
      </c>
      <c r="E76">
        <v>55.147241000000001</v>
      </c>
      <c r="F76">
        <f t="shared" si="2"/>
        <v>-0.17252700000000232</v>
      </c>
      <c r="G76">
        <f t="shared" si="3"/>
        <v>-2.0750000000901991E-2</v>
      </c>
    </row>
    <row r="77" spans="1:7" x14ac:dyDescent="0.35">
      <c r="A77">
        <v>8</v>
      </c>
      <c r="B77">
        <v>54.9054</v>
      </c>
      <c r="C77">
        <v>55.077927000000003</v>
      </c>
      <c r="D77">
        <v>55.147159000000002</v>
      </c>
      <c r="E77">
        <v>55.147241000000001</v>
      </c>
      <c r="F77">
        <f t="shared" si="2"/>
        <v>-0.17252700000000232</v>
      </c>
      <c r="G77">
        <f t="shared" si="3"/>
        <v>-2.0499999999756824E-2</v>
      </c>
    </row>
    <row r="78" spans="1:7" x14ac:dyDescent="0.35">
      <c r="A78">
        <v>8</v>
      </c>
      <c r="B78">
        <v>67.258099999999999</v>
      </c>
      <c r="C78">
        <v>67.514656000000002</v>
      </c>
      <c r="D78">
        <v>67.593198999999998</v>
      </c>
      <c r="E78">
        <v>67.593292000000005</v>
      </c>
      <c r="F78">
        <f t="shared" si="2"/>
        <v>-0.25655600000000334</v>
      </c>
      <c r="G78">
        <f t="shared" si="3"/>
        <v>-2.3250000001695525E-2</v>
      </c>
    </row>
    <row r="79" spans="1:7" x14ac:dyDescent="0.35">
      <c r="A79">
        <v>8</v>
      </c>
      <c r="B79">
        <v>67.258099999999999</v>
      </c>
      <c r="C79">
        <v>67.514656000000002</v>
      </c>
      <c r="D79">
        <v>67.593198999999998</v>
      </c>
      <c r="E79">
        <v>67.593292000000005</v>
      </c>
      <c r="F79">
        <f t="shared" si="2"/>
        <v>-0.25655600000000334</v>
      </c>
      <c r="G79">
        <f t="shared" si="3"/>
        <v>-2.3250000001695525E-2</v>
      </c>
    </row>
    <row r="80" spans="1:7" x14ac:dyDescent="0.35">
      <c r="A80">
        <v>8</v>
      </c>
      <c r="B80">
        <v>81.501999999999995</v>
      </c>
      <c r="C80">
        <v>81.857111000000003</v>
      </c>
      <c r="D80">
        <v>81.946141999999995</v>
      </c>
      <c r="E80">
        <v>81.946247999999997</v>
      </c>
      <c r="F80">
        <f t="shared" si="2"/>
        <v>-0.35511100000000795</v>
      </c>
      <c r="G80">
        <f t="shared" si="3"/>
        <v>-2.6500000000595492E-2</v>
      </c>
    </row>
    <row r="81" spans="1:7" x14ac:dyDescent="0.35">
      <c r="A81">
        <v>8</v>
      </c>
      <c r="B81">
        <v>81.501999999999995</v>
      </c>
      <c r="C81">
        <v>81.857111000000003</v>
      </c>
      <c r="D81">
        <v>81.946141999999995</v>
      </c>
      <c r="E81">
        <v>81.946247999999997</v>
      </c>
      <c r="F81">
        <f t="shared" si="2"/>
        <v>-0.35511100000000795</v>
      </c>
      <c r="G81">
        <f t="shared" si="3"/>
        <v>-2.6500000000595492E-2</v>
      </c>
    </row>
    <row r="82" spans="1:7" x14ac:dyDescent="0.35">
      <c r="A82">
        <v>9</v>
      </c>
      <c r="B82">
        <v>24.845500000000001</v>
      </c>
      <c r="C82">
        <v>24.773952999999999</v>
      </c>
      <c r="D82">
        <v>24.858163999999999</v>
      </c>
      <c r="E82">
        <v>24.858222000000001</v>
      </c>
      <c r="F82">
        <f t="shared" si="2"/>
        <v>7.154700000000247E-2</v>
      </c>
      <c r="G82">
        <f t="shared" si="3"/>
        <v>-1.4500000000694513E-2</v>
      </c>
    </row>
    <row r="83" spans="1:7" x14ac:dyDescent="0.35">
      <c r="A83">
        <v>9</v>
      </c>
      <c r="B83">
        <v>25.034300000000002</v>
      </c>
      <c r="C83">
        <v>24.964320000000001</v>
      </c>
      <c r="D83">
        <v>25.054452999999999</v>
      </c>
      <c r="E83">
        <v>25.054510000000001</v>
      </c>
      <c r="F83">
        <f t="shared" si="2"/>
        <v>6.9980000000001041E-2</v>
      </c>
      <c r="G83">
        <f t="shared" si="3"/>
        <v>-1.4250000000437524E-2</v>
      </c>
    </row>
    <row r="84" spans="1:7" x14ac:dyDescent="0.35">
      <c r="A84">
        <v>9</v>
      </c>
      <c r="B84">
        <v>27.844799999999999</v>
      </c>
      <c r="C84">
        <v>27.790109000000001</v>
      </c>
      <c r="D84">
        <v>27.832077000000002</v>
      </c>
      <c r="E84">
        <v>27.832149000000001</v>
      </c>
      <c r="F84">
        <f t="shared" si="2"/>
        <v>5.4690999999998269E-2</v>
      </c>
      <c r="G84">
        <f t="shared" si="3"/>
        <v>-1.7999999999851468E-2</v>
      </c>
    </row>
    <row r="85" spans="1:7" x14ac:dyDescent="0.35">
      <c r="A85">
        <v>9</v>
      </c>
      <c r="B85">
        <v>29.4069</v>
      </c>
      <c r="C85">
        <v>29.362995000000002</v>
      </c>
      <c r="D85">
        <v>29.427257999999998</v>
      </c>
      <c r="E85">
        <v>29.427326000000001</v>
      </c>
      <c r="F85">
        <f t="shared" si="2"/>
        <v>4.3904999999998751E-2</v>
      </c>
      <c r="G85">
        <f t="shared" si="3"/>
        <v>-1.7000000000599869E-2</v>
      </c>
    </row>
    <row r="86" spans="1:7" x14ac:dyDescent="0.35">
      <c r="A86">
        <v>9</v>
      </c>
      <c r="B86">
        <v>30.296399999999998</v>
      </c>
      <c r="C86">
        <v>30.25787</v>
      </c>
      <c r="D86">
        <v>30.293876000000001</v>
      </c>
      <c r="E86">
        <v>30.293952000000001</v>
      </c>
      <c r="F86">
        <f t="shared" si="2"/>
        <v>3.8529999999997955E-2</v>
      </c>
      <c r="G86">
        <f t="shared" si="3"/>
        <v>-1.8999999999991246E-2</v>
      </c>
    </row>
    <row r="87" spans="1:7" x14ac:dyDescent="0.35">
      <c r="A87">
        <v>9</v>
      </c>
      <c r="B87">
        <v>34.4345</v>
      </c>
      <c r="C87">
        <v>34.423371000000003</v>
      </c>
      <c r="D87">
        <v>34.482236</v>
      </c>
      <c r="E87">
        <v>34.482311000000003</v>
      </c>
      <c r="F87">
        <f t="shared" si="2"/>
        <v>1.1128999999996836E-2</v>
      </c>
      <c r="G87">
        <f t="shared" si="3"/>
        <v>-1.8750000000622435E-2</v>
      </c>
    </row>
    <row r="88" spans="1:7" x14ac:dyDescent="0.35">
      <c r="A88">
        <v>9</v>
      </c>
      <c r="B88">
        <v>34.525500000000001</v>
      </c>
      <c r="C88">
        <v>34.515005000000002</v>
      </c>
      <c r="D88">
        <v>34.568860000000001</v>
      </c>
      <c r="E88">
        <v>34.568936000000001</v>
      </c>
      <c r="F88">
        <f t="shared" si="2"/>
        <v>1.0494999999998811E-2</v>
      </c>
      <c r="G88">
        <f t="shared" si="3"/>
        <v>-1.8999999999991246E-2</v>
      </c>
    </row>
    <row r="89" spans="1:7" x14ac:dyDescent="0.35">
      <c r="A89">
        <v>9</v>
      </c>
      <c r="B89">
        <v>41.079000000000001</v>
      </c>
      <c r="C89">
        <v>41.111573999999997</v>
      </c>
      <c r="D89">
        <v>41.175646999999998</v>
      </c>
      <c r="E89">
        <v>41.175727000000002</v>
      </c>
      <c r="F89">
        <f t="shared" si="2"/>
        <v>-3.2573999999996772E-2</v>
      </c>
      <c r="G89">
        <f t="shared" si="3"/>
        <v>-2.0000000001019203E-2</v>
      </c>
    </row>
    <row r="90" spans="1:7" x14ac:dyDescent="0.35">
      <c r="A90">
        <v>9</v>
      </c>
      <c r="B90">
        <v>41.0824</v>
      </c>
      <c r="C90">
        <v>41.115028000000002</v>
      </c>
      <c r="D90">
        <v>41.178834999999999</v>
      </c>
      <c r="E90">
        <v>41.178916000000001</v>
      </c>
      <c r="F90">
        <f t="shared" si="2"/>
        <v>-3.2628000000002544E-2</v>
      </c>
      <c r="G90">
        <f t="shared" si="3"/>
        <v>-2.0250000000388013E-2</v>
      </c>
    </row>
    <row r="91" spans="1:7" x14ac:dyDescent="0.35">
      <c r="A91">
        <v>9</v>
      </c>
      <c r="B91">
        <v>49.620399999999997</v>
      </c>
      <c r="C91">
        <v>49.709538999999999</v>
      </c>
      <c r="D91">
        <v>49.781019999999998</v>
      </c>
      <c r="E91">
        <v>49.781106999999999</v>
      </c>
      <c r="F91">
        <f t="shared" si="2"/>
        <v>-8.9139000000002966E-2</v>
      </c>
      <c r="G91">
        <f t="shared" si="3"/>
        <v>-2.1750000000153591E-2</v>
      </c>
    </row>
    <row r="92" spans="1:7" x14ac:dyDescent="0.35">
      <c r="A92">
        <v>9</v>
      </c>
      <c r="B92">
        <v>49.620399999999997</v>
      </c>
      <c r="C92">
        <v>49.709603000000001</v>
      </c>
      <c r="D92">
        <v>49.781078000000001</v>
      </c>
      <c r="E92">
        <v>49.781165000000001</v>
      </c>
      <c r="F92">
        <f t="shared" si="2"/>
        <v>-8.9203000000004806E-2</v>
      </c>
      <c r="G92">
        <f t="shared" si="3"/>
        <v>-2.1750000000153591E-2</v>
      </c>
    </row>
    <row r="93" spans="1:7" x14ac:dyDescent="0.35">
      <c r="A93">
        <v>9</v>
      </c>
      <c r="B93">
        <v>60.070999999999998</v>
      </c>
      <c r="C93">
        <v>60.230218000000001</v>
      </c>
      <c r="D93">
        <v>60.310101000000003</v>
      </c>
      <c r="E93">
        <v>60.310197000000002</v>
      </c>
      <c r="F93">
        <f t="shared" si="2"/>
        <v>-0.15921800000000275</v>
      </c>
      <c r="G93">
        <f t="shared" si="3"/>
        <v>-2.3999999999801958E-2</v>
      </c>
    </row>
    <row r="94" spans="1:7" x14ac:dyDescent="0.35">
      <c r="A94">
        <v>9</v>
      </c>
      <c r="B94">
        <v>60.070999999999998</v>
      </c>
      <c r="C94">
        <v>60.230218999999998</v>
      </c>
      <c r="D94">
        <v>60.310102000000001</v>
      </c>
      <c r="E94">
        <v>60.310198</v>
      </c>
      <c r="F94">
        <f t="shared" si="2"/>
        <v>-0.15921900000000022</v>
      </c>
      <c r="G94">
        <f t="shared" si="3"/>
        <v>-2.3999999999801958E-2</v>
      </c>
    </row>
    <row r="95" spans="1:7" x14ac:dyDescent="0.35">
      <c r="A95">
        <v>9</v>
      </c>
      <c r="B95">
        <v>72.421300000000002</v>
      </c>
      <c r="C95">
        <v>72.664556000000005</v>
      </c>
      <c r="D95">
        <v>72.753943000000007</v>
      </c>
      <c r="E95">
        <v>72.754050000000007</v>
      </c>
      <c r="F95">
        <f t="shared" si="2"/>
        <v>-0.24325600000000236</v>
      </c>
      <c r="G95">
        <f t="shared" si="3"/>
        <v>-2.6749999999964302E-2</v>
      </c>
    </row>
    <row r="96" spans="1:7" x14ac:dyDescent="0.35">
      <c r="A96">
        <v>9</v>
      </c>
      <c r="B96">
        <v>72.421300000000002</v>
      </c>
      <c r="C96">
        <v>72.664556000000005</v>
      </c>
      <c r="D96">
        <v>72.753943000000007</v>
      </c>
      <c r="E96">
        <v>72.754050000000007</v>
      </c>
      <c r="F96">
        <f t="shared" si="2"/>
        <v>-0.24325600000000236</v>
      </c>
      <c r="G96">
        <f t="shared" si="3"/>
        <v>-2.6749999999964302E-2</v>
      </c>
    </row>
    <row r="97" spans="1:7" x14ac:dyDescent="0.35">
      <c r="A97">
        <v>9</v>
      </c>
      <c r="B97">
        <v>86.664000000000001</v>
      </c>
      <c r="C97">
        <v>87.005844999999994</v>
      </c>
      <c r="D97">
        <v>87.105890000000002</v>
      </c>
      <c r="E97">
        <v>87.106009</v>
      </c>
      <c r="F97">
        <f t="shared" si="2"/>
        <v>-0.34184499999999218</v>
      </c>
      <c r="G97">
        <f t="shared" si="3"/>
        <v>-2.9749999999495458E-2</v>
      </c>
    </row>
    <row r="98" spans="1:7" x14ac:dyDescent="0.35">
      <c r="A98">
        <v>9</v>
      </c>
      <c r="B98">
        <v>86.664000000000001</v>
      </c>
      <c r="C98">
        <v>87.005844999999994</v>
      </c>
      <c r="D98">
        <v>87.105890000000002</v>
      </c>
      <c r="E98">
        <v>87.106009</v>
      </c>
      <c r="F98">
        <f t="shared" si="2"/>
        <v>-0.34184499999999218</v>
      </c>
      <c r="G98">
        <f t="shared" si="3"/>
        <v>-2.9749999999495458E-2</v>
      </c>
    </row>
    <row r="99" spans="1:7" x14ac:dyDescent="0.35">
      <c r="A99">
        <v>9</v>
      </c>
      <c r="B99">
        <v>102.79259999999999</v>
      </c>
      <c r="C99">
        <v>103.248329</v>
      </c>
      <c r="D99">
        <v>103.360176</v>
      </c>
      <c r="E99">
        <v>103.36031</v>
      </c>
      <c r="F99">
        <f t="shared" si="2"/>
        <v>-0.45572900000000516</v>
      </c>
      <c r="G99">
        <f t="shared" si="3"/>
        <v>-3.3500000000685759E-2</v>
      </c>
    </row>
    <row r="100" spans="1:7" x14ac:dyDescent="0.35">
      <c r="A100">
        <v>9</v>
      </c>
      <c r="B100">
        <v>102.79259999999999</v>
      </c>
      <c r="C100">
        <v>103.248329</v>
      </c>
      <c r="D100">
        <v>103.360176</v>
      </c>
      <c r="E100">
        <v>103.36031</v>
      </c>
      <c r="F100">
        <f t="shared" si="2"/>
        <v>-0.45572900000000516</v>
      </c>
      <c r="G100">
        <f t="shared" si="3"/>
        <v>-3.3500000000685759E-2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BB54-EB2C-42B0-891A-07C62C02A380}">
  <dimension ref="B1:AH100"/>
  <sheetViews>
    <sheetView tabSelected="1" topLeftCell="F1" workbookViewId="0">
      <selection activeCell="L20" sqref="L20"/>
    </sheetView>
  </sheetViews>
  <sheetFormatPr defaultRowHeight="14.5" x14ac:dyDescent="0.35"/>
  <sheetData>
    <row r="1" spans="2:34" x14ac:dyDescent="0.35">
      <c r="B1" t="s">
        <v>5</v>
      </c>
      <c r="C1">
        <v>1</v>
      </c>
      <c r="D1">
        <v>0</v>
      </c>
      <c r="E1" t="s">
        <v>6</v>
      </c>
      <c r="F1" t="s">
        <v>5</v>
      </c>
      <c r="G1" t="s">
        <v>7</v>
      </c>
      <c r="H1">
        <v>0</v>
      </c>
      <c r="I1">
        <v>0</v>
      </c>
      <c r="J1">
        <v>0</v>
      </c>
      <c r="K1" t="s">
        <v>8</v>
      </c>
      <c r="L1" t="s">
        <v>6</v>
      </c>
      <c r="M1" t="s">
        <v>5</v>
      </c>
      <c r="N1" t="s">
        <v>7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 t="s">
        <v>8</v>
      </c>
      <c r="V1">
        <v>1</v>
      </c>
      <c r="W1" t="s">
        <v>6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 t="s">
        <v>8</v>
      </c>
      <c r="AF1" t="s">
        <v>6</v>
      </c>
      <c r="AG1">
        <v>1</v>
      </c>
      <c r="AH1" t="s">
        <v>8</v>
      </c>
    </row>
    <row r="2" spans="2:34" x14ac:dyDescent="0.35">
      <c r="B2" t="s">
        <v>9</v>
      </c>
      <c r="C2">
        <v>1</v>
      </c>
      <c r="D2">
        <v>0.57183700000000004</v>
      </c>
      <c r="E2" t="s">
        <v>6</v>
      </c>
      <c r="F2" t="s">
        <v>9</v>
      </c>
      <c r="G2" t="s">
        <v>7</v>
      </c>
      <c r="H2">
        <v>1</v>
      </c>
      <c r="I2">
        <v>0</v>
      </c>
      <c r="J2">
        <v>1</v>
      </c>
      <c r="K2" t="s">
        <v>8</v>
      </c>
      <c r="L2" t="s">
        <v>6</v>
      </c>
      <c r="M2" t="s">
        <v>5</v>
      </c>
      <c r="N2" t="s">
        <v>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8</v>
      </c>
      <c r="V2">
        <v>0.77</v>
      </c>
      <c r="W2" t="s">
        <v>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8</v>
      </c>
      <c r="AF2" t="s">
        <v>6</v>
      </c>
      <c r="AG2">
        <v>1</v>
      </c>
      <c r="AH2" t="s">
        <v>8</v>
      </c>
    </row>
    <row r="3" spans="2:34" x14ac:dyDescent="0.35">
      <c r="B3" t="s">
        <v>9</v>
      </c>
      <c r="C3">
        <v>2</v>
      </c>
      <c r="D3">
        <v>1.500102</v>
      </c>
      <c r="E3" t="s">
        <v>6</v>
      </c>
      <c r="F3" t="s">
        <v>9</v>
      </c>
      <c r="G3" t="s">
        <v>7</v>
      </c>
      <c r="H3">
        <v>1</v>
      </c>
      <c r="I3">
        <v>1</v>
      </c>
      <c r="J3">
        <v>1</v>
      </c>
      <c r="K3" t="s">
        <v>8</v>
      </c>
      <c r="L3" t="s">
        <v>6</v>
      </c>
      <c r="M3" t="s">
        <v>5</v>
      </c>
      <c r="N3" t="s">
        <v>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8</v>
      </c>
      <c r="V3">
        <v>0.77</v>
      </c>
      <c r="W3" t="s">
        <v>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8</v>
      </c>
      <c r="AF3" t="s">
        <v>6</v>
      </c>
      <c r="AG3">
        <v>1</v>
      </c>
      <c r="AH3" t="s">
        <v>8</v>
      </c>
    </row>
    <row r="4" spans="2:34" x14ac:dyDescent="0.35">
      <c r="B4" t="s">
        <v>5</v>
      </c>
      <c r="C4">
        <v>1</v>
      </c>
      <c r="D4">
        <v>1.5637350000000001</v>
      </c>
      <c r="E4" t="s">
        <v>6</v>
      </c>
      <c r="F4" t="s">
        <v>5</v>
      </c>
      <c r="G4" t="s">
        <v>7</v>
      </c>
      <c r="H4">
        <v>1</v>
      </c>
      <c r="I4">
        <v>1</v>
      </c>
      <c r="J4">
        <v>0</v>
      </c>
      <c r="K4" t="s">
        <v>8</v>
      </c>
      <c r="L4" t="s">
        <v>6</v>
      </c>
      <c r="M4" t="s">
        <v>5</v>
      </c>
      <c r="N4" t="s">
        <v>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8</v>
      </c>
      <c r="V4">
        <v>1</v>
      </c>
      <c r="W4" t="s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8</v>
      </c>
      <c r="AF4" t="s">
        <v>6</v>
      </c>
      <c r="AG4">
        <v>1</v>
      </c>
      <c r="AH4" t="s">
        <v>8</v>
      </c>
    </row>
    <row r="5" spans="2:34" x14ac:dyDescent="0.35">
      <c r="B5" t="s">
        <v>5</v>
      </c>
      <c r="C5">
        <v>1</v>
      </c>
      <c r="D5">
        <v>1.712334</v>
      </c>
      <c r="E5" t="s">
        <v>6</v>
      </c>
      <c r="F5" t="s">
        <v>5</v>
      </c>
      <c r="G5" t="s">
        <v>7</v>
      </c>
      <c r="H5">
        <v>2</v>
      </c>
      <c r="I5">
        <v>1</v>
      </c>
      <c r="J5">
        <v>0</v>
      </c>
      <c r="K5" t="s">
        <v>8</v>
      </c>
      <c r="L5" t="s">
        <v>6</v>
      </c>
      <c r="M5" t="s">
        <v>5</v>
      </c>
      <c r="N5" t="s">
        <v>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8</v>
      </c>
      <c r="V5">
        <v>0.55000000000000004</v>
      </c>
      <c r="W5" t="s">
        <v>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8</v>
      </c>
      <c r="AF5" t="s">
        <v>6</v>
      </c>
      <c r="AG5">
        <v>1</v>
      </c>
      <c r="AH5" t="s">
        <v>8</v>
      </c>
    </row>
    <row r="6" spans="2:34" x14ac:dyDescent="0.35">
      <c r="B6" t="s">
        <v>5</v>
      </c>
      <c r="C6">
        <v>2</v>
      </c>
      <c r="D6">
        <v>2.5801400000000001</v>
      </c>
      <c r="E6" t="s">
        <v>6</v>
      </c>
      <c r="F6" t="s">
        <v>5</v>
      </c>
      <c r="G6" t="s">
        <v>7</v>
      </c>
      <c r="H6">
        <v>2</v>
      </c>
      <c r="I6">
        <v>0</v>
      </c>
      <c r="J6">
        <v>0</v>
      </c>
      <c r="K6" t="s">
        <v>8</v>
      </c>
      <c r="L6" t="s">
        <v>6</v>
      </c>
      <c r="M6" t="s">
        <v>5</v>
      </c>
      <c r="N6" t="s">
        <v>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8</v>
      </c>
      <c r="V6">
        <v>0.53</v>
      </c>
      <c r="W6" t="s">
        <v>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8</v>
      </c>
      <c r="AF6" t="s">
        <v>6</v>
      </c>
      <c r="AG6">
        <v>1</v>
      </c>
      <c r="AH6" t="s">
        <v>8</v>
      </c>
    </row>
    <row r="7" spans="2:34" x14ac:dyDescent="0.35">
      <c r="B7" t="s">
        <v>9</v>
      </c>
      <c r="C7">
        <v>1</v>
      </c>
      <c r="D7">
        <v>2.7710430000000001</v>
      </c>
      <c r="E7" t="s">
        <v>6</v>
      </c>
      <c r="F7" t="s">
        <v>9</v>
      </c>
      <c r="G7" t="s">
        <v>7</v>
      </c>
      <c r="H7">
        <v>2</v>
      </c>
      <c r="I7">
        <v>1</v>
      </c>
      <c r="J7">
        <v>1</v>
      </c>
      <c r="K7" t="s">
        <v>8</v>
      </c>
      <c r="L7" t="s">
        <v>6</v>
      </c>
      <c r="M7" t="s">
        <v>5</v>
      </c>
      <c r="N7" t="s">
        <v>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8</v>
      </c>
      <c r="V7">
        <v>0.77</v>
      </c>
      <c r="W7" t="s">
        <v>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8</v>
      </c>
      <c r="AF7" t="s">
        <v>6</v>
      </c>
      <c r="AG7">
        <v>1</v>
      </c>
      <c r="AH7" t="s">
        <v>8</v>
      </c>
    </row>
    <row r="8" spans="2:34" x14ac:dyDescent="0.35">
      <c r="B8" t="s">
        <v>9</v>
      </c>
      <c r="C8">
        <v>2</v>
      </c>
      <c r="D8">
        <v>5.5555750000000002</v>
      </c>
      <c r="E8" t="s">
        <v>6</v>
      </c>
      <c r="F8" t="s">
        <v>9</v>
      </c>
      <c r="G8" t="s">
        <v>7</v>
      </c>
      <c r="H8">
        <v>2</v>
      </c>
      <c r="I8">
        <v>2</v>
      </c>
      <c r="J8">
        <v>1</v>
      </c>
      <c r="K8" t="s">
        <v>8</v>
      </c>
      <c r="L8" t="s">
        <v>6</v>
      </c>
      <c r="M8" t="s">
        <v>5</v>
      </c>
      <c r="N8" t="s">
        <v>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8</v>
      </c>
      <c r="V8">
        <v>0.77</v>
      </c>
      <c r="W8" t="s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8</v>
      </c>
      <c r="AF8" t="s">
        <v>6</v>
      </c>
      <c r="AG8">
        <v>1</v>
      </c>
      <c r="AH8" t="s">
        <v>8</v>
      </c>
    </row>
    <row r="9" spans="2:34" x14ac:dyDescent="0.35">
      <c r="B9" t="s">
        <v>5</v>
      </c>
      <c r="C9">
        <v>3</v>
      </c>
      <c r="D9">
        <v>5.5587330000000001</v>
      </c>
      <c r="E9" t="s">
        <v>6</v>
      </c>
      <c r="F9" t="s">
        <v>5</v>
      </c>
      <c r="G9" t="s">
        <v>7</v>
      </c>
      <c r="H9">
        <v>2</v>
      </c>
      <c r="I9">
        <v>2</v>
      </c>
      <c r="J9">
        <v>0</v>
      </c>
      <c r="K9" t="s">
        <v>8</v>
      </c>
      <c r="L9" t="s">
        <v>6</v>
      </c>
      <c r="M9" t="s">
        <v>5</v>
      </c>
      <c r="N9" t="s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8</v>
      </c>
      <c r="V9">
        <v>0.79</v>
      </c>
      <c r="W9" t="s">
        <v>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8</v>
      </c>
      <c r="AF9" t="s">
        <v>6</v>
      </c>
      <c r="AG9">
        <v>1</v>
      </c>
      <c r="AH9" t="s">
        <v>8</v>
      </c>
    </row>
    <row r="10" spans="2:34" x14ac:dyDescent="0.35">
      <c r="B10" t="s">
        <v>9</v>
      </c>
      <c r="C10">
        <v>1</v>
      </c>
      <c r="D10">
        <v>3.4151940000000001</v>
      </c>
      <c r="E10" t="s">
        <v>6</v>
      </c>
      <c r="F10" t="s">
        <v>9</v>
      </c>
      <c r="G10" t="s">
        <v>7</v>
      </c>
      <c r="H10">
        <v>3</v>
      </c>
      <c r="I10">
        <v>1</v>
      </c>
      <c r="J10">
        <v>1</v>
      </c>
      <c r="K10" t="s">
        <v>8</v>
      </c>
      <c r="L10" t="s">
        <v>6</v>
      </c>
      <c r="M10" t="s">
        <v>5</v>
      </c>
      <c r="N10" t="s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8</v>
      </c>
      <c r="V10">
        <v>0.75</v>
      </c>
      <c r="W10" t="s">
        <v>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8</v>
      </c>
      <c r="AF10" t="s">
        <v>6</v>
      </c>
      <c r="AG10">
        <v>1</v>
      </c>
      <c r="AH10" t="s">
        <v>8</v>
      </c>
    </row>
    <row r="11" spans="2:34" x14ac:dyDescent="0.35">
      <c r="B11" t="s">
        <v>9</v>
      </c>
      <c r="C11">
        <v>2</v>
      </c>
      <c r="D11">
        <v>4.1982239999999997</v>
      </c>
      <c r="E11" t="s">
        <v>6</v>
      </c>
      <c r="F11" t="s">
        <v>9</v>
      </c>
      <c r="G11" t="s">
        <v>7</v>
      </c>
      <c r="H11">
        <v>3</v>
      </c>
      <c r="I11">
        <v>0</v>
      </c>
      <c r="J11">
        <v>1</v>
      </c>
      <c r="K11" t="s">
        <v>8</v>
      </c>
      <c r="L11" t="s">
        <v>6</v>
      </c>
      <c r="M11" t="s">
        <v>5</v>
      </c>
      <c r="N11" t="s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8</v>
      </c>
      <c r="V11">
        <v>0.7</v>
      </c>
      <c r="W11" t="s">
        <v>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8</v>
      </c>
      <c r="AF11" t="s">
        <v>6</v>
      </c>
      <c r="AG11">
        <v>1</v>
      </c>
      <c r="AH11" t="s">
        <v>8</v>
      </c>
    </row>
    <row r="12" spans="2:34" x14ac:dyDescent="0.35">
      <c r="B12" t="s">
        <v>5</v>
      </c>
      <c r="C12">
        <v>1</v>
      </c>
      <c r="D12">
        <v>4.579949</v>
      </c>
      <c r="E12" t="s">
        <v>6</v>
      </c>
      <c r="F12" t="s">
        <v>5</v>
      </c>
      <c r="G12" t="s">
        <v>7</v>
      </c>
      <c r="H12">
        <v>3</v>
      </c>
      <c r="I12">
        <v>1</v>
      </c>
      <c r="J12">
        <v>0</v>
      </c>
      <c r="K12" t="s">
        <v>8</v>
      </c>
      <c r="L12" t="s">
        <v>6</v>
      </c>
      <c r="M12" t="s">
        <v>5</v>
      </c>
      <c r="N12" t="s">
        <v>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8</v>
      </c>
      <c r="V12">
        <v>0.5</v>
      </c>
      <c r="W12" t="s">
        <v>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8</v>
      </c>
      <c r="AF12" t="s">
        <v>6</v>
      </c>
      <c r="AG12">
        <v>1</v>
      </c>
      <c r="AH12" t="s">
        <v>8</v>
      </c>
    </row>
    <row r="13" spans="2:34" x14ac:dyDescent="0.35">
      <c r="B13" t="s">
        <v>5</v>
      </c>
      <c r="C13">
        <v>2</v>
      </c>
      <c r="D13">
        <v>7.2711170000000003</v>
      </c>
      <c r="E13" t="s">
        <v>6</v>
      </c>
      <c r="F13" t="s">
        <v>5</v>
      </c>
      <c r="G13" t="s">
        <v>7</v>
      </c>
      <c r="H13">
        <v>3</v>
      </c>
      <c r="I13">
        <v>1</v>
      </c>
      <c r="J13">
        <v>0</v>
      </c>
      <c r="K13" t="s">
        <v>8</v>
      </c>
      <c r="L13" t="s">
        <v>6</v>
      </c>
      <c r="M13" t="s">
        <v>5</v>
      </c>
      <c r="N13" t="s">
        <v>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8</v>
      </c>
      <c r="V13">
        <v>0.44</v>
      </c>
      <c r="W13" t="s">
        <v>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</v>
      </c>
      <c r="AF13" t="s">
        <v>6</v>
      </c>
      <c r="AG13">
        <v>1</v>
      </c>
      <c r="AH13" t="s">
        <v>8</v>
      </c>
    </row>
    <row r="14" spans="2:34" x14ac:dyDescent="0.35">
      <c r="B14" t="s">
        <v>9</v>
      </c>
      <c r="C14">
        <v>3</v>
      </c>
      <c r="D14">
        <v>7.2868560000000002</v>
      </c>
      <c r="E14" t="s">
        <v>6</v>
      </c>
      <c r="F14" t="s">
        <v>9</v>
      </c>
      <c r="G14" t="s">
        <v>7</v>
      </c>
      <c r="H14">
        <v>3</v>
      </c>
      <c r="I14">
        <v>2</v>
      </c>
      <c r="J14">
        <v>1</v>
      </c>
      <c r="K14" t="s">
        <v>8</v>
      </c>
      <c r="L14" t="s">
        <v>6</v>
      </c>
      <c r="M14" t="s">
        <v>5</v>
      </c>
      <c r="N14" t="s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8</v>
      </c>
      <c r="V14">
        <v>0.35</v>
      </c>
      <c r="W14" t="s">
        <v>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8</v>
      </c>
      <c r="AF14" t="s">
        <v>6</v>
      </c>
      <c r="AG14">
        <v>1</v>
      </c>
      <c r="AH14" t="s">
        <v>8</v>
      </c>
    </row>
    <row r="15" spans="2:34" x14ac:dyDescent="0.35">
      <c r="B15" t="s">
        <v>9</v>
      </c>
      <c r="C15">
        <v>4</v>
      </c>
      <c r="D15">
        <v>12.072094</v>
      </c>
      <c r="E15" t="s">
        <v>6</v>
      </c>
      <c r="F15" t="s">
        <v>9</v>
      </c>
      <c r="G15" t="s">
        <v>7</v>
      </c>
      <c r="H15">
        <v>3</v>
      </c>
      <c r="I15">
        <v>3</v>
      </c>
      <c r="J15">
        <v>1</v>
      </c>
      <c r="K15" t="s">
        <v>8</v>
      </c>
      <c r="L15" t="s">
        <v>6</v>
      </c>
      <c r="M15" t="s">
        <v>5</v>
      </c>
      <c r="N15" t="s">
        <v>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8</v>
      </c>
      <c r="V15">
        <v>0.68</v>
      </c>
      <c r="W15" t="s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8</v>
      </c>
      <c r="AF15" t="s">
        <v>6</v>
      </c>
      <c r="AG15">
        <v>1</v>
      </c>
      <c r="AH15" t="s">
        <v>8</v>
      </c>
    </row>
    <row r="16" spans="2:34" x14ac:dyDescent="0.35">
      <c r="B16" t="s">
        <v>5</v>
      </c>
      <c r="C16">
        <v>3</v>
      </c>
      <c r="D16">
        <v>12.072191999999999</v>
      </c>
      <c r="E16" t="s">
        <v>6</v>
      </c>
      <c r="F16" t="s">
        <v>5</v>
      </c>
      <c r="G16" t="s">
        <v>7</v>
      </c>
      <c r="H16">
        <v>3</v>
      </c>
      <c r="I16">
        <v>3</v>
      </c>
      <c r="J16">
        <v>0</v>
      </c>
      <c r="K16" t="s">
        <v>8</v>
      </c>
      <c r="L16" t="s">
        <v>6</v>
      </c>
      <c r="M16" t="s">
        <v>5</v>
      </c>
      <c r="N16" t="s">
        <v>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8</v>
      </c>
      <c r="V16">
        <v>0.69</v>
      </c>
      <c r="W16" t="s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8</v>
      </c>
      <c r="AF16" t="s">
        <v>6</v>
      </c>
      <c r="AG16">
        <v>1</v>
      </c>
      <c r="AH16" t="s">
        <v>8</v>
      </c>
    </row>
    <row r="17" spans="2:34" x14ac:dyDescent="0.35">
      <c r="B17" t="s">
        <v>5</v>
      </c>
      <c r="C17">
        <v>1</v>
      </c>
      <c r="D17">
        <v>5.6712439999999997</v>
      </c>
      <c r="E17" t="s">
        <v>6</v>
      </c>
      <c r="F17" t="s">
        <v>5</v>
      </c>
      <c r="G17" t="s">
        <v>7</v>
      </c>
      <c r="H17">
        <v>4</v>
      </c>
      <c r="I17">
        <v>1</v>
      </c>
      <c r="J17">
        <v>0</v>
      </c>
      <c r="K17" t="s">
        <v>8</v>
      </c>
      <c r="L17" t="s">
        <v>6</v>
      </c>
      <c r="M17" t="s">
        <v>5</v>
      </c>
      <c r="N17" t="s">
        <v>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8</v>
      </c>
      <c r="V17">
        <v>0.69</v>
      </c>
      <c r="W17" t="s">
        <v>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8</v>
      </c>
      <c r="AF17" t="s">
        <v>6</v>
      </c>
      <c r="AG17">
        <v>1</v>
      </c>
      <c r="AH17" t="s">
        <v>8</v>
      </c>
    </row>
    <row r="18" spans="2:34" x14ac:dyDescent="0.35">
      <c r="B18" t="s">
        <v>5</v>
      </c>
      <c r="C18">
        <v>2</v>
      </c>
      <c r="D18">
        <v>6.3521260000000002</v>
      </c>
      <c r="E18" t="s">
        <v>6</v>
      </c>
      <c r="F18" t="s">
        <v>5</v>
      </c>
      <c r="G18" t="s">
        <v>7</v>
      </c>
      <c r="H18">
        <v>4</v>
      </c>
      <c r="I18">
        <v>0</v>
      </c>
      <c r="J18">
        <v>0</v>
      </c>
      <c r="K18" t="s">
        <v>8</v>
      </c>
      <c r="L18" t="s">
        <v>6</v>
      </c>
      <c r="M18" t="s">
        <v>5</v>
      </c>
      <c r="N18" t="s">
        <v>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8</v>
      </c>
      <c r="V18">
        <v>0.61</v>
      </c>
      <c r="W18" t="s">
        <v>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8</v>
      </c>
      <c r="AF18" t="s">
        <v>6</v>
      </c>
      <c r="AG18">
        <v>1</v>
      </c>
      <c r="AH18" t="s">
        <v>8</v>
      </c>
    </row>
    <row r="19" spans="2:34" x14ac:dyDescent="0.35">
      <c r="B19" t="s">
        <v>9</v>
      </c>
      <c r="C19">
        <v>1</v>
      </c>
      <c r="D19">
        <v>6.9878460000000002</v>
      </c>
      <c r="E19" t="s">
        <v>6</v>
      </c>
      <c r="F19" t="s">
        <v>9</v>
      </c>
      <c r="G19" t="s">
        <v>7</v>
      </c>
      <c r="H19">
        <v>4</v>
      </c>
      <c r="I19">
        <v>2</v>
      </c>
      <c r="J19">
        <v>1</v>
      </c>
      <c r="K19" t="s">
        <v>8</v>
      </c>
      <c r="L19" t="s">
        <v>6</v>
      </c>
      <c r="M19" t="s">
        <v>5</v>
      </c>
      <c r="N19" t="s">
        <v>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8</v>
      </c>
      <c r="V19">
        <v>0.57999999999999996</v>
      </c>
      <c r="W19" t="s">
        <v>6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8</v>
      </c>
      <c r="AF19" t="s">
        <v>6</v>
      </c>
      <c r="AG19">
        <v>1</v>
      </c>
      <c r="AH19" t="s">
        <v>8</v>
      </c>
    </row>
    <row r="20" spans="2:34" x14ac:dyDescent="0.35">
      <c r="B20" t="s">
        <v>9</v>
      </c>
      <c r="C20">
        <v>2</v>
      </c>
      <c r="D20">
        <v>9.5559849999999997</v>
      </c>
      <c r="E20" t="s">
        <v>6</v>
      </c>
      <c r="F20" t="s">
        <v>9</v>
      </c>
      <c r="G20" t="s">
        <v>7</v>
      </c>
      <c r="H20">
        <v>4</v>
      </c>
      <c r="I20">
        <v>1</v>
      </c>
      <c r="J20">
        <v>1</v>
      </c>
      <c r="K20" t="s">
        <v>8</v>
      </c>
      <c r="L20" t="s">
        <v>6</v>
      </c>
      <c r="M20" t="s">
        <v>5</v>
      </c>
      <c r="N20" t="s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8</v>
      </c>
      <c r="V20">
        <v>0.55000000000000004</v>
      </c>
      <c r="W20" t="s">
        <v>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8</v>
      </c>
      <c r="AF20" t="s">
        <v>6</v>
      </c>
      <c r="AG20">
        <v>1</v>
      </c>
      <c r="AH20" t="s">
        <v>8</v>
      </c>
    </row>
    <row r="21" spans="2:34" x14ac:dyDescent="0.35">
      <c r="B21" t="s">
        <v>5</v>
      </c>
      <c r="C21">
        <v>3</v>
      </c>
      <c r="D21">
        <v>9.6028500000000001</v>
      </c>
      <c r="E21" t="s">
        <v>6</v>
      </c>
      <c r="F21" t="s">
        <v>5</v>
      </c>
      <c r="G21" t="s">
        <v>7</v>
      </c>
      <c r="H21">
        <v>4</v>
      </c>
      <c r="I21">
        <v>3</v>
      </c>
      <c r="J21">
        <v>0</v>
      </c>
      <c r="K21" t="s">
        <v>8</v>
      </c>
      <c r="L21" t="s">
        <v>6</v>
      </c>
      <c r="M21" t="s">
        <v>5</v>
      </c>
      <c r="N21" t="s">
        <v>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8</v>
      </c>
      <c r="V21">
        <v>0.4</v>
      </c>
      <c r="W21" t="s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8</v>
      </c>
      <c r="AF21" t="s">
        <v>6</v>
      </c>
      <c r="AG21">
        <v>1</v>
      </c>
      <c r="AH21" t="s">
        <v>8</v>
      </c>
    </row>
    <row r="22" spans="2:34" x14ac:dyDescent="0.35">
      <c r="B22" t="s">
        <v>5</v>
      </c>
      <c r="C22">
        <v>4</v>
      </c>
      <c r="D22">
        <v>14.365589</v>
      </c>
      <c r="E22" t="s">
        <v>6</v>
      </c>
      <c r="F22" t="s">
        <v>5</v>
      </c>
      <c r="G22" t="s">
        <v>7</v>
      </c>
      <c r="H22">
        <v>4</v>
      </c>
      <c r="I22">
        <v>2</v>
      </c>
      <c r="J22">
        <v>0</v>
      </c>
      <c r="K22" t="s">
        <v>8</v>
      </c>
      <c r="L22" t="s">
        <v>6</v>
      </c>
      <c r="M22" t="s">
        <v>5</v>
      </c>
      <c r="N22" t="s">
        <v>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8</v>
      </c>
      <c r="V22">
        <v>0.35</v>
      </c>
      <c r="W22" t="s">
        <v>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</v>
      </c>
      <c r="AF22" t="s">
        <v>6</v>
      </c>
      <c r="AG22">
        <v>1</v>
      </c>
      <c r="AH22" t="s">
        <v>8</v>
      </c>
    </row>
    <row r="23" spans="2:34" x14ac:dyDescent="0.35">
      <c r="B23" t="s">
        <v>9</v>
      </c>
      <c r="C23">
        <v>3</v>
      </c>
      <c r="D23">
        <v>14.366273</v>
      </c>
      <c r="E23" t="s">
        <v>6</v>
      </c>
      <c r="F23" t="s">
        <v>9</v>
      </c>
      <c r="G23" t="s">
        <v>7</v>
      </c>
      <c r="H23">
        <v>4</v>
      </c>
      <c r="I23">
        <v>4</v>
      </c>
      <c r="J23">
        <v>1</v>
      </c>
      <c r="K23" t="s">
        <v>8</v>
      </c>
      <c r="L23" t="s">
        <v>6</v>
      </c>
      <c r="M23" t="s">
        <v>5</v>
      </c>
      <c r="N23" t="s">
        <v>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8</v>
      </c>
      <c r="V23">
        <v>0.32</v>
      </c>
      <c r="W23" t="s">
        <v>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8</v>
      </c>
      <c r="AF23" t="s">
        <v>6</v>
      </c>
      <c r="AG23">
        <v>1</v>
      </c>
      <c r="AH23" t="s">
        <v>8</v>
      </c>
    </row>
    <row r="24" spans="2:34" x14ac:dyDescent="0.35">
      <c r="B24" t="s">
        <v>9</v>
      </c>
      <c r="C24">
        <v>4</v>
      </c>
      <c r="D24">
        <v>21.076813000000001</v>
      </c>
      <c r="E24" t="s">
        <v>6</v>
      </c>
      <c r="F24" t="s">
        <v>9</v>
      </c>
      <c r="G24" t="s">
        <v>7</v>
      </c>
      <c r="H24">
        <v>4</v>
      </c>
      <c r="I24">
        <v>4</v>
      </c>
      <c r="J24">
        <v>1</v>
      </c>
      <c r="K24" t="s">
        <v>8</v>
      </c>
      <c r="L24" t="s">
        <v>6</v>
      </c>
      <c r="M24" t="s">
        <v>5</v>
      </c>
      <c r="N24" t="s">
        <v>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8</v>
      </c>
      <c r="V24">
        <v>0.6</v>
      </c>
      <c r="W24" t="s">
        <v>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8</v>
      </c>
      <c r="AF24" t="s">
        <v>6</v>
      </c>
      <c r="AG24">
        <v>1</v>
      </c>
      <c r="AH24" t="s">
        <v>8</v>
      </c>
    </row>
    <row r="25" spans="2:34" x14ac:dyDescent="0.35">
      <c r="B25" t="s">
        <v>5</v>
      </c>
      <c r="C25">
        <v>5</v>
      </c>
      <c r="D25">
        <v>21.076816000000001</v>
      </c>
      <c r="E25" t="s">
        <v>6</v>
      </c>
      <c r="F25" t="s">
        <v>5</v>
      </c>
      <c r="G25" t="s">
        <v>7</v>
      </c>
      <c r="H25">
        <v>4</v>
      </c>
      <c r="I25">
        <v>4</v>
      </c>
      <c r="J25">
        <v>0</v>
      </c>
      <c r="K25" t="s">
        <v>8</v>
      </c>
      <c r="L25" t="s">
        <v>6</v>
      </c>
      <c r="M25" t="s">
        <v>5</v>
      </c>
      <c r="N25" t="s">
        <v>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8</v>
      </c>
      <c r="V25">
        <v>0.6</v>
      </c>
      <c r="W25" t="s">
        <v>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</v>
      </c>
      <c r="AF25" t="s">
        <v>6</v>
      </c>
      <c r="AG25">
        <v>1</v>
      </c>
      <c r="AH25" t="s">
        <v>8</v>
      </c>
    </row>
    <row r="26" spans="2:34" x14ac:dyDescent="0.35">
      <c r="B26" t="s">
        <v>9</v>
      </c>
      <c r="C26">
        <v>1</v>
      </c>
      <c r="D26">
        <v>8.4691460000000003</v>
      </c>
      <c r="E26" t="s">
        <v>6</v>
      </c>
      <c r="F26" t="s">
        <v>9</v>
      </c>
      <c r="G26" t="s">
        <v>7</v>
      </c>
      <c r="H26">
        <v>5</v>
      </c>
      <c r="I26">
        <v>2</v>
      </c>
      <c r="J26">
        <v>1</v>
      </c>
      <c r="K26" t="s">
        <v>8</v>
      </c>
      <c r="L26" t="s">
        <v>6</v>
      </c>
      <c r="M26" t="s">
        <v>5</v>
      </c>
      <c r="N26" t="s">
        <v>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8</v>
      </c>
      <c r="V26">
        <v>0.44</v>
      </c>
      <c r="W26" t="s">
        <v>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8</v>
      </c>
      <c r="AF26" t="s">
        <v>6</v>
      </c>
      <c r="AG26">
        <v>1</v>
      </c>
      <c r="AH26" t="s">
        <v>8</v>
      </c>
    </row>
    <row r="27" spans="2:34" x14ac:dyDescent="0.35">
      <c r="B27" t="s">
        <v>9</v>
      </c>
      <c r="C27">
        <v>2</v>
      </c>
      <c r="D27">
        <v>9.0390940000000004</v>
      </c>
      <c r="E27" t="s">
        <v>6</v>
      </c>
      <c r="F27" t="s">
        <v>9</v>
      </c>
      <c r="G27" t="s">
        <v>7</v>
      </c>
      <c r="H27">
        <v>5</v>
      </c>
      <c r="I27">
        <v>1</v>
      </c>
      <c r="J27">
        <v>1</v>
      </c>
      <c r="K27" t="s">
        <v>8</v>
      </c>
      <c r="L27" t="s">
        <v>6</v>
      </c>
      <c r="M27" t="s">
        <v>5</v>
      </c>
      <c r="N27" t="s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8</v>
      </c>
      <c r="V27">
        <v>0.43</v>
      </c>
      <c r="W27" t="s">
        <v>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8</v>
      </c>
      <c r="AF27" t="s">
        <v>6</v>
      </c>
      <c r="AG27">
        <v>1</v>
      </c>
      <c r="AH27" t="s">
        <v>8</v>
      </c>
    </row>
    <row r="28" spans="2:34" x14ac:dyDescent="0.35">
      <c r="B28" t="s">
        <v>5</v>
      </c>
      <c r="C28">
        <v>1</v>
      </c>
      <c r="D28">
        <v>9.9910250000000005</v>
      </c>
      <c r="E28" t="s">
        <v>6</v>
      </c>
      <c r="F28" t="s">
        <v>5</v>
      </c>
      <c r="G28" t="s">
        <v>7</v>
      </c>
      <c r="H28">
        <v>5</v>
      </c>
      <c r="I28">
        <v>2</v>
      </c>
      <c r="J28">
        <v>0</v>
      </c>
      <c r="K28" t="s">
        <v>8</v>
      </c>
      <c r="L28" t="s">
        <v>6</v>
      </c>
      <c r="M28" t="s">
        <v>5</v>
      </c>
      <c r="N28" t="s">
        <v>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8</v>
      </c>
      <c r="V28">
        <v>0.56000000000000005</v>
      </c>
      <c r="W28" t="s">
        <v>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8</v>
      </c>
      <c r="AF28" t="s">
        <v>6</v>
      </c>
      <c r="AG28">
        <v>1</v>
      </c>
      <c r="AH28" t="s">
        <v>8</v>
      </c>
    </row>
    <row r="29" spans="2:34" x14ac:dyDescent="0.35">
      <c r="B29" t="s">
        <v>5</v>
      </c>
      <c r="C29">
        <v>2</v>
      </c>
      <c r="D29">
        <v>12.408026</v>
      </c>
      <c r="E29" t="s">
        <v>6</v>
      </c>
      <c r="F29" t="s">
        <v>5</v>
      </c>
      <c r="G29" t="s">
        <v>7</v>
      </c>
      <c r="H29">
        <v>5</v>
      </c>
      <c r="I29">
        <v>1</v>
      </c>
      <c r="J29">
        <v>0</v>
      </c>
      <c r="K29" t="s">
        <v>8</v>
      </c>
      <c r="L29" t="s">
        <v>6</v>
      </c>
      <c r="M29" t="s">
        <v>5</v>
      </c>
      <c r="N29" t="s">
        <v>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8</v>
      </c>
      <c r="V29">
        <v>0.51</v>
      </c>
      <c r="W29" t="s">
        <v>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8</v>
      </c>
      <c r="AF29" t="s">
        <v>6</v>
      </c>
      <c r="AG29">
        <v>1</v>
      </c>
      <c r="AH29" t="s">
        <v>8</v>
      </c>
    </row>
    <row r="30" spans="2:34" x14ac:dyDescent="0.35">
      <c r="B30" t="s">
        <v>9</v>
      </c>
      <c r="C30">
        <v>3</v>
      </c>
      <c r="D30">
        <v>12.515826000000001</v>
      </c>
      <c r="E30" t="s">
        <v>6</v>
      </c>
      <c r="F30" t="s">
        <v>9</v>
      </c>
      <c r="G30" t="s">
        <v>7</v>
      </c>
      <c r="H30">
        <v>5</v>
      </c>
      <c r="I30">
        <v>0</v>
      </c>
      <c r="J30">
        <v>1</v>
      </c>
      <c r="K30" t="s">
        <v>8</v>
      </c>
      <c r="L30" t="s">
        <v>6</v>
      </c>
      <c r="M30" t="s">
        <v>5</v>
      </c>
      <c r="N30" t="s">
        <v>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8</v>
      </c>
      <c r="V30">
        <v>0.4</v>
      </c>
      <c r="W30" t="s">
        <v>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8</v>
      </c>
      <c r="AF30" t="s">
        <v>6</v>
      </c>
      <c r="AG30">
        <v>1</v>
      </c>
      <c r="AH30" t="s">
        <v>8</v>
      </c>
    </row>
    <row r="31" spans="2:34" x14ac:dyDescent="0.35">
      <c r="B31" t="s">
        <v>9</v>
      </c>
      <c r="C31">
        <v>4</v>
      </c>
      <c r="D31">
        <v>17.234677999999999</v>
      </c>
      <c r="E31" t="s">
        <v>6</v>
      </c>
      <c r="F31" t="s">
        <v>9</v>
      </c>
      <c r="G31" t="s">
        <v>7</v>
      </c>
      <c r="H31">
        <v>5</v>
      </c>
      <c r="I31">
        <v>4</v>
      </c>
      <c r="J31">
        <v>1</v>
      </c>
      <c r="K31" t="s">
        <v>8</v>
      </c>
      <c r="L31" t="s">
        <v>6</v>
      </c>
      <c r="M31" t="s">
        <v>5</v>
      </c>
      <c r="N31" t="s">
        <v>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8</v>
      </c>
      <c r="V31">
        <v>0.35</v>
      </c>
      <c r="W31" t="s">
        <v>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8</v>
      </c>
      <c r="AF31" t="s">
        <v>6</v>
      </c>
      <c r="AG31">
        <v>1</v>
      </c>
      <c r="AH31" t="s">
        <v>8</v>
      </c>
    </row>
    <row r="32" spans="2:34" x14ac:dyDescent="0.35">
      <c r="B32" t="s">
        <v>5</v>
      </c>
      <c r="C32">
        <v>3</v>
      </c>
      <c r="D32">
        <v>17.237410000000001</v>
      </c>
      <c r="E32" t="s">
        <v>6</v>
      </c>
      <c r="F32" t="s">
        <v>5</v>
      </c>
      <c r="G32" t="s">
        <v>7</v>
      </c>
      <c r="H32">
        <v>5</v>
      </c>
      <c r="I32">
        <v>4</v>
      </c>
      <c r="J32">
        <v>0</v>
      </c>
      <c r="K32" t="s">
        <v>8</v>
      </c>
      <c r="L32" t="s">
        <v>6</v>
      </c>
      <c r="M32" t="s">
        <v>5</v>
      </c>
      <c r="N32" t="s">
        <v>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8</v>
      </c>
      <c r="V32">
        <v>0.36</v>
      </c>
      <c r="W32" t="s">
        <v>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8</v>
      </c>
      <c r="AF32" t="s">
        <v>6</v>
      </c>
      <c r="AG32">
        <v>1</v>
      </c>
      <c r="AH32" t="s">
        <v>8</v>
      </c>
    </row>
    <row r="33" spans="2:34" x14ac:dyDescent="0.35">
      <c r="B33" t="s">
        <v>5</v>
      </c>
      <c r="C33">
        <v>4</v>
      </c>
      <c r="D33">
        <v>23.943297000000001</v>
      </c>
      <c r="E33" t="s">
        <v>6</v>
      </c>
      <c r="F33" t="s">
        <v>5</v>
      </c>
      <c r="G33" t="s">
        <v>7</v>
      </c>
      <c r="H33">
        <v>5</v>
      </c>
      <c r="I33">
        <v>5</v>
      </c>
      <c r="J33">
        <v>0</v>
      </c>
      <c r="K33" t="s">
        <v>8</v>
      </c>
      <c r="L33" t="s">
        <v>6</v>
      </c>
      <c r="M33" t="s">
        <v>5</v>
      </c>
      <c r="N33" t="s">
        <v>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8</v>
      </c>
      <c r="V33">
        <v>0.35</v>
      </c>
      <c r="W33" t="s">
        <v>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8</v>
      </c>
      <c r="AF33" t="s">
        <v>6</v>
      </c>
      <c r="AG33">
        <v>1</v>
      </c>
      <c r="AH33" t="s">
        <v>8</v>
      </c>
    </row>
    <row r="34" spans="2:34" x14ac:dyDescent="0.35">
      <c r="B34" t="s">
        <v>9</v>
      </c>
      <c r="C34">
        <v>5</v>
      </c>
      <c r="D34">
        <v>23.94332</v>
      </c>
      <c r="E34" t="s">
        <v>6</v>
      </c>
      <c r="F34" t="s">
        <v>9</v>
      </c>
      <c r="G34" t="s">
        <v>7</v>
      </c>
      <c r="H34">
        <v>5</v>
      </c>
      <c r="I34">
        <v>5</v>
      </c>
      <c r="J34">
        <v>1</v>
      </c>
      <c r="K34" t="s">
        <v>8</v>
      </c>
      <c r="L34" t="s">
        <v>6</v>
      </c>
      <c r="M34" t="s">
        <v>5</v>
      </c>
      <c r="N34" t="s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8</v>
      </c>
      <c r="V34">
        <v>0.35</v>
      </c>
      <c r="W34" t="s">
        <v>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</v>
      </c>
      <c r="AF34" t="s">
        <v>6</v>
      </c>
      <c r="AG34">
        <v>1</v>
      </c>
      <c r="AH34" t="s">
        <v>8</v>
      </c>
    </row>
    <row r="35" spans="2:34" x14ac:dyDescent="0.35">
      <c r="B35" t="s">
        <v>5</v>
      </c>
      <c r="C35">
        <v>5</v>
      </c>
      <c r="D35">
        <v>32.569229</v>
      </c>
      <c r="E35" t="s">
        <v>6</v>
      </c>
      <c r="F35" t="s">
        <v>5</v>
      </c>
      <c r="G35" t="s">
        <v>7</v>
      </c>
      <c r="H35">
        <v>5</v>
      </c>
      <c r="I35">
        <v>5</v>
      </c>
      <c r="J35">
        <v>0</v>
      </c>
      <c r="K35" t="s">
        <v>8</v>
      </c>
      <c r="L35" t="s">
        <v>6</v>
      </c>
      <c r="M35" t="s">
        <v>5</v>
      </c>
      <c r="N35" t="s">
        <v>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8</v>
      </c>
      <c r="V35">
        <v>0.53</v>
      </c>
      <c r="W35" t="s">
        <v>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8</v>
      </c>
      <c r="AF35" t="s">
        <v>6</v>
      </c>
      <c r="AG35">
        <v>1</v>
      </c>
      <c r="AH35" t="s">
        <v>8</v>
      </c>
    </row>
    <row r="36" spans="2:34" x14ac:dyDescent="0.35">
      <c r="B36" t="s">
        <v>9</v>
      </c>
      <c r="C36">
        <v>6</v>
      </c>
      <c r="D36">
        <v>32.569229</v>
      </c>
      <c r="E36" t="s">
        <v>6</v>
      </c>
      <c r="F36" t="s">
        <v>9</v>
      </c>
      <c r="G36" t="s">
        <v>7</v>
      </c>
      <c r="H36">
        <v>5</v>
      </c>
      <c r="I36">
        <v>5</v>
      </c>
      <c r="J36">
        <v>1</v>
      </c>
      <c r="K36" t="s">
        <v>8</v>
      </c>
      <c r="L36" t="s">
        <v>6</v>
      </c>
      <c r="M36" t="s">
        <v>5</v>
      </c>
      <c r="N36" t="s">
        <v>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8</v>
      </c>
      <c r="V36">
        <v>0.53</v>
      </c>
      <c r="W36" t="s">
        <v>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8</v>
      </c>
      <c r="AF36" t="s">
        <v>6</v>
      </c>
      <c r="AG36">
        <v>1</v>
      </c>
      <c r="AH36" t="s">
        <v>8</v>
      </c>
    </row>
    <row r="37" spans="2:34" x14ac:dyDescent="0.35">
      <c r="B37" t="s">
        <v>5</v>
      </c>
      <c r="C37">
        <v>1</v>
      </c>
      <c r="D37">
        <v>11.796711</v>
      </c>
      <c r="E37" t="s">
        <v>6</v>
      </c>
      <c r="F37" t="s">
        <v>5</v>
      </c>
      <c r="G37" t="s">
        <v>7</v>
      </c>
      <c r="H37">
        <v>6</v>
      </c>
      <c r="I37">
        <v>2</v>
      </c>
      <c r="J37">
        <v>0</v>
      </c>
      <c r="K37" t="s">
        <v>8</v>
      </c>
      <c r="L37" t="s">
        <v>6</v>
      </c>
      <c r="M37" t="s">
        <v>5</v>
      </c>
      <c r="N37" t="s">
        <v>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8</v>
      </c>
      <c r="V37">
        <v>0.5</v>
      </c>
      <c r="W37" t="s">
        <v>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8</v>
      </c>
      <c r="AF37" t="s">
        <v>6</v>
      </c>
      <c r="AG37">
        <v>1</v>
      </c>
      <c r="AH37" t="s">
        <v>8</v>
      </c>
    </row>
    <row r="38" spans="2:34" x14ac:dyDescent="0.35">
      <c r="B38" t="s">
        <v>5</v>
      </c>
      <c r="C38">
        <v>2</v>
      </c>
      <c r="D38">
        <v>12.256031</v>
      </c>
      <c r="E38" t="s">
        <v>6</v>
      </c>
      <c r="F38" t="s">
        <v>5</v>
      </c>
      <c r="G38" t="s">
        <v>7</v>
      </c>
      <c r="H38">
        <v>6</v>
      </c>
      <c r="I38">
        <v>1</v>
      </c>
      <c r="J38">
        <v>0</v>
      </c>
      <c r="K38" t="s">
        <v>8</v>
      </c>
      <c r="L38" t="s">
        <v>6</v>
      </c>
      <c r="M38" t="s">
        <v>5</v>
      </c>
      <c r="N38" t="s">
        <v>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8</v>
      </c>
      <c r="V38">
        <v>0.7</v>
      </c>
      <c r="W38" t="s">
        <v>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</v>
      </c>
      <c r="AF38" t="s">
        <v>6</v>
      </c>
      <c r="AG38">
        <v>1</v>
      </c>
      <c r="AH38" t="s">
        <v>8</v>
      </c>
    </row>
    <row r="39" spans="2:34" x14ac:dyDescent="0.35">
      <c r="B39" t="s">
        <v>9</v>
      </c>
      <c r="C39">
        <v>1</v>
      </c>
      <c r="D39">
        <v>13.584472</v>
      </c>
      <c r="E39" t="s">
        <v>6</v>
      </c>
      <c r="F39" t="s">
        <v>9</v>
      </c>
      <c r="G39" t="s">
        <v>7</v>
      </c>
      <c r="H39">
        <v>6</v>
      </c>
      <c r="I39">
        <v>3</v>
      </c>
      <c r="J39">
        <v>1</v>
      </c>
      <c r="K39" t="s">
        <v>8</v>
      </c>
      <c r="L39" t="s">
        <v>6</v>
      </c>
      <c r="M39" t="s">
        <v>5</v>
      </c>
      <c r="N39" t="s">
        <v>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8</v>
      </c>
      <c r="V39">
        <v>0.45</v>
      </c>
      <c r="W39" t="s">
        <v>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8</v>
      </c>
      <c r="AF39" t="s">
        <v>6</v>
      </c>
      <c r="AG39">
        <v>1</v>
      </c>
      <c r="AH39" t="s">
        <v>8</v>
      </c>
    </row>
    <row r="40" spans="2:34" x14ac:dyDescent="0.35">
      <c r="B40" t="s">
        <v>9</v>
      </c>
      <c r="C40">
        <v>2</v>
      </c>
      <c r="D40">
        <v>15.824567</v>
      </c>
      <c r="E40" t="s">
        <v>6</v>
      </c>
      <c r="F40" t="s">
        <v>9</v>
      </c>
      <c r="G40" t="s">
        <v>7</v>
      </c>
      <c r="H40">
        <v>6</v>
      </c>
      <c r="I40">
        <v>1</v>
      </c>
      <c r="J40">
        <v>1</v>
      </c>
      <c r="K40" t="s">
        <v>8</v>
      </c>
      <c r="L40" t="s">
        <v>6</v>
      </c>
      <c r="M40" t="s">
        <v>5</v>
      </c>
      <c r="N40" t="s">
        <v>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8</v>
      </c>
      <c r="V40">
        <v>0.37</v>
      </c>
      <c r="W40" t="s">
        <v>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</v>
      </c>
      <c r="AF40" t="s">
        <v>6</v>
      </c>
      <c r="AG40">
        <v>1</v>
      </c>
      <c r="AH40" t="s">
        <v>8</v>
      </c>
    </row>
    <row r="41" spans="2:34" x14ac:dyDescent="0.35">
      <c r="B41" t="s">
        <v>5</v>
      </c>
      <c r="C41">
        <v>3</v>
      </c>
      <c r="D41">
        <v>16.035181999999999</v>
      </c>
      <c r="E41" t="s">
        <v>6</v>
      </c>
      <c r="F41" t="s">
        <v>5</v>
      </c>
      <c r="G41" t="s">
        <v>7</v>
      </c>
      <c r="H41">
        <v>6</v>
      </c>
      <c r="I41">
        <v>0</v>
      </c>
      <c r="J41">
        <v>0</v>
      </c>
      <c r="K41" t="s">
        <v>8</v>
      </c>
      <c r="L41" t="s">
        <v>6</v>
      </c>
      <c r="M41" t="s">
        <v>5</v>
      </c>
      <c r="N41" t="s">
        <v>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8</v>
      </c>
      <c r="V41">
        <v>0.35</v>
      </c>
      <c r="W41" t="s">
        <v>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8</v>
      </c>
      <c r="AF41" t="s">
        <v>6</v>
      </c>
      <c r="AG41">
        <v>1</v>
      </c>
      <c r="AH41" t="s">
        <v>8</v>
      </c>
    </row>
    <row r="42" spans="2:34" x14ac:dyDescent="0.35">
      <c r="B42" t="s">
        <v>5</v>
      </c>
      <c r="C42">
        <v>4</v>
      </c>
      <c r="D42">
        <v>20.680357999999998</v>
      </c>
      <c r="E42" t="s">
        <v>6</v>
      </c>
      <c r="F42" t="s">
        <v>5</v>
      </c>
      <c r="G42" t="s">
        <v>7</v>
      </c>
      <c r="H42">
        <v>6</v>
      </c>
      <c r="I42">
        <v>0</v>
      </c>
      <c r="J42">
        <v>0</v>
      </c>
      <c r="K42" t="s">
        <v>8</v>
      </c>
      <c r="L42" t="s">
        <v>6</v>
      </c>
      <c r="M42" t="s">
        <v>5</v>
      </c>
      <c r="N42" t="s">
        <v>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8</v>
      </c>
      <c r="V42">
        <v>0.25</v>
      </c>
      <c r="W42" t="s">
        <v>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8</v>
      </c>
      <c r="AF42" t="s">
        <v>6</v>
      </c>
      <c r="AG42">
        <v>1</v>
      </c>
      <c r="AH42" t="s">
        <v>8</v>
      </c>
    </row>
    <row r="43" spans="2:34" x14ac:dyDescent="0.35">
      <c r="B43" t="s">
        <v>9</v>
      </c>
      <c r="C43">
        <v>3</v>
      </c>
      <c r="D43">
        <v>20.688514999999999</v>
      </c>
      <c r="E43" t="s">
        <v>6</v>
      </c>
      <c r="F43" t="s">
        <v>9</v>
      </c>
      <c r="G43" t="s">
        <v>7</v>
      </c>
      <c r="H43">
        <v>6</v>
      </c>
      <c r="I43">
        <v>1</v>
      </c>
      <c r="J43">
        <v>1</v>
      </c>
      <c r="K43" t="s">
        <v>8</v>
      </c>
      <c r="L43" t="s">
        <v>6</v>
      </c>
      <c r="M43" t="s">
        <v>5</v>
      </c>
      <c r="N43" t="s">
        <v>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8</v>
      </c>
      <c r="V43">
        <v>0.44</v>
      </c>
      <c r="W43" t="s">
        <v>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8</v>
      </c>
      <c r="AF43" t="s">
        <v>6</v>
      </c>
      <c r="AG43">
        <v>1</v>
      </c>
      <c r="AH43" t="s">
        <v>8</v>
      </c>
    </row>
    <row r="44" spans="2:34" x14ac:dyDescent="0.35">
      <c r="B44" t="s">
        <v>9</v>
      </c>
      <c r="C44">
        <v>4</v>
      </c>
      <c r="D44">
        <v>27.385221999999999</v>
      </c>
      <c r="E44" t="s">
        <v>6</v>
      </c>
      <c r="F44" t="s">
        <v>9</v>
      </c>
      <c r="G44" t="s">
        <v>7</v>
      </c>
      <c r="H44">
        <v>6</v>
      </c>
      <c r="I44">
        <v>5</v>
      </c>
      <c r="J44">
        <v>1</v>
      </c>
      <c r="K44" t="s">
        <v>8</v>
      </c>
      <c r="L44" t="s">
        <v>6</v>
      </c>
      <c r="M44" t="s">
        <v>5</v>
      </c>
      <c r="N44" t="s">
        <v>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8</v>
      </c>
      <c r="V44">
        <v>0.32</v>
      </c>
      <c r="W44" t="s">
        <v>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8</v>
      </c>
      <c r="AF44" t="s">
        <v>6</v>
      </c>
      <c r="AG44">
        <v>1</v>
      </c>
      <c r="AH44" t="s">
        <v>8</v>
      </c>
    </row>
    <row r="45" spans="2:34" x14ac:dyDescent="0.35">
      <c r="B45" t="s">
        <v>5</v>
      </c>
      <c r="C45">
        <v>5</v>
      </c>
      <c r="D45">
        <v>27.385334</v>
      </c>
      <c r="E45" t="s">
        <v>6</v>
      </c>
      <c r="F45" t="s">
        <v>5</v>
      </c>
      <c r="G45" t="s">
        <v>7</v>
      </c>
      <c r="H45">
        <v>6</v>
      </c>
      <c r="I45">
        <v>5</v>
      </c>
      <c r="J45">
        <v>0</v>
      </c>
      <c r="K45" t="s">
        <v>8</v>
      </c>
      <c r="L45" t="s">
        <v>6</v>
      </c>
      <c r="M45" t="s">
        <v>5</v>
      </c>
      <c r="N45" t="s">
        <v>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8</v>
      </c>
      <c r="V45">
        <v>0.32</v>
      </c>
      <c r="W45" t="s">
        <v>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8</v>
      </c>
      <c r="AF45" t="s">
        <v>6</v>
      </c>
      <c r="AG45">
        <v>1</v>
      </c>
      <c r="AH45" t="s">
        <v>8</v>
      </c>
    </row>
    <row r="46" spans="2:34" x14ac:dyDescent="0.35">
      <c r="B46" t="s">
        <v>5</v>
      </c>
      <c r="C46">
        <v>6</v>
      </c>
      <c r="D46">
        <v>36.008718000000002</v>
      </c>
      <c r="E46" t="s">
        <v>6</v>
      </c>
      <c r="F46" t="s">
        <v>5</v>
      </c>
      <c r="G46" t="s">
        <v>7</v>
      </c>
      <c r="H46">
        <v>6</v>
      </c>
      <c r="I46">
        <v>6</v>
      </c>
      <c r="J46">
        <v>0</v>
      </c>
      <c r="K46" t="s">
        <v>8</v>
      </c>
      <c r="L46" t="s">
        <v>6</v>
      </c>
      <c r="M46" t="s">
        <v>5</v>
      </c>
      <c r="N46" t="s">
        <v>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8</v>
      </c>
      <c r="V46">
        <v>0.37</v>
      </c>
      <c r="W46" t="s">
        <v>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8</v>
      </c>
      <c r="AF46" t="s">
        <v>6</v>
      </c>
      <c r="AG46">
        <v>1</v>
      </c>
      <c r="AH46" t="s">
        <v>8</v>
      </c>
    </row>
    <row r="47" spans="2:34" x14ac:dyDescent="0.35">
      <c r="B47" t="s">
        <v>9</v>
      </c>
      <c r="C47">
        <v>5</v>
      </c>
      <c r="D47">
        <v>36.008718999999999</v>
      </c>
      <c r="E47" t="s">
        <v>6</v>
      </c>
      <c r="F47" t="s">
        <v>9</v>
      </c>
      <c r="G47" t="s">
        <v>7</v>
      </c>
      <c r="H47">
        <v>6</v>
      </c>
      <c r="I47">
        <v>6</v>
      </c>
      <c r="J47">
        <v>1</v>
      </c>
      <c r="K47" t="s">
        <v>8</v>
      </c>
      <c r="L47" t="s">
        <v>6</v>
      </c>
      <c r="M47" t="s">
        <v>5</v>
      </c>
      <c r="N47" t="s">
        <v>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8</v>
      </c>
      <c r="V47">
        <v>0.37</v>
      </c>
      <c r="W47" t="s">
        <v>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8</v>
      </c>
      <c r="AF47" t="s">
        <v>6</v>
      </c>
      <c r="AG47">
        <v>1</v>
      </c>
      <c r="AH47" t="s">
        <v>8</v>
      </c>
    </row>
    <row r="48" spans="2:34" x14ac:dyDescent="0.35">
      <c r="B48" t="s">
        <v>5</v>
      </c>
      <c r="C48">
        <v>7</v>
      </c>
      <c r="D48">
        <v>46.546965</v>
      </c>
      <c r="E48" t="s">
        <v>6</v>
      </c>
      <c r="F48" t="s">
        <v>5</v>
      </c>
      <c r="G48" t="s">
        <v>7</v>
      </c>
      <c r="H48">
        <v>6</v>
      </c>
      <c r="I48">
        <v>6</v>
      </c>
      <c r="J48">
        <v>0</v>
      </c>
      <c r="K48" t="s">
        <v>8</v>
      </c>
      <c r="L48" t="s">
        <v>6</v>
      </c>
      <c r="M48" t="s">
        <v>5</v>
      </c>
      <c r="N48" t="s">
        <v>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8</v>
      </c>
      <c r="V48">
        <v>0.47</v>
      </c>
      <c r="W48" t="s">
        <v>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8</v>
      </c>
      <c r="AF48" t="s">
        <v>6</v>
      </c>
      <c r="AG48">
        <v>1</v>
      </c>
      <c r="AH48" t="s">
        <v>8</v>
      </c>
    </row>
    <row r="49" spans="2:34" x14ac:dyDescent="0.35">
      <c r="B49" t="s">
        <v>9</v>
      </c>
      <c r="C49">
        <v>6</v>
      </c>
      <c r="D49">
        <v>46.546965</v>
      </c>
      <c r="E49" t="s">
        <v>6</v>
      </c>
      <c r="F49" t="s">
        <v>9</v>
      </c>
      <c r="G49" t="s">
        <v>7</v>
      </c>
      <c r="H49">
        <v>6</v>
      </c>
      <c r="I49">
        <v>6</v>
      </c>
      <c r="J49">
        <v>1</v>
      </c>
      <c r="K49" t="s">
        <v>8</v>
      </c>
      <c r="L49" t="s">
        <v>6</v>
      </c>
      <c r="M49" t="s">
        <v>5</v>
      </c>
      <c r="N49" t="s">
        <v>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8</v>
      </c>
      <c r="V49">
        <v>0.47</v>
      </c>
      <c r="W49" t="s">
        <v>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8</v>
      </c>
      <c r="AF49" t="s">
        <v>6</v>
      </c>
      <c r="AG49">
        <v>1</v>
      </c>
      <c r="AH49" t="s">
        <v>8</v>
      </c>
    </row>
    <row r="50" spans="2:34" x14ac:dyDescent="0.35">
      <c r="B50" t="s">
        <v>9</v>
      </c>
      <c r="C50">
        <v>1</v>
      </c>
      <c r="D50">
        <v>15.642677000000001</v>
      </c>
      <c r="E50" t="s">
        <v>6</v>
      </c>
      <c r="F50" t="s">
        <v>9</v>
      </c>
      <c r="G50" t="s">
        <v>7</v>
      </c>
      <c r="H50">
        <v>7</v>
      </c>
      <c r="I50">
        <v>2</v>
      </c>
      <c r="J50">
        <v>1</v>
      </c>
      <c r="K50" t="s">
        <v>8</v>
      </c>
      <c r="L50" t="s">
        <v>6</v>
      </c>
      <c r="M50" t="s">
        <v>5</v>
      </c>
      <c r="N50" t="s">
        <v>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8</v>
      </c>
      <c r="V50">
        <v>0.4</v>
      </c>
      <c r="W50" t="s">
        <v>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8</v>
      </c>
      <c r="AF50" t="s">
        <v>6</v>
      </c>
      <c r="AG50">
        <v>1</v>
      </c>
      <c r="AH50" t="s">
        <v>8</v>
      </c>
    </row>
    <row r="51" spans="2:34" x14ac:dyDescent="0.35">
      <c r="B51" t="s">
        <v>9</v>
      </c>
      <c r="C51">
        <v>2</v>
      </c>
      <c r="D51">
        <v>15.999677999999999</v>
      </c>
      <c r="E51" t="s">
        <v>6</v>
      </c>
      <c r="F51" t="s">
        <v>9</v>
      </c>
      <c r="G51" t="s">
        <v>7</v>
      </c>
      <c r="H51">
        <v>7</v>
      </c>
      <c r="I51">
        <v>1</v>
      </c>
      <c r="J51">
        <v>1</v>
      </c>
      <c r="K51" t="s">
        <v>8</v>
      </c>
      <c r="L51" t="s">
        <v>6</v>
      </c>
      <c r="M51" t="s">
        <v>5</v>
      </c>
      <c r="N51" t="s">
        <v>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8</v>
      </c>
      <c r="V51">
        <v>0.7</v>
      </c>
      <c r="W51" t="s">
        <v>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8</v>
      </c>
      <c r="AF51" t="s">
        <v>6</v>
      </c>
      <c r="AG51">
        <v>1</v>
      </c>
      <c r="AH51" t="s">
        <v>8</v>
      </c>
    </row>
    <row r="52" spans="2:34" x14ac:dyDescent="0.35">
      <c r="B52" t="s">
        <v>5</v>
      </c>
      <c r="C52">
        <v>1</v>
      </c>
      <c r="D52">
        <v>17.761641999999998</v>
      </c>
      <c r="E52" t="s">
        <v>6</v>
      </c>
      <c r="F52" t="s">
        <v>5</v>
      </c>
      <c r="G52" t="s">
        <v>7</v>
      </c>
      <c r="H52">
        <v>7</v>
      </c>
      <c r="I52">
        <v>3</v>
      </c>
      <c r="J52">
        <v>0</v>
      </c>
      <c r="K52" t="s">
        <v>8</v>
      </c>
      <c r="L52" t="s">
        <v>6</v>
      </c>
      <c r="M52" t="s">
        <v>5</v>
      </c>
      <c r="N52" t="s">
        <v>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8</v>
      </c>
      <c r="V52">
        <v>0.52</v>
      </c>
      <c r="W52" t="s">
        <v>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8</v>
      </c>
      <c r="AF52" t="s">
        <v>6</v>
      </c>
      <c r="AG52">
        <v>1</v>
      </c>
      <c r="AH52" t="s">
        <v>8</v>
      </c>
    </row>
    <row r="53" spans="2:34" x14ac:dyDescent="0.35">
      <c r="B53" t="s">
        <v>5</v>
      </c>
      <c r="C53">
        <v>2</v>
      </c>
      <c r="D53">
        <v>19.802434999999999</v>
      </c>
      <c r="E53" t="s">
        <v>6</v>
      </c>
      <c r="F53" t="s">
        <v>5</v>
      </c>
      <c r="G53" t="s">
        <v>7</v>
      </c>
      <c r="H53">
        <v>7</v>
      </c>
      <c r="I53">
        <v>2</v>
      </c>
      <c r="J53">
        <v>0</v>
      </c>
      <c r="K53" t="s">
        <v>8</v>
      </c>
      <c r="L53" t="s">
        <v>6</v>
      </c>
      <c r="M53" t="s">
        <v>5</v>
      </c>
      <c r="N53" t="s">
        <v>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8</v>
      </c>
      <c r="V53">
        <v>0.45</v>
      </c>
      <c r="W53" t="s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8</v>
      </c>
      <c r="AF53" t="s">
        <v>6</v>
      </c>
      <c r="AG53">
        <v>1</v>
      </c>
      <c r="AH53" t="s">
        <v>8</v>
      </c>
    </row>
    <row r="54" spans="2:34" x14ac:dyDescent="0.35">
      <c r="B54" t="s">
        <v>9</v>
      </c>
      <c r="C54">
        <v>3</v>
      </c>
      <c r="D54">
        <v>20.168804999999999</v>
      </c>
      <c r="E54" t="s">
        <v>6</v>
      </c>
      <c r="F54" t="s">
        <v>9</v>
      </c>
      <c r="G54" t="s">
        <v>7</v>
      </c>
      <c r="H54">
        <v>7</v>
      </c>
      <c r="I54">
        <v>4</v>
      </c>
      <c r="J54">
        <v>1</v>
      </c>
      <c r="K54" t="s">
        <v>8</v>
      </c>
      <c r="L54" t="s">
        <v>6</v>
      </c>
      <c r="M54" t="s">
        <v>5</v>
      </c>
      <c r="N54" t="s">
        <v>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8</v>
      </c>
      <c r="V54">
        <v>0.35</v>
      </c>
      <c r="W54" t="s">
        <v>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8</v>
      </c>
      <c r="AF54" t="s">
        <v>6</v>
      </c>
      <c r="AG54">
        <v>1</v>
      </c>
      <c r="AH54" t="s">
        <v>8</v>
      </c>
    </row>
    <row r="55" spans="2:34" x14ac:dyDescent="0.35">
      <c r="B55" t="s">
        <v>9</v>
      </c>
      <c r="C55">
        <v>4</v>
      </c>
      <c r="D55">
        <v>24.703381</v>
      </c>
      <c r="E55" t="s">
        <v>6</v>
      </c>
      <c r="F55" t="s">
        <v>9</v>
      </c>
      <c r="G55" t="s">
        <v>7</v>
      </c>
      <c r="H55">
        <v>7</v>
      </c>
      <c r="I55">
        <v>0</v>
      </c>
      <c r="J55">
        <v>1</v>
      </c>
      <c r="K55" t="s">
        <v>8</v>
      </c>
      <c r="L55" t="s">
        <v>6</v>
      </c>
      <c r="M55" t="s">
        <v>5</v>
      </c>
      <c r="N55" t="s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8</v>
      </c>
      <c r="V55">
        <v>0.33</v>
      </c>
      <c r="W55" t="s">
        <v>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8</v>
      </c>
      <c r="AF55" t="s">
        <v>6</v>
      </c>
      <c r="AG55">
        <v>1</v>
      </c>
      <c r="AH55" t="s">
        <v>8</v>
      </c>
    </row>
    <row r="56" spans="2:34" x14ac:dyDescent="0.35">
      <c r="B56" t="s">
        <v>5</v>
      </c>
      <c r="C56">
        <v>3</v>
      </c>
      <c r="D56">
        <v>24.723624999999998</v>
      </c>
      <c r="E56" t="s">
        <v>6</v>
      </c>
      <c r="F56" t="s">
        <v>5</v>
      </c>
      <c r="G56" t="s">
        <v>7</v>
      </c>
      <c r="H56">
        <v>7</v>
      </c>
      <c r="I56">
        <v>1</v>
      </c>
      <c r="J56">
        <v>0</v>
      </c>
      <c r="K56" t="s">
        <v>8</v>
      </c>
      <c r="L56" t="s">
        <v>6</v>
      </c>
      <c r="M56" t="s">
        <v>5</v>
      </c>
      <c r="N56" t="s">
        <v>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8</v>
      </c>
      <c r="V56">
        <v>0.45</v>
      </c>
      <c r="W56" t="s">
        <v>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8</v>
      </c>
      <c r="AF56" t="s">
        <v>6</v>
      </c>
      <c r="AG56">
        <v>1</v>
      </c>
      <c r="AH56" t="s">
        <v>8</v>
      </c>
    </row>
    <row r="57" spans="2:34" x14ac:dyDescent="0.35">
      <c r="B57" t="s">
        <v>5</v>
      </c>
      <c r="C57">
        <v>4</v>
      </c>
      <c r="D57">
        <v>31.403724</v>
      </c>
      <c r="E57" t="s">
        <v>6</v>
      </c>
      <c r="F57" t="s">
        <v>5</v>
      </c>
      <c r="G57" t="s">
        <v>7</v>
      </c>
      <c r="H57">
        <v>7</v>
      </c>
      <c r="I57">
        <v>1</v>
      </c>
      <c r="J57">
        <v>0</v>
      </c>
      <c r="K57" t="s">
        <v>8</v>
      </c>
      <c r="L57" t="s">
        <v>6</v>
      </c>
      <c r="M57" t="s">
        <v>5</v>
      </c>
      <c r="N57" t="s">
        <v>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8</v>
      </c>
      <c r="V57">
        <v>0.27</v>
      </c>
      <c r="W57" t="s">
        <v>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8</v>
      </c>
      <c r="AF57" t="s">
        <v>6</v>
      </c>
      <c r="AG57">
        <v>1</v>
      </c>
      <c r="AH57" t="s">
        <v>8</v>
      </c>
    </row>
    <row r="58" spans="2:34" x14ac:dyDescent="0.35">
      <c r="B58" t="s">
        <v>9</v>
      </c>
      <c r="C58">
        <v>5</v>
      </c>
      <c r="D58">
        <v>31.404136000000001</v>
      </c>
      <c r="E58" t="s">
        <v>6</v>
      </c>
      <c r="F58" t="s">
        <v>9</v>
      </c>
      <c r="G58" t="s">
        <v>7</v>
      </c>
      <c r="H58">
        <v>7</v>
      </c>
      <c r="I58">
        <v>6</v>
      </c>
      <c r="J58">
        <v>1</v>
      </c>
      <c r="K58" t="s">
        <v>8</v>
      </c>
      <c r="L58" t="s">
        <v>6</v>
      </c>
      <c r="M58" t="s">
        <v>5</v>
      </c>
      <c r="N58" t="s">
        <v>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8</v>
      </c>
      <c r="V58">
        <v>0.24</v>
      </c>
      <c r="W58" t="s">
        <v>6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8</v>
      </c>
      <c r="AF58" t="s">
        <v>6</v>
      </c>
      <c r="AG58">
        <v>1</v>
      </c>
      <c r="AH58" t="s">
        <v>8</v>
      </c>
    </row>
    <row r="59" spans="2:34" x14ac:dyDescent="0.35">
      <c r="B59" t="s">
        <v>9</v>
      </c>
      <c r="C59">
        <v>6</v>
      </c>
      <c r="D59">
        <v>40.023257999999998</v>
      </c>
      <c r="E59" t="s">
        <v>6</v>
      </c>
      <c r="F59" t="s">
        <v>9</v>
      </c>
      <c r="G59" t="s">
        <v>7</v>
      </c>
      <c r="H59">
        <v>7</v>
      </c>
      <c r="I59">
        <v>6</v>
      </c>
      <c r="J59">
        <v>1</v>
      </c>
      <c r="K59" t="s">
        <v>8</v>
      </c>
      <c r="L59" t="s">
        <v>6</v>
      </c>
      <c r="M59" t="s">
        <v>5</v>
      </c>
      <c r="N59" t="s">
        <v>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8</v>
      </c>
      <c r="V59">
        <v>0.27</v>
      </c>
      <c r="W59" t="s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8</v>
      </c>
      <c r="AF59" t="s">
        <v>6</v>
      </c>
      <c r="AG59">
        <v>1</v>
      </c>
      <c r="AH59" t="s">
        <v>8</v>
      </c>
    </row>
    <row r="60" spans="2:34" x14ac:dyDescent="0.35">
      <c r="B60" t="s">
        <v>5</v>
      </c>
      <c r="C60">
        <v>5</v>
      </c>
      <c r="D60">
        <v>40.023260999999998</v>
      </c>
      <c r="E60" t="s">
        <v>6</v>
      </c>
      <c r="F60" t="s">
        <v>5</v>
      </c>
      <c r="G60" t="s">
        <v>7</v>
      </c>
      <c r="H60">
        <v>7</v>
      </c>
      <c r="I60">
        <v>6</v>
      </c>
      <c r="J60">
        <v>0</v>
      </c>
      <c r="K60" t="s">
        <v>8</v>
      </c>
      <c r="L60" t="s">
        <v>6</v>
      </c>
      <c r="M60" t="s">
        <v>5</v>
      </c>
      <c r="N60" t="s">
        <v>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8</v>
      </c>
      <c r="V60">
        <v>0.27</v>
      </c>
      <c r="W60" t="s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8</v>
      </c>
      <c r="AF60" t="s">
        <v>6</v>
      </c>
      <c r="AG60">
        <v>1</v>
      </c>
      <c r="AH60" t="s">
        <v>8</v>
      </c>
    </row>
    <row r="61" spans="2:34" x14ac:dyDescent="0.35">
      <c r="B61" t="s">
        <v>5</v>
      </c>
      <c r="C61">
        <v>6</v>
      </c>
      <c r="D61">
        <v>50.559663</v>
      </c>
      <c r="E61" t="s">
        <v>6</v>
      </c>
      <c r="F61" t="s">
        <v>5</v>
      </c>
      <c r="G61" t="s">
        <v>7</v>
      </c>
      <c r="H61">
        <v>7</v>
      </c>
      <c r="I61">
        <v>7</v>
      </c>
      <c r="J61">
        <v>0</v>
      </c>
      <c r="K61" t="s">
        <v>8</v>
      </c>
      <c r="L61" t="s">
        <v>6</v>
      </c>
      <c r="M61" t="s">
        <v>5</v>
      </c>
      <c r="N61" t="s">
        <v>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8</v>
      </c>
      <c r="V61">
        <v>0.38</v>
      </c>
      <c r="W61" t="s">
        <v>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8</v>
      </c>
      <c r="AF61" t="s">
        <v>6</v>
      </c>
      <c r="AG61">
        <v>1</v>
      </c>
      <c r="AH61" t="s">
        <v>8</v>
      </c>
    </row>
    <row r="62" spans="2:34" x14ac:dyDescent="0.35">
      <c r="B62" t="s">
        <v>9</v>
      </c>
      <c r="C62">
        <v>7</v>
      </c>
      <c r="D62">
        <v>50.559663</v>
      </c>
      <c r="E62" t="s">
        <v>6</v>
      </c>
      <c r="F62" t="s">
        <v>9</v>
      </c>
      <c r="G62" t="s">
        <v>7</v>
      </c>
      <c r="H62">
        <v>7</v>
      </c>
      <c r="I62">
        <v>7</v>
      </c>
      <c r="J62">
        <v>1</v>
      </c>
      <c r="K62" t="s">
        <v>8</v>
      </c>
      <c r="L62" t="s">
        <v>6</v>
      </c>
      <c r="M62" t="s">
        <v>5</v>
      </c>
      <c r="N62" t="s">
        <v>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8</v>
      </c>
      <c r="V62">
        <v>0.38</v>
      </c>
      <c r="W62" t="s">
        <v>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8</v>
      </c>
      <c r="AF62" t="s">
        <v>6</v>
      </c>
      <c r="AG62">
        <v>1</v>
      </c>
      <c r="AH62" t="s">
        <v>8</v>
      </c>
    </row>
    <row r="63" spans="2:34" x14ac:dyDescent="0.35">
      <c r="B63" t="s">
        <v>5</v>
      </c>
      <c r="C63">
        <v>7</v>
      </c>
      <c r="D63">
        <v>63.007086000000001</v>
      </c>
      <c r="E63" t="s">
        <v>6</v>
      </c>
      <c r="F63" t="s">
        <v>5</v>
      </c>
      <c r="G63" t="s">
        <v>7</v>
      </c>
      <c r="H63">
        <v>7</v>
      </c>
      <c r="I63">
        <v>7</v>
      </c>
      <c r="J63">
        <v>0</v>
      </c>
      <c r="K63" t="s">
        <v>8</v>
      </c>
      <c r="L63" t="s">
        <v>6</v>
      </c>
      <c r="M63" t="s">
        <v>5</v>
      </c>
      <c r="N63" t="s">
        <v>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8</v>
      </c>
      <c r="V63">
        <v>0.41</v>
      </c>
      <c r="W63" t="s">
        <v>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8</v>
      </c>
      <c r="AF63" t="s">
        <v>6</v>
      </c>
      <c r="AG63">
        <v>1</v>
      </c>
      <c r="AH63" t="s">
        <v>8</v>
      </c>
    </row>
    <row r="64" spans="2:34" x14ac:dyDescent="0.35">
      <c r="B64" t="s">
        <v>9</v>
      </c>
      <c r="C64">
        <v>8</v>
      </c>
      <c r="D64">
        <v>63.007086000000001</v>
      </c>
      <c r="E64" t="s">
        <v>6</v>
      </c>
      <c r="F64" t="s">
        <v>9</v>
      </c>
      <c r="G64" t="s">
        <v>7</v>
      </c>
      <c r="H64">
        <v>7</v>
      </c>
      <c r="I64">
        <v>7</v>
      </c>
      <c r="J64">
        <v>1</v>
      </c>
      <c r="K64" t="s">
        <v>8</v>
      </c>
      <c r="L64" t="s">
        <v>6</v>
      </c>
      <c r="M64" t="s">
        <v>5</v>
      </c>
      <c r="N64" t="s">
        <v>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8</v>
      </c>
      <c r="V64">
        <v>0.41</v>
      </c>
      <c r="W64" t="s">
        <v>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8</v>
      </c>
      <c r="AF64" t="s">
        <v>6</v>
      </c>
      <c r="AG64">
        <v>1</v>
      </c>
      <c r="AH64" t="s">
        <v>8</v>
      </c>
    </row>
    <row r="65" spans="2:34" x14ac:dyDescent="0.35">
      <c r="B65" t="s">
        <v>5</v>
      </c>
      <c r="C65">
        <v>1</v>
      </c>
      <c r="D65">
        <v>19.998311999999999</v>
      </c>
      <c r="E65" t="s">
        <v>6</v>
      </c>
      <c r="F65" t="s">
        <v>5</v>
      </c>
      <c r="G65" t="s">
        <v>7</v>
      </c>
      <c r="H65">
        <v>8</v>
      </c>
      <c r="I65">
        <v>3</v>
      </c>
      <c r="J65">
        <v>0</v>
      </c>
      <c r="K65" t="s">
        <v>8</v>
      </c>
      <c r="L65" t="s">
        <v>6</v>
      </c>
      <c r="M65" t="s">
        <v>5</v>
      </c>
      <c r="N65" t="s">
        <v>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8</v>
      </c>
      <c r="V65">
        <v>0.31</v>
      </c>
      <c r="W65" t="s">
        <v>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8</v>
      </c>
      <c r="AF65" t="s">
        <v>6</v>
      </c>
      <c r="AG65">
        <v>1</v>
      </c>
      <c r="AH65" t="s">
        <v>8</v>
      </c>
    </row>
    <row r="66" spans="2:34" x14ac:dyDescent="0.35">
      <c r="B66" t="s">
        <v>5</v>
      </c>
      <c r="C66">
        <v>2</v>
      </c>
      <c r="D66">
        <v>20.266819999999999</v>
      </c>
      <c r="E66" t="s">
        <v>6</v>
      </c>
      <c r="F66" t="s">
        <v>5</v>
      </c>
      <c r="G66" t="s">
        <v>7</v>
      </c>
      <c r="H66">
        <v>8</v>
      </c>
      <c r="I66">
        <v>1</v>
      </c>
      <c r="J66">
        <v>0</v>
      </c>
      <c r="K66" t="s">
        <v>8</v>
      </c>
      <c r="L66" t="s">
        <v>6</v>
      </c>
      <c r="M66" t="s">
        <v>5</v>
      </c>
      <c r="N66" t="s">
        <v>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8</v>
      </c>
      <c r="V66">
        <v>0.43</v>
      </c>
      <c r="W66" t="s">
        <v>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8</v>
      </c>
      <c r="AF66" t="s">
        <v>6</v>
      </c>
      <c r="AG66">
        <v>1</v>
      </c>
      <c r="AH66" t="s">
        <v>8</v>
      </c>
    </row>
    <row r="67" spans="2:34" x14ac:dyDescent="0.35">
      <c r="B67" t="s">
        <v>9</v>
      </c>
      <c r="C67">
        <v>1</v>
      </c>
      <c r="D67">
        <v>22.514234999999999</v>
      </c>
      <c r="E67" t="s">
        <v>6</v>
      </c>
      <c r="F67" t="s">
        <v>9</v>
      </c>
      <c r="G67" t="s">
        <v>7</v>
      </c>
      <c r="H67">
        <v>8</v>
      </c>
      <c r="I67">
        <v>3</v>
      </c>
      <c r="J67">
        <v>1</v>
      </c>
      <c r="K67" t="s">
        <v>8</v>
      </c>
      <c r="L67" t="s">
        <v>6</v>
      </c>
      <c r="M67" t="s">
        <v>5</v>
      </c>
      <c r="N67" t="s">
        <v>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8</v>
      </c>
      <c r="V67">
        <v>0.48</v>
      </c>
      <c r="W67" t="s">
        <v>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8</v>
      </c>
      <c r="AF67" t="s">
        <v>6</v>
      </c>
      <c r="AG67">
        <v>1</v>
      </c>
      <c r="AH67" t="s">
        <v>8</v>
      </c>
    </row>
    <row r="68" spans="2:34" x14ac:dyDescent="0.35">
      <c r="B68" t="s">
        <v>9</v>
      </c>
      <c r="C68">
        <v>2</v>
      </c>
      <c r="D68">
        <v>24.338006</v>
      </c>
      <c r="E68" t="s">
        <v>6</v>
      </c>
      <c r="F68" t="s">
        <v>9</v>
      </c>
      <c r="G68" t="s">
        <v>7</v>
      </c>
      <c r="H68">
        <v>8</v>
      </c>
      <c r="I68">
        <v>2</v>
      </c>
      <c r="J68">
        <v>1</v>
      </c>
      <c r="K68" t="s">
        <v>8</v>
      </c>
      <c r="L68" t="s">
        <v>6</v>
      </c>
      <c r="M68" t="s">
        <v>5</v>
      </c>
      <c r="N68" t="s">
        <v>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8</v>
      </c>
      <c r="V68">
        <v>0.53</v>
      </c>
      <c r="W68" t="s">
        <v>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8</v>
      </c>
      <c r="AF68" t="s">
        <v>6</v>
      </c>
      <c r="AG68">
        <v>1</v>
      </c>
      <c r="AH68" t="s">
        <v>8</v>
      </c>
    </row>
    <row r="69" spans="2:34" x14ac:dyDescent="0.35">
      <c r="B69" t="s">
        <v>5</v>
      </c>
      <c r="C69">
        <v>3</v>
      </c>
      <c r="D69">
        <v>24.921441000000002</v>
      </c>
      <c r="E69" t="s">
        <v>6</v>
      </c>
      <c r="F69" t="s">
        <v>5</v>
      </c>
      <c r="G69" t="s">
        <v>7</v>
      </c>
      <c r="H69">
        <v>8</v>
      </c>
      <c r="I69">
        <v>4</v>
      </c>
      <c r="J69">
        <v>0</v>
      </c>
      <c r="K69" t="s">
        <v>8</v>
      </c>
      <c r="L69" t="s">
        <v>6</v>
      </c>
      <c r="M69" t="s">
        <v>5</v>
      </c>
      <c r="N69" t="s">
        <v>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8</v>
      </c>
      <c r="V69">
        <v>0.34</v>
      </c>
      <c r="W69" t="s">
        <v>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8</v>
      </c>
      <c r="AF69" t="s">
        <v>6</v>
      </c>
      <c r="AG69">
        <v>1</v>
      </c>
      <c r="AH69" t="s">
        <v>8</v>
      </c>
    </row>
    <row r="70" spans="2:34" x14ac:dyDescent="0.35">
      <c r="B70" t="s">
        <v>5</v>
      </c>
      <c r="C70">
        <v>4</v>
      </c>
      <c r="D70">
        <v>29.304084</v>
      </c>
      <c r="E70" t="s">
        <v>6</v>
      </c>
      <c r="F70" t="s">
        <v>5</v>
      </c>
      <c r="G70" t="s">
        <v>7</v>
      </c>
      <c r="H70">
        <v>8</v>
      </c>
      <c r="I70">
        <v>0</v>
      </c>
      <c r="J70">
        <v>0</v>
      </c>
      <c r="K70" t="s">
        <v>8</v>
      </c>
      <c r="L70" t="s">
        <v>6</v>
      </c>
      <c r="M70" t="s">
        <v>5</v>
      </c>
      <c r="N70" t="s">
        <v>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8</v>
      </c>
      <c r="V70">
        <v>0.33</v>
      </c>
      <c r="W70" t="s">
        <v>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8</v>
      </c>
      <c r="AF70" t="s">
        <v>6</v>
      </c>
      <c r="AG70">
        <v>1</v>
      </c>
      <c r="AH70" t="s">
        <v>8</v>
      </c>
    </row>
    <row r="71" spans="2:34" x14ac:dyDescent="0.35">
      <c r="B71" t="s">
        <v>9</v>
      </c>
      <c r="C71">
        <v>3</v>
      </c>
      <c r="D71">
        <v>29.348122</v>
      </c>
      <c r="E71" t="s">
        <v>6</v>
      </c>
      <c r="F71" t="s">
        <v>9</v>
      </c>
      <c r="G71" t="s">
        <v>7</v>
      </c>
      <c r="H71">
        <v>8</v>
      </c>
      <c r="I71">
        <v>1</v>
      </c>
      <c r="J71">
        <v>1</v>
      </c>
      <c r="K71" t="s">
        <v>8</v>
      </c>
      <c r="L71" t="s">
        <v>6</v>
      </c>
      <c r="M71" t="s">
        <v>5</v>
      </c>
      <c r="N71" t="s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8</v>
      </c>
      <c r="V71">
        <v>0.36</v>
      </c>
      <c r="W71" t="s">
        <v>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8</v>
      </c>
      <c r="AF71" t="s">
        <v>6</v>
      </c>
      <c r="AG71">
        <v>1</v>
      </c>
      <c r="AH71" t="s">
        <v>8</v>
      </c>
    </row>
    <row r="72" spans="2:34" x14ac:dyDescent="0.35">
      <c r="B72" t="s">
        <v>9</v>
      </c>
      <c r="C72">
        <v>4</v>
      </c>
      <c r="D72">
        <v>36.000078000000002</v>
      </c>
      <c r="E72" t="s">
        <v>6</v>
      </c>
      <c r="F72" t="s">
        <v>9</v>
      </c>
      <c r="G72" t="s">
        <v>7</v>
      </c>
      <c r="H72">
        <v>8</v>
      </c>
      <c r="I72">
        <v>1</v>
      </c>
      <c r="J72">
        <v>1</v>
      </c>
      <c r="K72" t="s">
        <v>8</v>
      </c>
      <c r="L72" t="s">
        <v>6</v>
      </c>
      <c r="M72" t="s">
        <v>5</v>
      </c>
      <c r="N72" t="s">
        <v>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8</v>
      </c>
      <c r="V72">
        <v>0.37</v>
      </c>
      <c r="W72" t="s">
        <v>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8</v>
      </c>
      <c r="AF72" t="s">
        <v>6</v>
      </c>
      <c r="AG72">
        <v>1</v>
      </c>
      <c r="AH72" t="s">
        <v>8</v>
      </c>
    </row>
    <row r="73" spans="2:34" x14ac:dyDescent="0.35">
      <c r="B73" t="s">
        <v>5</v>
      </c>
      <c r="C73">
        <v>5</v>
      </c>
      <c r="D73">
        <v>36.001309999999997</v>
      </c>
      <c r="E73" t="s">
        <v>6</v>
      </c>
      <c r="F73" t="s">
        <v>5</v>
      </c>
      <c r="G73" t="s">
        <v>7</v>
      </c>
      <c r="H73">
        <v>8</v>
      </c>
      <c r="I73">
        <v>6</v>
      </c>
      <c r="J73">
        <v>0</v>
      </c>
      <c r="K73" t="s">
        <v>8</v>
      </c>
      <c r="L73" t="s">
        <v>6</v>
      </c>
      <c r="M73" t="s">
        <v>5</v>
      </c>
      <c r="N73" t="s">
        <v>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8</v>
      </c>
      <c r="V73">
        <v>0.26</v>
      </c>
      <c r="W73" t="s">
        <v>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8</v>
      </c>
      <c r="AF73" t="s">
        <v>6</v>
      </c>
      <c r="AG73">
        <v>1</v>
      </c>
      <c r="AH73" t="s">
        <v>8</v>
      </c>
    </row>
    <row r="74" spans="2:34" x14ac:dyDescent="0.35">
      <c r="B74" t="s">
        <v>5</v>
      </c>
      <c r="C74">
        <v>6</v>
      </c>
      <c r="D74">
        <v>44.613697000000002</v>
      </c>
      <c r="E74" t="s">
        <v>6</v>
      </c>
      <c r="F74" t="s">
        <v>5</v>
      </c>
      <c r="G74" t="s">
        <v>7</v>
      </c>
      <c r="H74">
        <v>8</v>
      </c>
      <c r="I74">
        <v>7</v>
      </c>
      <c r="J74">
        <v>0</v>
      </c>
      <c r="K74" t="s">
        <v>8</v>
      </c>
      <c r="L74" t="s">
        <v>6</v>
      </c>
      <c r="M74" t="s">
        <v>5</v>
      </c>
      <c r="N74" t="s">
        <v>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8</v>
      </c>
      <c r="V74">
        <v>0.26</v>
      </c>
      <c r="W74" t="s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8</v>
      </c>
      <c r="AF74" t="s">
        <v>6</v>
      </c>
      <c r="AG74">
        <v>1</v>
      </c>
      <c r="AH74" t="s">
        <v>8</v>
      </c>
    </row>
    <row r="75" spans="2:34" x14ac:dyDescent="0.35">
      <c r="B75" t="s">
        <v>9</v>
      </c>
      <c r="C75">
        <v>5</v>
      </c>
      <c r="D75">
        <v>44.613712999999997</v>
      </c>
      <c r="E75" t="s">
        <v>6</v>
      </c>
      <c r="F75" t="s">
        <v>9</v>
      </c>
      <c r="G75" t="s">
        <v>7</v>
      </c>
      <c r="H75">
        <v>8</v>
      </c>
      <c r="I75">
        <v>7</v>
      </c>
      <c r="J75">
        <v>1</v>
      </c>
      <c r="K75" t="s">
        <v>8</v>
      </c>
      <c r="L75" t="s">
        <v>6</v>
      </c>
      <c r="M75" t="s">
        <v>5</v>
      </c>
      <c r="N75" t="s">
        <v>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8</v>
      </c>
      <c r="V75">
        <v>0.26</v>
      </c>
      <c r="W75" t="s">
        <v>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8</v>
      </c>
      <c r="AF75" t="s">
        <v>6</v>
      </c>
      <c r="AG75">
        <v>1</v>
      </c>
      <c r="AH75" t="s">
        <v>8</v>
      </c>
    </row>
    <row r="76" spans="2:34" x14ac:dyDescent="0.35">
      <c r="B76" t="s">
        <v>9</v>
      </c>
      <c r="C76">
        <v>6</v>
      </c>
      <c r="D76">
        <v>55.147157999999997</v>
      </c>
      <c r="E76" t="s">
        <v>6</v>
      </c>
      <c r="F76" t="s">
        <v>9</v>
      </c>
      <c r="G76" t="s">
        <v>7</v>
      </c>
      <c r="H76">
        <v>8</v>
      </c>
      <c r="I76">
        <v>7</v>
      </c>
      <c r="J76">
        <v>1</v>
      </c>
      <c r="K76" t="s">
        <v>8</v>
      </c>
      <c r="L76" t="s">
        <v>6</v>
      </c>
      <c r="M76" t="s">
        <v>5</v>
      </c>
      <c r="N76" t="s">
        <v>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8</v>
      </c>
      <c r="V76">
        <v>0.22</v>
      </c>
      <c r="W76" t="s">
        <v>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8</v>
      </c>
      <c r="AF76" t="s">
        <v>6</v>
      </c>
      <c r="AG76">
        <v>1</v>
      </c>
      <c r="AH76" t="s">
        <v>8</v>
      </c>
    </row>
    <row r="77" spans="2:34" x14ac:dyDescent="0.35">
      <c r="B77" t="s">
        <v>5</v>
      </c>
      <c r="C77">
        <v>7</v>
      </c>
      <c r="D77">
        <v>55.147159000000002</v>
      </c>
      <c r="E77" t="s">
        <v>6</v>
      </c>
      <c r="F77" t="s">
        <v>5</v>
      </c>
      <c r="G77" t="s">
        <v>7</v>
      </c>
      <c r="H77">
        <v>8</v>
      </c>
      <c r="I77">
        <v>7</v>
      </c>
      <c r="J77">
        <v>0</v>
      </c>
      <c r="K77" t="s">
        <v>8</v>
      </c>
      <c r="L77" t="s">
        <v>6</v>
      </c>
      <c r="M77" t="s">
        <v>5</v>
      </c>
      <c r="N77" t="s">
        <v>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8</v>
      </c>
      <c r="V77">
        <v>0.22</v>
      </c>
      <c r="W77" t="s">
        <v>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8</v>
      </c>
      <c r="AF77" t="s">
        <v>6</v>
      </c>
      <c r="AG77">
        <v>1</v>
      </c>
      <c r="AH77" t="s">
        <v>8</v>
      </c>
    </row>
    <row r="78" spans="2:34" x14ac:dyDescent="0.35">
      <c r="B78" t="s">
        <v>5</v>
      </c>
      <c r="C78">
        <v>8</v>
      </c>
      <c r="D78">
        <v>67.593198999999998</v>
      </c>
      <c r="E78" t="s">
        <v>6</v>
      </c>
      <c r="F78" t="s">
        <v>5</v>
      </c>
      <c r="G78" t="s">
        <v>7</v>
      </c>
      <c r="H78">
        <v>8</v>
      </c>
      <c r="I78">
        <v>8</v>
      </c>
      <c r="J78">
        <v>0</v>
      </c>
      <c r="K78" t="s">
        <v>8</v>
      </c>
      <c r="L78" t="s">
        <v>6</v>
      </c>
      <c r="M78" t="s">
        <v>5</v>
      </c>
      <c r="N78" t="s">
        <v>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8</v>
      </c>
      <c r="V78">
        <v>0.38</v>
      </c>
      <c r="W78" t="s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8</v>
      </c>
      <c r="AF78" t="s">
        <v>6</v>
      </c>
      <c r="AG78">
        <v>1</v>
      </c>
      <c r="AH78" t="s">
        <v>8</v>
      </c>
    </row>
    <row r="79" spans="2:34" x14ac:dyDescent="0.35">
      <c r="B79" t="s">
        <v>9</v>
      </c>
      <c r="C79">
        <v>7</v>
      </c>
      <c r="D79">
        <v>67.593198999999998</v>
      </c>
      <c r="E79" t="s">
        <v>6</v>
      </c>
      <c r="F79" t="s">
        <v>9</v>
      </c>
      <c r="G79" t="s">
        <v>7</v>
      </c>
      <c r="H79">
        <v>8</v>
      </c>
      <c r="I79">
        <v>8</v>
      </c>
      <c r="J79">
        <v>1</v>
      </c>
      <c r="K79" t="s">
        <v>8</v>
      </c>
      <c r="L79" t="s">
        <v>6</v>
      </c>
      <c r="M79" t="s">
        <v>5</v>
      </c>
      <c r="N79" t="s">
        <v>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8</v>
      </c>
      <c r="V79">
        <v>0.38</v>
      </c>
      <c r="W79" t="s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8</v>
      </c>
      <c r="AF79" t="s">
        <v>6</v>
      </c>
      <c r="AG79">
        <v>1</v>
      </c>
      <c r="AH79" t="s">
        <v>8</v>
      </c>
    </row>
    <row r="80" spans="2:34" x14ac:dyDescent="0.35">
      <c r="B80" t="s">
        <v>5</v>
      </c>
      <c r="C80">
        <v>9</v>
      </c>
      <c r="D80">
        <v>81.946141999999995</v>
      </c>
      <c r="E80" t="s">
        <v>6</v>
      </c>
      <c r="F80" t="s">
        <v>5</v>
      </c>
      <c r="G80" t="s">
        <v>7</v>
      </c>
      <c r="H80">
        <v>8</v>
      </c>
      <c r="I80">
        <v>7</v>
      </c>
      <c r="J80">
        <v>0</v>
      </c>
      <c r="K80" t="s">
        <v>8</v>
      </c>
      <c r="L80" t="s">
        <v>6</v>
      </c>
      <c r="M80" t="s">
        <v>5</v>
      </c>
      <c r="N80" t="s">
        <v>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8</v>
      </c>
      <c r="V80">
        <v>0.36</v>
      </c>
      <c r="W80" t="s">
        <v>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8</v>
      </c>
      <c r="AF80" t="s">
        <v>6</v>
      </c>
      <c r="AG80">
        <v>1</v>
      </c>
      <c r="AH80" t="s">
        <v>8</v>
      </c>
    </row>
    <row r="81" spans="2:34" x14ac:dyDescent="0.35">
      <c r="B81" t="s">
        <v>9</v>
      </c>
      <c r="C81">
        <v>8</v>
      </c>
      <c r="D81">
        <v>81.946141999999995</v>
      </c>
      <c r="E81" t="s">
        <v>6</v>
      </c>
      <c r="F81" t="s">
        <v>9</v>
      </c>
      <c r="G81" t="s">
        <v>7</v>
      </c>
      <c r="H81">
        <v>8</v>
      </c>
      <c r="I81">
        <v>7</v>
      </c>
      <c r="J81">
        <v>1</v>
      </c>
      <c r="K81" t="s">
        <v>8</v>
      </c>
      <c r="L81" t="s">
        <v>6</v>
      </c>
      <c r="M81" t="s">
        <v>5</v>
      </c>
      <c r="N81" t="s">
        <v>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8</v>
      </c>
      <c r="V81">
        <v>0.36</v>
      </c>
      <c r="W81" t="s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8</v>
      </c>
      <c r="AF81" t="s">
        <v>6</v>
      </c>
      <c r="AG81">
        <v>1</v>
      </c>
      <c r="AH81" t="s">
        <v>8</v>
      </c>
    </row>
    <row r="82" spans="2:34" x14ac:dyDescent="0.35">
      <c r="B82" t="s">
        <v>9</v>
      </c>
      <c r="C82">
        <v>1</v>
      </c>
      <c r="D82">
        <v>24.858163999999999</v>
      </c>
      <c r="E82" t="s">
        <v>6</v>
      </c>
      <c r="F82" t="s">
        <v>9</v>
      </c>
      <c r="G82" t="s">
        <v>7</v>
      </c>
      <c r="H82">
        <v>9</v>
      </c>
      <c r="I82">
        <v>1</v>
      </c>
      <c r="J82">
        <v>1</v>
      </c>
      <c r="K82" t="s">
        <v>8</v>
      </c>
      <c r="L82" t="s">
        <v>6</v>
      </c>
      <c r="M82" t="s">
        <v>5</v>
      </c>
      <c r="N82" t="s">
        <v>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8</v>
      </c>
      <c r="V82">
        <v>0.43</v>
      </c>
      <c r="W82" t="s">
        <v>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8</v>
      </c>
      <c r="AF82" t="s">
        <v>6</v>
      </c>
      <c r="AG82">
        <v>1</v>
      </c>
      <c r="AH82" t="s">
        <v>8</v>
      </c>
    </row>
    <row r="83" spans="2:34" x14ac:dyDescent="0.35">
      <c r="B83" t="s">
        <v>9</v>
      </c>
      <c r="C83">
        <v>2</v>
      </c>
      <c r="D83">
        <v>25.054452999999999</v>
      </c>
      <c r="E83" t="s">
        <v>6</v>
      </c>
      <c r="F83" t="s">
        <v>9</v>
      </c>
      <c r="G83" t="s">
        <v>7</v>
      </c>
      <c r="H83">
        <v>9</v>
      </c>
      <c r="I83">
        <v>2</v>
      </c>
      <c r="J83">
        <v>1</v>
      </c>
      <c r="K83" t="s">
        <v>8</v>
      </c>
      <c r="L83" t="s">
        <v>6</v>
      </c>
      <c r="M83" t="s">
        <v>5</v>
      </c>
      <c r="N83" t="s">
        <v>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8</v>
      </c>
      <c r="V83">
        <v>0.47</v>
      </c>
      <c r="W83" t="s">
        <v>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8</v>
      </c>
      <c r="AF83" t="s">
        <v>6</v>
      </c>
      <c r="AG83">
        <v>1</v>
      </c>
      <c r="AH83" t="s">
        <v>8</v>
      </c>
    </row>
    <row r="84" spans="2:34" x14ac:dyDescent="0.35">
      <c r="B84" t="s">
        <v>5</v>
      </c>
      <c r="C84">
        <v>1</v>
      </c>
      <c r="D84">
        <v>27.832077000000002</v>
      </c>
      <c r="E84" t="s">
        <v>6</v>
      </c>
      <c r="F84" t="s">
        <v>5</v>
      </c>
      <c r="G84" t="s">
        <v>7</v>
      </c>
      <c r="H84">
        <v>9</v>
      </c>
      <c r="I84">
        <v>4</v>
      </c>
      <c r="J84">
        <v>0</v>
      </c>
      <c r="K84" t="s">
        <v>8</v>
      </c>
      <c r="L84" t="s">
        <v>6</v>
      </c>
      <c r="M84" t="s">
        <v>5</v>
      </c>
      <c r="N84" t="s">
        <v>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8</v>
      </c>
      <c r="V84">
        <v>0.44</v>
      </c>
      <c r="W84" t="s">
        <v>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8</v>
      </c>
      <c r="AF84" t="s">
        <v>6</v>
      </c>
      <c r="AG84">
        <v>1</v>
      </c>
      <c r="AH84" t="s">
        <v>8</v>
      </c>
    </row>
    <row r="85" spans="2:34" x14ac:dyDescent="0.35">
      <c r="B85" t="s">
        <v>5</v>
      </c>
      <c r="C85">
        <v>2</v>
      </c>
      <c r="D85">
        <v>29.427257999999998</v>
      </c>
      <c r="E85" t="s">
        <v>6</v>
      </c>
      <c r="F85" t="s">
        <v>5</v>
      </c>
      <c r="G85" t="s">
        <v>7</v>
      </c>
      <c r="H85">
        <v>9</v>
      </c>
      <c r="I85">
        <v>2</v>
      </c>
      <c r="J85">
        <v>0</v>
      </c>
      <c r="K85" t="s">
        <v>8</v>
      </c>
      <c r="L85" t="s">
        <v>6</v>
      </c>
      <c r="M85" t="s">
        <v>5</v>
      </c>
      <c r="N85" t="s">
        <v>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8</v>
      </c>
      <c r="V85">
        <v>0.44</v>
      </c>
      <c r="W85" t="s">
        <v>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8</v>
      </c>
      <c r="AF85" t="s">
        <v>6</v>
      </c>
      <c r="AG85">
        <v>1</v>
      </c>
      <c r="AH85" t="s">
        <v>8</v>
      </c>
    </row>
    <row r="86" spans="2:34" x14ac:dyDescent="0.35">
      <c r="B86" t="s">
        <v>9</v>
      </c>
      <c r="C86">
        <v>3</v>
      </c>
      <c r="D86">
        <v>30.293876000000001</v>
      </c>
      <c r="E86" t="s">
        <v>6</v>
      </c>
      <c r="F86" t="s">
        <v>9</v>
      </c>
      <c r="G86" t="s">
        <v>7</v>
      </c>
      <c r="H86">
        <v>9</v>
      </c>
      <c r="I86">
        <v>5</v>
      </c>
      <c r="J86">
        <v>1</v>
      </c>
      <c r="K86" t="s">
        <v>8</v>
      </c>
      <c r="L86" t="s">
        <v>6</v>
      </c>
      <c r="M86" t="s">
        <v>5</v>
      </c>
      <c r="N86" t="s">
        <v>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8</v>
      </c>
      <c r="V86">
        <v>0.31</v>
      </c>
      <c r="W86" t="s">
        <v>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8</v>
      </c>
      <c r="AF86" t="s">
        <v>6</v>
      </c>
      <c r="AG86">
        <v>1</v>
      </c>
      <c r="AH86" t="s">
        <v>8</v>
      </c>
    </row>
    <row r="87" spans="2:34" x14ac:dyDescent="0.35">
      <c r="B87" t="s">
        <v>9</v>
      </c>
      <c r="C87">
        <v>4</v>
      </c>
      <c r="D87">
        <v>34.482236</v>
      </c>
      <c r="E87" t="s">
        <v>6</v>
      </c>
      <c r="F87" t="s">
        <v>9</v>
      </c>
      <c r="G87" t="s">
        <v>7</v>
      </c>
      <c r="H87">
        <v>9</v>
      </c>
      <c r="I87">
        <v>0</v>
      </c>
      <c r="J87">
        <v>1</v>
      </c>
      <c r="K87" t="s">
        <v>8</v>
      </c>
      <c r="L87" t="s">
        <v>6</v>
      </c>
      <c r="M87" t="s">
        <v>5</v>
      </c>
      <c r="N87" t="s">
        <v>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8</v>
      </c>
      <c r="V87">
        <v>0.24</v>
      </c>
      <c r="W87" t="s">
        <v>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8</v>
      </c>
      <c r="AF87" t="s">
        <v>6</v>
      </c>
      <c r="AG87">
        <v>1</v>
      </c>
      <c r="AH87" t="s">
        <v>8</v>
      </c>
    </row>
    <row r="88" spans="2:34" x14ac:dyDescent="0.35">
      <c r="B88" t="s">
        <v>5</v>
      </c>
      <c r="C88">
        <v>3</v>
      </c>
      <c r="D88">
        <v>34.568860000000001</v>
      </c>
      <c r="E88" t="s">
        <v>6</v>
      </c>
      <c r="F88" t="s">
        <v>5</v>
      </c>
      <c r="G88" t="s">
        <v>7</v>
      </c>
      <c r="H88">
        <v>9</v>
      </c>
      <c r="I88">
        <v>2</v>
      </c>
      <c r="J88">
        <v>0</v>
      </c>
      <c r="K88" t="s">
        <v>8</v>
      </c>
      <c r="L88" t="s">
        <v>6</v>
      </c>
      <c r="M88" t="s">
        <v>5</v>
      </c>
      <c r="N88" t="s">
        <v>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8</v>
      </c>
      <c r="V88">
        <v>0.28000000000000003</v>
      </c>
      <c r="W88" t="s">
        <v>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8</v>
      </c>
      <c r="AF88" t="s">
        <v>6</v>
      </c>
      <c r="AG88">
        <v>1</v>
      </c>
      <c r="AH88" t="s">
        <v>8</v>
      </c>
    </row>
    <row r="89" spans="2:34" x14ac:dyDescent="0.35">
      <c r="B89" t="s">
        <v>5</v>
      </c>
      <c r="C89">
        <v>4</v>
      </c>
      <c r="D89">
        <v>41.175646999999998</v>
      </c>
      <c r="E89" t="s">
        <v>6</v>
      </c>
      <c r="F89" t="s">
        <v>5</v>
      </c>
      <c r="G89" t="s">
        <v>7</v>
      </c>
      <c r="H89">
        <v>9</v>
      </c>
      <c r="I89">
        <v>1</v>
      </c>
      <c r="J89">
        <v>0</v>
      </c>
      <c r="K89" t="s">
        <v>8</v>
      </c>
      <c r="L89" t="s">
        <v>6</v>
      </c>
      <c r="M89" t="s">
        <v>5</v>
      </c>
      <c r="N89" t="s">
        <v>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8</v>
      </c>
      <c r="V89">
        <v>0.41</v>
      </c>
      <c r="W89" t="s">
        <v>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8</v>
      </c>
      <c r="AF89" t="s">
        <v>6</v>
      </c>
      <c r="AG89">
        <v>1</v>
      </c>
      <c r="AH89" t="s">
        <v>8</v>
      </c>
    </row>
    <row r="90" spans="2:34" x14ac:dyDescent="0.35">
      <c r="B90" t="s">
        <v>9</v>
      </c>
      <c r="C90">
        <v>5</v>
      </c>
      <c r="D90">
        <v>41.178834999999999</v>
      </c>
      <c r="E90" t="s">
        <v>6</v>
      </c>
      <c r="F90" t="s">
        <v>9</v>
      </c>
      <c r="G90" t="s">
        <v>7</v>
      </c>
      <c r="H90">
        <v>9</v>
      </c>
      <c r="I90">
        <v>0</v>
      </c>
      <c r="J90">
        <v>1</v>
      </c>
      <c r="K90" t="s">
        <v>8</v>
      </c>
      <c r="L90" t="s">
        <v>6</v>
      </c>
      <c r="M90" t="s">
        <v>5</v>
      </c>
      <c r="N90" t="s">
        <v>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8</v>
      </c>
      <c r="V90">
        <v>0.28000000000000003</v>
      </c>
      <c r="W90" t="s">
        <v>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8</v>
      </c>
      <c r="AF90" t="s">
        <v>6</v>
      </c>
      <c r="AG90">
        <v>1</v>
      </c>
      <c r="AH90" t="s">
        <v>8</v>
      </c>
    </row>
    <row r="91" spans="2:34" x14ac:dyDescent="0.35">
      <c r="B91" t="s">
        <v>9</v>
      </c>
      <c r="C91">
        <v>6</v>
      </c>
      <c r="D91">
        <v>49.781019999999998</v>
      </c>
      <c r="E91" t="s">
        <v>6</v>
      </c>
      <c r="F91" t="s">
        <v>9</v>
      </c>
      <c r="G91" t="s">
        <v>7</v>
      </c>
      <c r="H91">
        <v>9</v>
      </c>
      <c r="I91">
        <v>7</v>
      </c>
      <c r="J91">
        <v>1</v>
      </c>
      <c r="K91" t="s">
        <v>8</v>
      </c>
      <c r="L91" t="s">
        <v>6</v>
      </c>
      <c r="M91" t="s">
        <v>5</v>
      </c>
      <c r="N91" t="s">
        <v>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8</v>
      </c>
      <c r="V91">
        <v>0.23</v>
      </c>
      <c r="W91" t="s">
        <v>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8</v>
      </c>
      <c r="AF91" t="s">
        <v>6</v>
      </c>
      <c r="AG91">
        <v>1</v>
      </c>
      <c r="AH91" t="s">
        <v>8</v>
      </c>
    </row>
    <row r="92" spans="2:34" x14ac:dyDescent="0.35">
      <c r="B92" t="s">
        <v>5</v>
      </c>
      <c r="C92">
        <v>5</v>
      </c>
      <c r="D92">
        <v>49.781078000000001</v>
      </c>
      <c r="E92" t="s">
        <v>6</v>
      </c>
      <c r="F92" t="s">
        <v>5</v>
      </c>
      <c r="G92" t="s">
        <v>7</v>
      </c>
      <c r="H92">
        <v>9</v>
      </c>
      <c r="I92">
        <v>1</v>
      </c>
      <c r="J92">
        <v>0</v>
      </c>
      <c r="K92" t="s">
        <v>8</v>
      </c>
      <c r="L92" t="s">
        <v>6</v>
      </c>
      <c r="M92" t="s">
        <v>5</v>
      </c>
      <c r="N92" t="s">
        <v>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8</v>
      </c>
      <c r="V92">
        <v>0.23</v>
      </c>
      <c r="W92" t="s">
        <v>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8</v>
      </c>
      <c r="AF92" t="s">
        <v>6</v>
      </c>
      <c r="AG92">
        <v>1</v>
      </c>
      <c r="AH92" t="s">
        <v>8</v>
      </c>
    </row>
    <row r="93" spans="2:34" x14ac:dyDescent="0.35">
      <c r="B93" t="s">
        <v>5</v>
      </c>
      <c r="C93">
        <v>6</v>
      </c>
      <c r="D93">
        <v>60.310101000000003</v>
      </c>
      <c r="E93" t="s">
        <v>6</v>
      </c>
      <c r="F93" t="s">
        <v>5</v>
      </c>
      <c r="G93" t="s">
        <v>7</v>
      </c>
      <c r="H93">
        <v>9</v>
      </c>
      <c r="I93">
        <v>8</v>
      </c>
      <c r="J93">
        <v>0</v>
      </c>
      <c r="K93" t="s">
        <v>8</v>
      </c>
      <c r="L93" t="s">
        <v>6</v>
      </c>
      <c r="M93" t="s">
        <v>5</v>
      </c>
      <c r="N93" t="s">
        <v>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8</v>
      </c>
      <c r="V93">
        <v>0.26</v>
      </c>
      <c r="W93" t="s">
        <v>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8</v>
      </c>
      <c r="AF93" t="s">
        <v>6</v>
      </c>
      <c r="AG93">
        <v>1</v>
      </c>
      <c r="AH93" t="s">
        <v>8</v>
      </c>
    </row>
    <row r="94" spans="2:34" x14ac:dyDescent="0.35">
      <c r="B94" t="s">
        <v>9</v>
      </c>
      <c r="C94">
        <v>7</v>
      </c>
      <c r="D94">
        <v>60.310102000000001</v>
      </c>
      <c r="E94" t="s">
        <v>6</v>
      </c>
      <c r="F94" t="s">
        <v>9</v>
      </c>
      <c r="G94" t="s">
        <v>7</v>
      </c>
      <c r="H94">
        <v>9</v>
      </c>
      <c r="I94">
        <v>8</v>
      </c>
      <c r="J94">
        <v>1</v>
      </c>
      <c r="K94" t="s">
        <v>8</v>
      </c>
      <c r="L94" t="s">
        <v>6</v>
      </c>
      <c r="M94" t="s">
        <v>5</v>
      </c>
      <c r="N94" t="s">
        <v>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8</v>
      </c>
      <c r="V94">
        <v>0.26</v>
      </c>
      <c r="W94" t="s">
        <v>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8</v>
      </c>
      <c r="AF94" t="s">
        <v>6</v>
      </c>
      <c r="AG94">
        <v>1</v>
      </c>
      <c r="AH94" t="s">
        <v>8</v>
      </c>
    </row>
    <row r="95" spans="2:34" x14ac:dyDescent="0.35">
      <c r="B95" t="s">
        <v>5</v>
      </c>
      <c r="C95">
        <v>7</v>
      </c>
      <c r="D95">
        <v>72.753943000000007</v>
      </c>
      <c r="E95" t="s">
        <v>6</v>
      </c>
      <c r="F95" t="s">
        <v>5</v>
      </c>
      <c r="G95" t="s">
        <v>7</v>
      </c>
      <c r="H95">
        <v>9</v>
      </c>
      <c r="I95">
        <v>9</v>
      </c>
      <c r="J95">
        <v>0</v>
      </c>
      <c r="K95" t="s">
        <v>8</v>
      </c>
      <c r="L95" t="s">
        <v>6</v>
      </c>
      <c r="M95" t="s">
        <v>5</v>
      </c>
      <c r="N95" t="s">
        <v>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8</v>
      </c>
      <c r="V95">
        <v>0.21</v>
      </c>
      <c r="W95" t="s">
        <v>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8</v>
      </c>
      <c r="AF95" t="s">
        <v>6</v>
      </c>
      <c r="AG95">
        <v>1</v>
      </c>
      <c r="AH95" t="s">
        <v>8</v>
      </c>
    </row>
    <row r="96" spans="2:34" x14ac:dyDescent="0.35">
      <c r="B96" t="s">
        <v>9</v>
      </c>
      <c r="C96">
        <v>8</v>
      </c>
      <c r="D96">
        <v>72.753943000000007</v>
      </c>
      <c r="E96" t="s">
        <v>6</v>
      </c>
      <c r="F96" t="s">
        <v>9</v>
      </c>
      <c r="G96" t="s">
        <v>7</v>
      </c>
      <c r="H96">
        <v>9</v>
      </c>
      <c r="I96">
        <v>9</v>
      </c>
      <c r="J96">
        <v>1</v>
      </c>
      <c r="K96" t="s">
        <v>8</v>
      </c>
      <c r="L96" t="s">
        <v>6</v>
      </c>
      <c r="M96" t="s">
        <v>5</v>
      </c>
      <c r="N96" t="s">
        <v>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8</v>
      </c>
      <c r="V96">
        <v>0.21</v>
      </c>
      <c r="W96" t="s">
        <v>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8</v>
      </c>
      <c r="AF96" t="s">
        <v>6</v>
      </c>
      <c r="AG96">
        <v>1</v>
      </c>
      <c r="AH96" t="s">
        <v>8</v>
      </c>
    </row>
    <row r="97" spans="2:34" x14ac:dyDescent="0.35">
      <c r="B97" t="s">
        <v>5</v>
      </c>
      <c r="C97">
        <v>8</v>
      </c>
      <c r="D97">
        <v>87.105890000000002</v>
      </c>
      <c r="E97" t="s">
        <v>6</v>
      </c>
      <c r="F97" t="s">
        <v>5</v>
      </c>
      <c r="G97" t="s">
        <v>7</v>
      </c>
      <c r="H97">
        <v>9</v>
      </c>
      <c r="I97">
        <v>9</v>
      </c>
      <c r="J97">
        <v>0</v>
      </c>
      <c r="K97" t="s">
        <v>8</v>
      </c>
      <c r="L97" t="s">
        <v>6</v>
      </c>
      <c r="M97" t="s">
        <v>5</v>
      </c>
      <c r="N97" t="s">
        <v>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8</v>
      </c>
      <c r="V97">
        <v>0.38</v>
      </c>
      <c r="W97" t="s">
        <v>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8</v>
      </c>
      <c r="AF97" t="s">
        <v>6</v>
      </c>
      <c r="AG97">
        <v>1</v>
      </c>
      <c r="AH97" t="s">
        <v>8</v>
      </c>
    </row>
    <row r="98" spans="2:34" x14ac:dyDescent="0.35">
      <c r="B98" t="s">
        <v>9</v>
      </c>
      <c r="C98">
        <v>9</v>
      </c>
      <c r="D98">
        <v>87.105890000000002</v>
      </c>
      <c r="E98" t="s">
        <v>6</v>
      </c>
      <c r="F98" t="s">
        <v>9</v>
      </c>
      <c r="G98" t="s">
        <v>7</v>
      </c>
      <c r="H98">
        <v>9</v>
      </c>
      <c r="I98">
        <v>9</v>
      </c>
      <c r="J98">
        <v>1</v>
      </c>
      <c r="K98" t="s">
        <v>8</v>
      </c>
      <c r="L98" t="s">
        <v>6</v>
      </c>
      <c r="M98" t="s">
        <v>5</v>
      </c>
      <c r="N98" t="s">
        <v>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8</v>
      </c>
      <c r="V98">
        <v>0.38</v>
      </c>
      <c r="W98" t="s">
        <v>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8</v>
      </c>
      <c r="AF98" t="s">
        <v>6</v>
      </c>
      <c r="AG98">
        <v>1</v>
      </c>
      <c r="AH98" t="s">
        <v>8</v>
      </c>
    </row>
    <row r="99" spans="2:34" x14ac:dyDescent="0.35">
      <c r="B99" t="s">
        <v>5</v>
      </c>
      <c r="C99">
        <v>9</v>
      </c>
      <c r="D99">
        <v>103.360176</v>
      </c>
      <c r="E99" t="s">
        <v>6</v>
      </c>
      <c r="F99" t="s">
        <v>5</v>
      </c>
      <c r="G99" t="s">
        <v>7</v>
      </c>
      <c r="H99">
        <v>9</v>
      </c>
      <c r="I99">
        <v>8</v>
      </c>
      <c r="J99">
        <v>0</v>
      </c>
      <c r="K99" t="s">
        <v>8</v>
      </c>
      <c r="L99" t="s">
        <v>6</v>
      </c>
      <c r="M99" t="s">
        <v>5</v>
      </c>
      <c r="N99" t="s">
        <v>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8</v>
      </c>
      <c r="V99">
        <v>0.36</v>
      </c>
      <c r="W99" t="s">
        <v>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8</v>
      </c>
      <c r="AF99" t="s">
        <v>6</v>
      </c>
      <c r="AG99">
        <v>1</v>
      </c>
      <c r="AH99" t="s">
        <v>8</v>
      </c>
    </row>
    <row r="100" spans="2:34" x14ac:dyDescent="0.35">
      <c r="B100" t="s">
        <v>9</v>
      </c>
      <c r="C100">
        <v>10</v>
      </c>
      <c r="D100">
        <v>103.360176</v>
      </c>
      <c r="E100" t="s">
        <v>6</v>
      </c>
      <c r="F100" t="s">
        <v>9</v>
      </c>
      <c r="G100" t="s">
        <v>7</v>
      </c>
      <c r="H100">
        <v>9</v>
      </c>
      <c r="I100">
        <v>8</v>
      </c>
      <c r="J100">
        <v>1</v>
      </c>
      <c r="K100" t="s">
        <v>8</v>
      </c>
      <c r="L100" t="s">
        <v>6</v>
      </c>
      <c r="M100" t="s">
        <v>5</v>
      </c>
      <c r="N100" t="s">
        <v>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8</v>
      </c>
      <c r="V100">
        <v>0.36</v>
      </c>
      <c r="W100" t="s">
        <v>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8</v>
      </c>
      <c r="AF100" t="s">
        <v>6</v>
      </c>
      <c r="AG100">
        <v>1</v>
      </c>
      <c r="AH100" t="s">
        <v>8</v>
      </c>
    </row>
  </sheetData>
  <sortState xmlns:xlrd2="http://schemas.microsoft.com/office/spreadsheetml/2017/richdata2" ref="B1:AH100">
    <sortCondition ref="H1:H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iteration1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2015-06-05T18:19:34Z</dcterms:created>
  <dcterms:modified xsi:type="dcterms:W3CDTF">2026-06-04T14:15:38Z</dcterms:modified>
</cp:coreProperties>
</file>